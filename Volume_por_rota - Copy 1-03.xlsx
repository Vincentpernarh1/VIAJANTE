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02D49152-042D-4C1A-A7E7-1B980AAF03C6}" xr6:coauthVersionLast="47" xr6:coauthVersionMax="47" xr10:uidLastSave="{00000000-0000-0000-0000-000000000000}"/>
  <bookViews>
    <workbookView xWindow="2280" yWindow="2280" windowWidth="14400" windowHeight="728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Sheet1!$A$1:$T$33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32" i="1"/>
  <c r="R31" i="1"/>
  <c r="R30" i="1"/>
  <c r="R29" i="1"/>
  <c r="R28" i="1"/>
  <c r="R27" i="1"/>
  <c r="R25" i="1"/>
  <c r="R24" i="1"/>
  <c r="R22" i="1"/>
  <c r="R21" i="1"/>
  <c r="R20" i="1"/>
  <c r="R19" i="1"/>
  <c r="R17" i="1"/>
  <c r="R16" i="1"/>
  <c r="R15" i="1"/>
  <c r="R14" i="1"/>
  <c r="R13" i="1"/>
  <c r="R12" i="1"/>
  <c r="R11" i="1"/>
  <c r="R10" i="1"/>
  <c r="R9" i="1"/>
  <c r="R8" i="1"/>
  <c r="R7" i="1"/>
  <c r="R6" i="1"/>
  <c r="R4" i="1"/>
  <c r="R3" i="1"/>
  <c r="P3" i="1" s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P18" i="1" s="1"/>
  <c r="Q19" i="1"/>
  <c r="Q20" i="1"/>
  <c r="Q21" i="1"/>
  <c r="Q22" i="1"/>
  <c r="Q23" i="1"/>
  <c r="P23" i="1" s="1"/>
  <c r="Q24" i="1"/>
  <c r="Q25" i="1"/>
  <c r="Q26" i="1"/>
  <c r="P26" i="1" s="1"/>
  <c r="Q27" i="1"/>
  <c r="Q28" i="1"/>
  <c r="Q29" i="1"/>
  <c r="Q30" i="1"/>
  <c r="Q31" i="1"/>
  <c r="Q32" i="1"/>
  <c r="Q33" i="1"/>
  <c r="P33" i="1" s="1"/>
  <c r="Q2" i="1"/>
  <c r="P19" i="1" l="1"/>
  <c r="P30" i="1"/>
  <c r="P32" i="1"/>
  <c r="P2" i="1"/>
  <c r="P17" i="1"/>
  <c r="P4" i="1"/>
  <c r="P7" i="1"/>
  <c r="P28" i="1"/>
  <c r="P20" i="1"/>
  <c r="P21" i="1"/>
  <c r="P6" i="1"/>
  <c r="P25" i="1"/>
  <c r="P8" i="1"/>
  <c r="P22" i="1"/>
  <c r="P27" i="1"/>
  <c r="P31" i="1"/>
  <c r="P5" i="1"/>
  <c r="P29" i="1"/>
  <c r="P24" i="1"/>
  <c r="P10" i="1"/>
  <c r="P9" i="1"/>
  <c r="P16" i="1"/>
  <c r="P15" i="1"/>
  <c r="P14" i="1"/>
  <c r="P13" i="1"/>
  <c r="P12" i="1"/>
  <c r="P11" i="1"/>
</calcChain>
</file>

<file path=xl/sharedStrings.xml><?xml version="1.0" encoding="utf-8"?>
<sst xmlns="http://schemas.openxmlformats.org/spreadsheetml/2006/main" count="286" uniqueCount="74">
  <si>
    <t>COD FLUXO</t>
  </si>
  <si>
    <t>COD DESTINO</t>
  </si>
  <si>
    <t>DESTINO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</si>
  <si>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</si>
  <si>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</si>
  <si>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</si>
  <si>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</si>
  <si>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</si>
  <si>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</si>
  <si>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</si>
  <si>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</si>
  <si>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</si>
  <si>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</si>
  <si>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</si>
  <si>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SUGESTÃO</t>
  </si>
  <si>
    <t>% MDRs APURADOS</t>
  </si>
  <si>
    <t>1080/1046</t>
  </si>
  <si>
    <t>PIRELLI</t>
  </si>
  <si>
    <t>THERA</t>
  </si>
  <si>
    <t>FCA</t>
  </si>
  <si>
    <t>FCA/FPT</t>
  </si>
  <si>
    <t>MANGELS</t>
  </si>
  <si>
    <t>SRK HTB L</t>
  </si>
  <si>
    <t>METAGAL</t>
  </si>
  <si>
    <t>AETHRA I</t>
  </si>
  <si>
    <t>ASK DO BRASIL</t>
  </si>
  <si>
    <t>SRK HDB, SRK HDB</t>
  </si>
  <si>
    <t>AGC VIDROS DO B</t>
  </si>
  <si>
    <t>SODECIA</t>
  </si>
  <si>
    <t>PROMA</t>
  </si>
  <si>
    <t>TI BRASIL INDUSTRIA E COMERCIO LTDA</t>
  </si>
  <si>
    <t>AP BETIM</t>
  </si>
  <si>
    <t>CIE FORJAS MINA</t>
  </si>
  <si>
    <t>BREMBO DO BRASI</t>
  </si>
  <si>
    <t>OMR</t>
  </si>
  <si>
    <t>AUTOMETAL</t>
  </si>
  <si>
    <t>THYSSENKRUPP IV</t>
  </si>
  <si>
    <t>STABILUS LTDA</t>
  </si>
  <si>
    <t>PLASCAR</t>
  </si>
  <si>
    <t>AUTOPLAS</t>
  </si>
  <si>
    <t>CMP COMPONENTES</t>
  </si>
  <si>
    <t>AETHRA II CENTAURO</t>
  </si>
  <si>
    <t>MARELLI COFAP</t>
  </si>
  <si>
    <t>DENSO IV</t>
  </si>
  <si>
    <t>METAL STAMP</t>
  </si>
  <si>
    <t>ADLER</t>
  </si>
  <si>
    <t>ACUMENT</t>
  </si>
  <si>
    <t>METALSIDER</t>
  </si>
  <si>
    <t>CISER</t>
  </si>
  <si>
    <t>IOCHPE MAXION</t>
  </si>
  <si>
    <t>SUMIRIKO</t>
  </si>
  <si>
    <t>ITAESBRA</t>
  </si>
  <si>
    <t>CARRETA</t>
  </si>
  <si>
    <t>TRUCK 3M</t>
  </si>
  <si>
    <t>TRUCK VIAGEM</t>
  </si>
  <si>
    <t>BIG SIDER</t>
  </si>
  <si>
    <t>TRUCK 3M PLUS</t>
  </si>
  <si>
    <t>MONTAGEM-MG</t>
  </si>
  <si>
    <t>MONTAGEM-SP</t>
  </si>
  <si>
    <t>CT</t>
  </si>
  <si>
    <t>FTL</t>
  </si>
  <si>
    <t>FURLONG</t>
  </si>
  <si>
    <t>JSL</t>
  </si>
  <si>
    <t>VOLUME</t>
  </si>
  <si>
    <t>PESO</t>
  </si>
  <si>
    <t>Alterar último veículo para menor porte</t>
  </si>
  <si>
    <t>Manter coleta</t>
  </si>
  <si>
    <t>Cortar coleta do último veículo</t>
  </si>
  <si>
    <t>Fluxo</t>
  </si>
  <si>
    <t>Old Viajante</t>
  </si>
  <si>
    <t>800006557/800005834</t>
  </si>
  <si>
    <t>30020 / 73860 / 25960</t>
  </si>
  <si>
    <t>11800/18063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</si>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</sst>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ownloads\VOLUME%20MONTAGEM%2001.04.xlsx" TargetMode="External"/><Relationship Id="rId1" Type="http://schemas.openxmlformats.org/officeDocument/2006/relationships/externalLinkPath" Target="/Users/perna/Downloads/VOLUME%20MONTAGEM%2001.0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esktop\STALLANTIS\VIAJANTE\Viajante\Volume_por_rota.xlsx" TargetMode="External"/><Relationship Id="rId1" Type="http://schemas.openxmlformats.org/officeDocument/2006/relationships/externalLinkPath" Target="Volume_por_r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 de Procedimentos (2)"/>
      <sheetName val="Cadastro de Procedimentos"/>
      <sheetName val="ND QME"/>
      <sheetName val="ENTREGAS"/>
      <sheetName val="SEM INCOTERM"/>
      <sheetName val="SEM TECNOL"/>
      <sheetName val="MDR_SEM_VALOR"/>
      <sheetName val="PN_SEM_VALOR"/>
      <sheetName val="PN_PROGRAMADOS"/>
      <sheetName val="FLUXOS_EM_ANÁLISE"/>
    </sheetNames>
    <sheetDataSet>
      <sheetData sheetId="0"/>
      <sheetData sheetId="1">
        <row r="7">
          <cell r="D7"/>
        </row>
        <row r="13">
          <cell r="D13"/>
        </row>
        <row r="15">
          <cell r="D15" t="str">
            <v>Cód Fornecedor</v>
          </cell>
          <cell r="X15" t="str">
            <v>Hazmat</v>
          </cell>
        </row>
        <row r="16">
          <cell r="D16">
            <v>51622</v>
          </cell>
          <cell r="X16">
            <v>3</v>
          </cell>
        </row>
        <row r="17">
          <cell r="D17">
            <v>10397</v>
          </cell>
          <cell r="X17">
            <v>35</v>
          </cell>
        </row>
        <row r="18">
          <cell r="D18">
            <v>12200</v>
          </cell>
          <cell r="X18">
            <v>1</v>
          </cell>
        </row>
        <row r="19">
          <cell r="D19" t="str">
            <v>30020 / 73860 / 25960</v>
          </cell>
          <cell r="X19">
            <v>7</v>
          </cell>
        </row>
        <row r="20">
          <cell r="D20">
            <v>73860</v>
          </cell>
          <cell r="X20">
            <v>1</v>
          </cell>
        </row>
        <row r="21">
          <cell r="D21">
            <v>33629</v>
          </cell>
          <cell r="X21">
            <v>2</v>
          </cell>
        </row>
        <row r="22">
          <cell r="D22">
            <v>12345</v>
          </cell>
          <cell r="X22">
            <v>8</v>
          </cell>
        </row>
        <row r="23">
          <cell r="D23">
            <v>38225</v>
          </cell>
          <cell r="X23">
            <v>6</v>
          </cell>
        </row>
        <row r="24">
          <cell r="D24">
            <v>13443</v>
          </cell>
          <cell r="X24">
            <v>0</v>
          </cell>
        </row>
        <row r="25">
          <cell r="D25">
            <v>31600</v>
          </cell>
          <cell r="X25">
            <v>16</v>
          </cell>
        </row>
        <row r="26">
          <cell r="D26">
            <v>39261</v>
          </cell>
          <cell r="X26">
            <v>7</v>
          </cell>
        </row>
        <row r="27">
          <cell r="D27">
            <v>58696</v>
          </cell>
          <cell r="X27">
            <v>5</v>
          </cell>
        </row>
        <row r="28">
          <cell r="D28">
            <v>19414</v>
          </cell>
          <cell r="X28">
            <v>1</v>
          </cell>
        </row>
        <row r="29">
          <cell r="D29">
            <v>46051</v>
          </cell>
          <cell r="X29">
            <v>1</v>
          </cell>
        </row>
        <row r="30">
          <cell r="D30">
            <v>20300</v>
          </cell>
          <cell r="X30">
            <v>3</v>
          </cell>
        </row>
        <row r="31">
          <cell r="D31">
            <v>47097</v>
          </cell>
          <cell r="X31">
            <v>0</v>
          </cell>
        </row>
        <row r="32">
          <cell r="D32">
            <v>47097</v>
          </cell>
          <cell r="X32">
            <v>0</v>
          </cell>
        </row>
        <row r="33">
          <cell r="D33">
            <v>56589</v>
          </cell>
          <cell r="X33">
            <v>1</v>
          </cell>
        </row>
        <row r="34">
          <cell r="D34">
            <v>47166</v>
          </cell>
          <cell r="X34">
            <v>1</v>
          </cell>
        </row>
        <row r="35">
          <cell r="D35">
            <v>78550</v>
          </cell>
          <cell r="X35">
            <v>3</v>
          </cell>
        </row>
        <row r="36">
          <cell r="D36">
            <v>27951</v>
          </cell>
          <cell r="X36">
            <v>1</v>
          </cell>
        </row>
        <row r="37">
          <cell r="D37">
            <v>21544</v>
          </cell>
          <cell r="X37">
            <v>9</v>
          </cell>
        </row>
        <row r="38">
          <cell r="D38">
            <v>32300</v>
          </cell>
          <cell r="X38">
            <v>0</v>
          </cell>
        </row>
        <row r="39">
          <cell r="D39">
            <v>501046</v>
          </cell>
          <cell r="X39">
            <v>2</v>
          </cell>
        </row>
        <row r="40">
          <cell r="D40">
            <v>61950</v>
          </cell>
          <cell r="X40">
            <v>1</v>
          </cell>
        </row>
        <row r="41">
          <cell r="D41">
            <v>28468</v>
          </cell>
          <cell r="X41">
            <v>2</v>
          </cell>
        </row>
        <row r="42">
          <cell r="D42">
            <v>10929</v>
          </cell>
          <cell r="X42">
            <v>0</v>
          </cell>
        </row>
        <row r="43">
          <cell r="D43">
            <v>60643</v>
          </cell>
          <cell r="X43">
            <v>13</v>
          </cell>
        </row>
        <row r="44">
          <cell r="D44">
            <v>60629</v>
          </cell>
          <cell r="X44">
            <v>1</v>
          </cell>
        </row>
        <row r="45">
          <cell r="D45">
            <v>43117</v>
          </cell>
          <cell r="X45">
            <v>0</v>
          </cell>
        </row>
        <row r="46">
          <cell r="D46">
            <v>21544</v>
          </cell>
          <cell r="X46">
            <v>0</v>
          </cell>
        </row>
        <row r="47">
          <cell r="D47">
            <v>46189</v>
          </cell>
          <cell r="X47">
            <v>52</v>
          </cell>
        </row>
        <row r="48">
          <cell r="D48" t="str">
            <v>11800/18063</v>
          </cell>
          <cell r="X48">
            <v>8</v>
          </cell>
        </row>
        <row r="49">
          <cell r="D49">
            <v>47060</v>
          </cell>
          <cell r="X49">
            <v>43</v>
          </cell>
        </row>
        <row r="50">
          <cell r="D50">
            <v>46422</v>
          </cell>
          <cell r="X50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CÓDIGOS FORNECEDORES</v>
          </cell>
          <cell r="O1" t="str">
            <v>CARGAS</v>
          </cell>
        </row>
        <row r="2">
          <cell r="D2">
            <v>800006214</v>
          </cell>
          <cell r="O2">
            <v>3</v>
          </cell>
        </row>
        <row r="3">
          <cell r="D3">
            <v>800002365</v>
          </cell>
          <cell r="O3">
            <v>35</v>
          </cell>
        </row>
        <row r="4">
          <cell r="D4">
            <v>800002700</v>
          </cell>
          <cell r="O4">
            <v>1</v>
          </cell>
        </row>
        <row r="5">
          <cell r="D5" t="str">
            <v>800006557/800005834</v>
          </cell>
          <cell r="O5">
            <v>8</v>
          </cell>
        </row>
        <row r="6">
          <cell r="D6">
            <v>800030834</v>
          </cell>
          <cell r="O6">
            <v>2</v>
          </cell>
        </row>
        <row r="7">
          <cell r="D7">
            <v>800002731</v>
          </cell>
          <cell r="O7">
            <v>9</v>
          </cell>
        </row>
        <row r="8">
          <cell r="D8">
            <v>800036904</v>
          </cell>
          <cell r="O8">
            <v>5</v>
          </cell>
        </row>
        <row r="9">
          <cell r="D9">
            <v>800005882</v>
          </cell>
          <cell r="O9">
            <v>16</v>
          </cell>
        </row>
        <row r="10">
          <cell r="D10">
            <v>800038691</v>
          </cell>
          <cell r="O10">
            <v>8</v>
          </cell>
        </row>
        <row r="11">
          <cell r="D11">
            <v>800045091</v>
          </cell>
          <cell r="O11">
            <v>1</v>
          </cell>
        </row>
        <row r="12">
          <cell r="D12">
            <v>800005693</v>
          </cell>
          <cell r="O12">
            <v>3</v>
          </cell>
        </row>
        <row r="13">
          <cell r="D13">
            <v>800006295</v>
          </cell>
          <cell r="O13">
            <v>1</v>
          </cell>
        </row>
        <row r="14">
          <cell r="D14">
            <v>800006648</v>
          </cell>
          <cell r="O14">
            <v>2</v>
          </cell>
        </row>
        <row r="15">
          <cell r="D15">
            <v>800048577</v>
          </cell>
          <cell r="O15">
            <v>0</v>
          </cell>
        </row>
        <row r="16">
          <cell r="D16">
            <v>800006356</v>
          </cell>
          <cell r="O16">
            <v>11</v>
          </cell>
        </row>
        <row r="17">
          <cell r="D17">
            <v>800015229</v>
          </cell>
          <cell r="O17">
            <v>2</v>
          </cell>
        </row>
        <row r="18">
          <cell r="D18">
            <v>800030945</v>
          </cell>
          <cell r="O18">
            <v>1</v>
          </cell>
        </row>
        <row r="19">
          <cell r="D19">
            <v>800045273</v>
          </cell>
          <cell r="O19">
            <v>49</v>
          </cell>
        </row>
        <row r="20">
          <cell r="D20">
            <v>800002635</v>
          </cell>
          <cell r="O20">
            <v>7</v>
          </cell>
        </row>
        <row r="21">
          <cell r="D21">
            <v>800046417</v>
          </cell>
          <cell r="O21">
            <v>3</v>
          </cell>
        </row>
        <row r="22">
          <cell r="D22">
            <v>800046699</v>
          </cell>
          <cell r="O22">
            <v>30</v>
          </cell>
        </row>
        <row r="23">
          <cell r="D23">
            <v>800045685</v>
          </cell>
          <cell r="O23">
            <v>1</v>
          </cell>
        </row>
        <row r="24">
          <cell r="D24">
            <v>800006557</v>
          </cell>
          <cell r="O24">
            <v>1</v>
          </cell>
        </row>
        <row r="25">
          <cell r="D25">
            <v>800022684</v>
          </cell>
          <cell r="O25">
            <v>2</v>
          </cell>
        </row>
        <row r="26">
          <cell r="D26">
            <v>800006357</v>
          </cell>
          <cell r="O26">
            <v>2</v>
          </cell>
        </row>
        <row r="27">
          <cell r="D27">
            <v>800006330</v>
          </cell>
          <cell r="O27">
            <v>7</v>
          </cell>
        </row>
        <row r="28">
          <cell r="D28">
            <v>800005687</v>
          </cell>
          <cell r="O28">
            <v>1</v>
          </cell>
        </row>
        <row r="29">
          <cell r="D29">
            <v>800046899</v>
          </cell>
          <cell r="O29">
            <v>1</v>
          </cell>
        </row>
        <row r="30">
          <cell r="D30">
            <v>800021967</v>
          </cell>
          <cell r="O30">
            <v>1</v>
          </cell>
        </row>
        <row r="31">
          <cell r="D31">
            <v>800005902</v>
          </cell>
          <cell r="O31">
            <v>12</v>
          </cell>
        </row>
        <row r="32">
          <cell r="D32">
            <v>800006372</v>
          </cell>
          <cell r="O32">
            <v>1</v>
          </cell>
        </row>
        <row r="33">
          <cell r="D33">
            <v>800028458</v>
          </cell>
          <cell r="O3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topLeftCell="O13" workbookViewId="0">
      <selection activeCell="S14" sqref="S14"/>
    </sheetView>
  </sheetViews>
  <sheetFormatPr defaultRowHeight="14.5" x14ac:dyDescent="0.35"/>
  <cols>
    <col min="1" max="1" width="19.453125" bestFit="1" customWidth="1"/>
    <col min="2" max="2" width="10.453125" bestFit="1" customWidth="1"/>
    <col min="3" max="3" width="12.36328125" bestFit="1" customWidth="1"/>
    <col min="4" max="4" width="8.1796875" bestFit="1" customWidth="1"/>
    <col min="5" max="5" width="22.7265625" bestFit="1" customWidth="1"/>
    <col min="6" max="6" width="34.453125" bestFit="1" customWidth="1"/>
    <col min="7" max="7" width="14" bestFit="1" customWidth="1"/>
    <col min="8" max="8" width="15.08984375" bestFit="1" customWidth="1"/>
    <col min="9" max="9" width="4.90625" bestFit="1" customWidth="1"/>
    <col min="10" max="10" width="17.08984375" bestFit="1" customWidth="1"/>
    <col min="11" max="11" width="18.453125" bestFit="1" customWidth="1"/>
    <col min="12" max="12" width="18.1796875" bestFit="1" customWidth="1"/>
    <col min="13" max="13" width="14.7265625" bestFit="1" customWidth="1"/>
    <col min="14" max="14" width="18.26953125" bestFit="1" customWidth="1"/>
    <col min="15" max="15" width="20.26953125" bestFit="1" customWidth="1"/>
    <col min="16" max="17" width="20.26953125" customWidth="1"/>
    <col min="18" max="18" width="9" bestFit="1" customWidth="1"/>
    <col min="19" max="19" width="34.453125" bestFit="1" customWidth="1"/>
    <col min="20" max="20" width="17.6328125" bestFit="1" customWidth="1"/>
  </cols>
  <sheetData>
    <row r="1" spans="1:20" x14ac:dyDescent="0.35">
      <c r="A1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3" t="s">
        <v>69</v>
      </c>
      <c r="R1" s="1" t="s">
        <v>73</v>
      </c>
      <c r="S1" s="1" t="s">
        <v>14</v>
      </c>
      <c r="T1" s="1" t="s">
        <v>15</v>
      </c>
    </row>
    <row r="2" spans="1:20" x14ac:dyDescent="0.35">
      <c r="A2">
        <v>28468</v>
      </c>
      <c r="B2">
        <v>100</v>
      </c>
      <c r="C2" s="2">
        <v>60444</v>
      </c>
      <c r="D2" t="s">
        <v>17</v>
      </c>
      <c r="E2" s="2">
        <v>800022684</v>
      </c>
      <c r="F2" t="s">
        <v>21</v>
      </c>
      <c r="G2" t="s">
        <v>52</v>
      </c>
      <c r="H2" t="s">
        <v>57</v>
      </c>
      <c r="I2" t="s">
        <v>59</v>
      </c>
      <c r="J2" t="s">
        <v>61</v>
      </c>
      <c r="K2" t="s">
        <v>63</v>
      </c>
      <c r="L2">
        <v>103.783</v>
      </c>
      <c r="M2">
        <v>30077.3</v>
      </c>
      <c r="N2">
        <v>58</v>
      </c>
      <c r="O2">
        <v>129.71</v>
      </c>
      <c r="P2" t="b">
        <f t="shared" ref="P2:P17" si="0">Q2=R2</f>
        <v>1</v>
      </c>
      <c r="Q2">
        <f>_xlfn.XLOOKUP(A2,'[1]Cadastro de Procedimentos'!$D:$D,'[1]Cadastro de Procedimentos'!$X:$X)</f>
        <v>2</v>
      </c>
      <c r="R2">
        <f>_xlfn.XLOOKUP(E2,[2]Sheet1!$D:$D,[2]Sheet1!$O:$O)</f>
        <v>2</v>
      </c>
      <c r="S2" t="s">
        <v>65</v>
      </c>
      <c r="T2">
        <v>100</v>
      </c>
    </row>
    <row r="3" spans="1:20" x14ac:dyDescent="0.35">
      <c r="A3">
        <v>73860</v>
      </c>
      <c r="B3">
        <v>26</v>
      </c>
      <c r="C3" s="2">
        <v>28450</v>
      </c>
      <c r="D3" t="s">
        <v>18</v>
      </c>
      <c r="E3" s="2">
        <v>800006557</v>
      </c>
      <c r="F3" t="s">
        <v>22</v>
      </c>
      <c r="G3" t="s">
        <v>53</v>
      </c>
      <c r="H3" t="s">
        <v>57</v>
      </c>
      <c r="I3" t="s">
        <v>59</v>
      </c>
      <c r="J3" t="s">
        <v>62</v>
      </c>
      <c r="K3" t="s">
        <v>63</v>
      </c>
      <c r="L3">
        <v>11.901999999999999</v>
      </c>
      <c r="M3">
        <v>974</v>
      </c>
      <c r="N3">
        <v>30</v>
      </c>
      <c r="O3">
        <v>27.45</v>
      </c>
      <c r="P3" t="b">
        <f t="shared" si="0"/>
        <v>1</v>
      </c>
      <c r="Q3">
        <f>_xlfn.XLOOKUP(A3,'[1]Cadastro de Procedimentos'!$D:$D,'[1]Cadastro de Procedimentos'!$X:$X)</f>
        <v>1</v>
      </c>
      <c r="R3">
        <f>_xlfn.XLOOKUP(E3,[2]Sheet1!$D:$D,[2]Sheet1!$O:$O)</f>
        <v>1</v>
      </c>
      <c r="S3" t="s">
        <v>65</v>
      </c>
      <c r="T3">
        <v>100</v>
      </c>
    </row>
    <row r="4" spans="1:20" x14ac:dyDescent="0.35">
      <c r="A4">
        <v>51622</v>
      </c>
      <c r="B4">
        <v>20</v>
      </c>
      <c r="C4" s="2">
        <v>1080</v>
      </c>
      <c r="D4" t="s">
        <v>19</v>
      </c>
      <c r="E4" s="2">
        <v>800006214</v>
      </c>
      <c r="F4" t="s">
        <v>23</v>
      </c>
      <c r="G4" t="s">
        <v>54</v>
      </c>
      <c r="H4" t="s">
        <v>57</v>
      </c>
      <c r="I4" t="s">
        <v>60</v>
      </c>
      <c r="J4" t="s">
        <v>61</v>
      </c>
      <c r="K4" t="s">
        <v>63</v>
      </c>
      <c r="L4">
        <v>72.212999999999994</v>
      </c>
      <c r="M4">
        <v>6649.1</v>
      </c>
      <c r="N4">
        <v>931</v>
      </c>
      <c r="O4">
        <v>221.44</v>
      </c>
      <c r="P4" t="b">
        <f t="shared" si="0"/>
        <v>1</v>
      </c>
      <c r="Q4">
        <f>_xlfn.XLOOKUP(A4,'[1]Cadastro de Procedimentos'!$D:$D,'[1]Cadastro de Procedimentos'!$X:$X)</f>
        <v>3</v>
      </c>
      <c r="R4">
        <f>_xlfn.XLOOKUP(E4,[2]Sheet1!$D:$D,[2]Sheet1!$O:$O)</f>
        <v>3</v>
      </c>
      <c r="S4" t="s">
        <v>65</v>
      </c>
      <c r="T4">
        <v>100</v>
      </c>
    </row>
    <row r="5" spans="1:20" x14ac:dyDescent="0.35">
      <c r="A5">
        <v>10397</v>
      </c>
      <c r="B5">
        <v>21</v>
      </c>
      <c r="C5" s="2">
        <v>1080</v>
      </c>
      <c r="D5" t="s">
        <v>19</v>
      </c>
      <c r="E5" s="2">
        <v>800002365</v>
      </c>
      <c r="F5" t="s">
        <v>24</v>
      </c>
      <c r="G5" t="s">
        <v>53</v>
      </c>
      <c r="H5" t="s">
        <v>57</v>
      </c>
      <c r="I5" t="s">
        <v>60</v>
      </c>
      <c r="J5" t="s">
        <v>62</v>
      </c>
      <c r="K5" t="s">
        <v>63</v>
      </c>
      <c r="L5">
        <v>1622.3030000000001</v>
      </c>
      <c r="M5">
        <v>543310.4</v>
      </c>
      <c r="N5">
        <v>688</v>
      </c>
      <c r="O5">
        <v>3398.01</v>
      </c>
      <c r="P5" t="b">
        <f t="shared" si="0"/>
        <v>1</v>
      </c>
      <c r="Q5">
        <f>_xlfn.XLOOKUP(A5,'[1]Cadastro de Procedimentos'!$D:$D,'[1]Cadastro de Procedimentos'!$X:$X)</f>
        <v>35</v>
      </c>
      <c r="R5">
        <f>_xlfn.XLOOKUP(E5,[2]Sheet1!$D:$D,[2]Sheet1!$O:$O)</f>
        <v>35</v>
      </c>
      <c r="S5" t="s">
        <v>66</v>
      </c>
      <c r="T5">
        <v>100</v>
      </c>
    </row>
    <row r="6" spans="1:20" x14ac:dyDescent="0.35">
      <c r="A6">
        <v>12200</v>
      </c>
      <c r="B6">
        <v>24</v>
      </c>
      <c r="C6" s="2">
        <v>1080</v>
      </c>
      <c r="D6" t="s">
        <v>19</v>
      </c>
      <c r="E6" s="2">
        <v>800002700</v>
      </c>
      <c r="F6" t="s">
        <v>25</v>
      </c>
      <c r="G6" t="s">
        <v>52</v>
      </c>
      <c r="H6" t="s">
        <v>57</v>
      </c>
      <c r="I6" t="s">
        <v>60</v>
      </c>
      <c r="J6" t="s">
        <v>62</v>
      </c>
      <c r="K6" t="s">
        <v>63</v>
      </c>
      <c r="L6">
        <v>54.625999999999998</v>
      </c>
      <c r="M6">
        <v>6622.4</v>
      </c>
      <c r="N6">
        <v>252</v>
      </c>
      <c r="O6">
        <v>70.33</v>
      </c>
      <c r="P6" t="b">
        <f t="shared" si="0"/>
        <v>1</v>
      </c>
      <c r="Q6">
        <f>_xlfn.XLOOKUP(A6,'[1]Cadastro de Procedimentos'!$D:$D,'[1]Cadastro de Procedimentos'!$X:$X)</f>
        <v>1</v>
      </c>
      <c r="R6">
        <f>_xlfn.XLOOKUP(E6,[2]Sheet1!$D:$D,[2]Sheet1!$O:$O)</f>
        <v>1</v>
      </c>
      <c r="S6" t="s">
        <v>66</v>
      </c>
      <c r="T6">
        <v>100</v>
      </c>
    </row>
    <row r="7" spans="1:20" x14ac:dyDescent="0.35">
      <c r="A7" t="s">
        <v>71</v>
      </c>
      <c r="B7">
        <v>25</v>
      </c>
      <c r="C7" s="2">
        <v>1080</v>
      </c>
      <c r="D7" t="s">
        <v>19</v>
      </c>
      <c r="E7" t="s">
        <v>70</v>
      </c>
      <c r="F7" t="s">
        <v>26</v>
      </c>
      <c r="G7" t="s">
        <v>53</v>
      </c>
      <c r="H7" t="s">
        <v>57</v>
      </c>
      <c r="I7" t="s">
        <v>60</v>
      </c>
      <c r="J7" t="s">
        <v>62</v>
      </c>
      <c r="K7" t="s">
        <v>63</v>
      </c>
      <c r="L7">
        <v>274.238</v>
      </c>
      <c r="M7">
        <v>31738.400000000001</v>
      </c>
      <c r="N7">
        <v>1223</v>
      </c>
      <c r="O7">
        <v>684.44</v>
      </c>
      <c r="P7" t="b">
        <f t="shared" si="0"/>
        <v>0</v>
      </c>
      <c r="Q7">
        <f>_xlfn.XLOOKUP(A7,'[1]Cadastro de Procedimentos'!$D:$D,'[1]Cadastro de Procedimentos'!$X:$X)</f>
        <v>7</v>
      </c>
      <c r="R7">
        <f>_xlfn.XLOOKUP(E7,[2]Sheet1!$D:$D,[2]Sheet1!$O:$O)</f>
        <v>8</v>
      </c>
      <c r="S7" t="s">
        <v>66</v>
      </c>
      <c r="T7">
        <v>94.4</v>
      </c>
    </row>
    <row r="8" spans="1:20" x14ac:dyDescent="0.35">
      <c r="A8">
        <v>33629</v>
      </c>
      <c r="B8">
        <v>27</v>
      </c>
      <c r="C8" s="2">
        <v>1080</v>
      </c>
      <c r="D8" t="s">
        <v>19</v>
      </c>
      <c r="E8" s="2">
        <v>800030834</v>
      </c>
      <c r="F8" t="s">
        <v>27</v>
      </c>
      <c r="G8" t="s">
        <v>55</v>
      </c>
      <c r="H8" t="s">
        <v>57</v>
      </c>
      <c r="I8" t="s">
        <v>60</v>
      </c>
      <c r="J8" t="s">
        <v>62</v>
      </c>
      <c r="K8" t="s">
        <v>63</v>
      </c>
      <c r="L8">
        <v>198.30600000000001</v>
      </c>
      <c r="M8">
        <v>42096.9</v>
      </c>
      <c r="N8">
        <v>103</v>
      </c>
      <c r="O8">
        <v>234.62</v>
      </c>
      <c r="P8" t="b">
        <f t="shared" si="0"/>
        <v>1</v>
      </c>
      <c r="Q8">
        <f>_xlfn.XLOOKUP(A8,'[1]Cadastro de Procedimentos'!$D:$D,'[1]Cadastro de Procedimentos'!$X:$X)</f>
        <v>2</v>
      </c>
      <c r="R8">
        <f>_xlfn.XLOOKUP(E8,[2]Sheet1!$D:$D,[2]Sheet1!$O:$O)</f>
        <v>2</v>
      </c>
      <c r="S8" t="s">
        <v>65</v>
      </c>
      <c r="T8">
        <v>100</v>
      </c>
    </row>
    <row r="9" spans="1:20" x14ac:dyDescent="0.35">
      <c r="A9">
        <v>12345</v>
      </c>
      <c r="B9">
        <v>31</v>
      </c>
      <c r="C9" s="2">
        <v>1080</v>
      </c>
      <c r="D9" t="s">
        <v>19</v>
      </c>
      <c r="E9" s="2">
        <v>800002731</v>
      </c>
      <c r="F9" t="s">
        <v>28</v>
      </c>
      <c r="G9" t="s">
        <v>55</v>
      </c>
      <c r="H9" t="s">
        <v>57</v>
      </c>
      <c r="I9" t="s">
        <v>60</v>
      </c>
      <c r="J9" t="s">
        <v>62</v>
      </c>
      <c r="K9" t="s">
        <v>63</v>
      </c>
      <c r="L9">
        <v>640.64099999999996</v>
      </c>
      <c r="M9">
        <v>55368.6</v>
      </c>
      <c r="N9">
        <v>206</v>
      </c>
      <c r="O9">
        <v>743.77</v>
      </c>
      <c r="P9" t="b">
        <f t="shared" si="0"/>
        <v>0</v>
      </c>
      <c r="Q9">
        <f>_xlfn.XLOOKUP(A9,'[1]Cadastro de Procedimentos'!$D:$D,'[1]Cadastro de Procedimentos'!$X:$X)</f>
        <v>8</v>
      </c>
      <c r="R9">
        <f>_xlfn.XLOOKUP(E9,[2]Sheet1!$D:$D,[2]Sheet1!$O:$O)</f>
        <v>9</v>
      </c>
      <c r="S9" t="s">
        <v>65</v>
      </c>
      <c r="T9">
        <v>100</v>
      </c>
    </row>
    <row r="10" spans="1:20" x14ac:dyDescent="0.35">
      <c r="A10">
        <v>38225</v>
      </c>
      <c r="B10">
        <v>33</v>
      </c>
      <c r="C10" s="2">
        <v>1080</v>
      </c>
      <c r="D10" t="s">
        <v>19</v>
      </c>
      <c r="E10" s="2">
        <v>800036904</v>
      </c>
      <c r="F10" t="s">
        <v>29</v>
      </c>
      <c r="G10" t="s">
        <v>55</v>
      </c>
      <c r="H10" t="s">
        <v>57</v>
      </c>
      <c r="I10" t="s">
        <v>60</v>
      </c>
      <c r="J10" t="s">
        <v>61</v>
      </c>
      <c r="K10" t="s">
        <v>63</v>
      </c>
      <c r="L10">
        <v>354.00299999999999</v>
      </c>
      <c r="M10">
        <v>43695.9</v>
      </c>
      <c r="N10">
        <v>150</v>
      </c>
      <c r="O10">
        <v>546.45000000000005</v>
      </c>
      <c r="P10" t="b">
        <f t="shared" si="0"/>
        <v>0</v>
      </c>
      <c r="Q10">
        <f>_xlfn.XLOOKUP(A10,'[1]Cadastro de Procedimentos'!$D:$D,'[1]Cadastro de Procedimentos'!$X:$X)</f>
        <v>6</v>
      </c>
      <c r="R10">
        <f>_xlfn.XLOOKUP(E10,[2]Sheet1!$D:$D,[2]Sheet1!$O:$O)</f>
        <v>5</v>
      </c>
      <c r="S10" t="s">
        <v>65</v>
      </c>
      <c r="T10">
        <v>100</v>
      </c>
    </row>
    <row r="11" spans="1:20" x14ac:dyDescent="0.35">
      <c r="A11">
        <v>31600</v>
      </c>
      <c r="B11">
        <v>35</v>
      </c>
      <c r="C11" s="2">
        <v>1080</v>
      </c>
      <c r="D11" t="s">
        <v>19</v>
      </c>
      <c r="E11" s="2">
        <v>800005882</v>
      </c>
      <c r="F11" t="s">
        <v>30</v>
      </c>
      <c r="G11" t="s">
        <v>53</v>
      </c>
      <c r="H11" t="s">
        <v>57</v>
      </c>
      <c r="I11" t="s">
        <v>60</v>
      </c>
      <c r="J11" t="s">
        <v>62</v>
      </c>
      <c r="K11" t="s">
        <v>63</v>
      </c>
      <c r="L11">
        <v>495.654</v>
      </c>
      <c r="M11">
        <v>55259.6</v>
      </c>
      <c r="N11">
        <v>383</v>
      </c>
      <c r="O11">
        <v>1546.05</v>
      </c>
      <c r="P11" t="b">
        <f t="shared" si="0"/>
        <v>1</v>
      </c>
      <c r="Q11">
        <f>_xlfn.XLOOKUP(A11,'[1]Cadastro de Procedimentos'!$D:$D,'[1]Cadastro de Procedimentos'!$X:$X)</f>
        <v>16</v>
      </c>
      <c r="R11">
        <f>_xlfn.XLOOKUP(E11,[2]Sheet1!$D:$D,[2]Sheet1!$O:$O)</f>
        <v>16</v>
      </c>
      <c r="S11" t="s">
        <v>65</v>
      </c>
      <c r="T11">
        <v>100</v>
      </c>
    </row>
    <row r="12" spans="1:20" x14ac:dyDescent="0.35">
      <c r="A12">
        <v>39261</v>
      </c>
      <c r="B12">
        <v>37</v>
      </c>
      <c r="C12" s="2">
        <v>1080</v>
      </c>
      <c r="D12" t="s">
        <v>19</v>
      </c>
      <c r="E12" s="2">
        <v>800038691</v>
      </c>
      <c r="F12" t="s">
        <v>31</v>
      </c>
      <c r="G12" t="s">
        <v>56</v>
      </c>
      <c r="H12" t="s">
        <v>57</v>
      </c>
      <c r="I12" t="s">
        <v>60</v>
      </c>
      <c r="J12" t="s">
        <v>62</v>
      </c>
      <c r="K12" t="s">
        <v>63</v>
      </c>
      <c r="L12">
        <v>289.10599999999999</v>
      </c>
      <c r="M12">
        <v>29642.5</v>
      </c>
      <c r="N12">
        <v>136</v>
      </c>
      <c r="O12">
        <v>682.63</v>
      </c>
      <c r="P12" t="b">
        <f t="shared" si="0"/>
        <v>0</v>
      </c>
      <c r="Q12">
        <f>_xlfn.XLOOKUP(A12,'[1]Cadastro de Procedimentos'!$D:$D,'[1]Cadastro de Procedimentos'!$X:$X)</f>
        <v>7</v>
      </c>
      <c r="R12">
        <f>_xlfn.XLOOKUP(E12,[2]Sheet1!$D:$D,[2]Sheet1!$O:$O)</f>
        <v>8</v>
      </c>
      <c r="S12" t="s">
        <v>66</v>
      </c>
      <c r="T12">
        <v>100</v>
      </c>
    </row>
    <row r="13" spans="1:20" x14ac:dyDescent="0.35">
      <c r="A13">
        <v>46051</v>
      </c>
      <c r="B13">
        <v>51</v>
      </c>
      <c r="C13" s="2">
        <v>1080</v>
      </c>
      <c r="D13" t="s">
        <v>19</v>
      </c>
      <c r="E13" s="2">
        <v>800045091</v>
      </c>
      <c r="F13" t="s">
        <v>32</v>
      </c>
      <c r="G13" t="s">
        <v>52</v>
      </c>
      <c r="H13" t="s">
        <v>57</v>
      </c>
      <c r="I13" t="s">
        <v>60</v>
      </c>
      <c r="J13" t="s">
        <v>62</v>
      </c>
      <c r="K13" t="s">
        <v>64</v>
      </c>
      <c r="L13">
        <v>10.622</v>
      </c>
      <c r="M13">
        <v>12095.1</v>
      </c>
      <c r="N13">
        <v>27</v>
      </c>
      <c r="O13">
        <v>48.4</v>
      </c>
      <c r="P13" t="b">
        <f t="shared" si="0"/>
        <v>1</v>
      </c>
      <c r="Q13">
        <f>_xlfn.XLOOKUP(A13,'[1]Cadastro de Procedimentos'!$D:$D,'[1]Cadastro de Procedimentos'!$X:$X)</f>
        <v>1</v>
      </c>
      <c r="R13">
        <f>_xlfn.XLOOKUP(E13,[2]Sheet1!$D:$D,[2]Sheet1!$O:$O)</f>
        <v>1</v>
      </c>
      <c r="S13" t="s">
        <v>65</v>
      </c>
      <c r="T13">
        <v>100</v>
      </c>
    </row>
    <row r="14" spans="1:20" x14ac:dyDescent="0.35">
      <c r="A14">
        <v>20300</v>
      </c>
      <c r="B14">
        <v>52</v>
      </c>
      <c r="C14" s="2">
        <v>1080</v>
      </c>
      <c r="D14" t="s">
        <v>19</v>
      </c>
      <c r="E14" s="2">
        <v>800005693</v>
      </c>
      <c r="F14" t="s">
        <v>33</v>
      </c>
      <c r="G14" t="s">
        <v>52</v>
      </c>
      <c r="H14" t="s">
        <v>57</v>
      </c>
      <c r="I14" t="s">
        <v>60</v>
      </c>
      <c r="J14" t="s">
        <v>62</v>
      </c>
      <c r="K14" t="s">
        <v>64</v>
      </c>
      <c r="L14">
        <v>71.494</v>
      </c>
      <c r="M14">
        <v>58924.1</v>
      </c>
      <c r="N14">
        <v>70</v>
      </c>
      <c r="O14">
        <v>235.69</v>
      </c>
      <c r="P14" t="b">
        <f t="shared" si="0"/>
        <v>1</v>
      </c>
      <c r="Q14">
        <f>_xlfn.XLOOKUP(A14,'[1]Cadastro de Procedimentos'!$D:$D,'[1]Cadastro de Procedimentos'!$X:$X)</f>
        <v>3</v>
      </c>
      <c r="R14">
        <f>_xlfn.XLOOKUP(E14,[2]Sheet1!$D:$D,[2]Sheet1!$O:$O)</f>
        <v>3</v>
      </c>
      <c r="S14" t="s">
        <v>65</v>
      </c>
      <c r="T14">
        <v>100</v>
      </c>
    </row>
    <row r="15" spans="1:20" x14ac:dyDescent="0.35">
      <c r="A15">
        <v>56589</v>
      </c>
      <c r="B15">
        <v>57</v>
      </c>
      <c r="C15" s="2">
        <v>1080</v>
      </c>
      <c r="D15" t="s">
        <v>19</v>
      </c>
      <c r="E15" s="2">
        <v>800006295</v>
      </c>
      <c r="F15" t="s">
        <v>34</v>
      </c>
      <c r="G15" t="s">
        <v>52</v>
      </c>
      <c r="H15" t="s">
        <v>57</v>
      </c>
      <c r="I15" t="s">
        <v>60</v>
      </c>
      <c r="J15" t="s">
        <v>62</v>
      </c>
      <c r="K15" t="s">
        <v>64</v>
      </c>
      <c r="L15">
        <v>7.08</v>
      </c>
      <c r="M15">
        <v>5655.4</v>
      </c>
      <c r="N15">
        <v>18</v>
      </c>
      <c r="O15">
        <v>22.62</v>
      </c>
      <c r="P15" t="b">
        <f t="shared" si="0"/>
        <v>1</v>
      </c>
      <c r="Q15">
        <f>_xlfn.XLOOKUP(A15,'[1]Cadastro de Procedimentos'!$D:$D,'[1]Cadastro de Procedimentos'!$X:$X)</f>
        <v>1</v>
      </c>
      <c r="R15">
        <f>_xlfn.XLOOKUP(E15,[2]Sheet1!$D:$D,[2]Sheet1!$O:$O)</f>
        <v>1</v>
      </c>
      <c r="S15" t="s">
        <v>65</v>
      </c>
      <c r="T15">
        <v>100</v>
      </c>
    </row>
    <row r="16" spans="1:20" x14ac:dyDescent="0.35">
      <c r="A16">
        <v>78550</v>
      </c>
      <c r="B16">
        <v>61</v>
      </c>
      <c r="C16" s="2">
        <v>1080</v>
      </c>
      <c r="D16" t="s">
        <v>19</v>
      </c>
      <c r="E16" s="2">
        <v>800006648</v>
      </c>
      <c r="F16" t="s">
        <v>35</v>
      </c>
      <c r="G16" t="s">
        <v>55</v>
      </c>
      <c r="H16" t="s">
        <v>57</v>
      </c>
      <c r="I16" t="s">
        <v>60</v>
      </c>
      <c r="J16" t="s">
        <v>62</v>
      </c>
      <c r="K16" t="s">
        <v>63</v>
      </c>
      <c r="L16">
        <v>181.73</v>
      </c>
      <c r="M16">
        <v>17586.8</v>
      </c>
      <c r="N16">
        <v>87</v>
      </c>
      <c r="O16">
        <v>211.1</v>
      </c>
      <c r="P16" t="b">
        <f t="shared" si="0"/>
        <v>0</v>
      </c>
      <c r="Q16">
        <f>_xlfn.XLOOKUP(A16,'[1]Cadastro de Procedimentos'!$D:$D,'[1]Cadastro de Procedimentos'!$X:$X)</f>
        <v>3</v>
      </c>
      <c r="R16">
        <f>_xlfn.XLOOKUP(E16,[2]Sheet1!$D:$D,[2]Sheet1!$O:$O)</f>
        <v>2</v>
      </c>
      <c r="S16" t="s">
        <v>65</v>
      </c>
      <c r="T16">
        <v>100</v>
      </c>
    </row>
    <row r="17" spans="1:20" x14ac:dyDescent="0.35">
      <c r="A17">
        <v>501046</v>
      </c>
      <c r="B17">
        <v>90</v>
      </c>
      <c r="C17" s="2">
        <v>1080</v>
      </c>
      <c r="D17" t="s">
        <v>19</v>
      </c>
      <c r="E17" s="2">
        <v>800048577</v>
      </c>
      <c r="F17" t="s">
        <v>36</v>
      </c>
      <c r="G17" t="s">
        <v>53</v>
      </c>
      <c r="H17" t="s">
        <v>57</v>
      </c>
      <c r="I17" t="s">
        <v>60</v>
      </c>
      <c r="J17" t="s">
        <v>61</v>
      </c>
      <c r="K17" t="s">
        <v>64</v>
      </c>
      <c r="L17">
        <v>63.88</v>
      </c>
      <c r="M17">
        <v>26356.3</v>
      </c>
      <c r="N17">
        <v>60</v>
      </c>
      <c r="O17">
        <v>219.64</v>
      </c>
      <c r="P17" t="b">
        <f t="shared" si="0"/>
        <v>0</v>
      </c>
      <c r="Q17">
        <f>_xlfn.XLOOKUP(A17,'[1]Cadastro de Procedimentos'!$D:$D,'[1]Cadastro de Procedimentos'!$X:$X)</f>
        <v>2</v>
      </c>
      <c r="R17">
        <f>_xlfn.XLOOKUP(E17,[2]Sheet1!$D:$D,[2]Sheet1!$O:$O)</f>
        <v>0</v>
      </c>
      <c r="S17" t="s">
        <v>65</v>
      </c>
      <c r="T17">
        <v>100</v>
      </c>
    </row>
    <row r="18" spans="1:20" x14ac:dyDescent="0.35">
      <c r="A18">
        <v>72500</v>
      </c>
      <c r="B18">
        <v>101</v>
      </c>
      <c r="C18" s="2">
        <v>1080</v>
      </c>
      <c r="D18" t="s">
        <v>19</v>
      </c>
      <c r="E18" s="2">
        <v>800006536</v>
      </c>
      <c r="F18" t="s">
        <v>37</v>
      </c>
      <c r="G18" t="s">
        <v>54</v>
      </c>
      <c r="H18" t="s">
        <v>57</v>
      </c>
      <c r="I18" t="s">
        <v>60</v>
      </c>
      <c r="J18" t="s">
        <v>61</v>
      </c>
      <c r="K18" t="s">
        <v>63</v>
      </c>
      <c r="L18">
        <v>9.9719999999999995</v>
      </c>
      <c r="M18">
        <v>889.8</v>
      </c>
      <c r="N18">
        <v>218</v>
      </c>
      <c r="O18">
        <v>54.77</v>
      </c>
      <c r="P18" t="e">
        <f>Q18=#REF!</f>
        <v>#N/A</v>
      </c>
      <c r="Q18" t="e">
        <f>_xlfn.XLOOKUP(A18,'[1]Cadastro de Procedimentos'!$D:$D,'[1]Cadastro de Procedimentos'!$X:$X)</f>
        <v>#N/A</v>
      </c>
      <c r="S18" t="s">
        <v>66</v>
      </c>
      <c r="T18">
        <v>100</v>
      </c>
    </row>
    <row r="19" spans="1:20" x14ac:dyDescent="0.35">
      <c r="A19">
        <v>60643</v>
      </c>
      <c r="B19">
        <v>107</v>
      </c>
      <c r="C19" s="2">
        <v>1080</v>
      </c>
      <c r="D19" t="s">
        <v>19</v>
      </c>
      <c r="E19" s="2">
        <v>800006356</v>
      </c>
      <c r="F19" t="s">
        <v>38</v>
      </c>
      <c r="G19" t="s">
        <v>53</v>
      </c>
      <c r="H19" t="s">
        <v>57</v>
      </c>
      <c r="I19" t="s">
        <v>60</v>
      </c>
      <c r="J19" t="s">
        <v>62</v>
      </c>
      <c r="K19" t="s">
        <v>63</v>
      </c>
      <c r="L19">
        <v>480.274</v>
      </c>
      <c r="M19">
        <v>18624.5</v>
      </c>
      <c r="N19">
        <v>209</v>
      </c>
      <c r="O19">
        <v>1187.67</v>
      </c>
      <c r="P19" t="b">
        <f>Q19=R19</f>
        <v>0</v>
      </c>
      <c r="Q19">
        <f>_xlfn.XLOOKUP(A19,'[1]Cadastro de Procedimentos'!$D:$D,'[1]Cadastro de Procedimentos'!$X:$X)</f>
        <v>13</v>
      </c>
      <c r="R19">
        <f>_xlfn.XLOOKUP(E19,[2]Sheet1!$D:$D,[2]Sheet1!$O:$O)</f>
        <v>11</v>
      </c>
      <c r="S19" t="s">
        <v>66</v>
      </c>
      <c r="T19">
        <v>100</v>
      </c>
    </row>
    <row r="20" spans="1:20" x14ac:dyDescent="0.35">
      <c r="A20">
        <v>60629</v>
      </c>
      <c r="B20">
        <v>110</v>
      </c>
      <c r="C20" s="2">
        <v>1080</v>
      </c>
      <c r="D20" t="s">
        <v>19</v>
      </c>
      <c r="E20" s="2">
        <v>800015229</v>
      </c>
      <c r="F20" t="s">
        <v>39</v>
      </c>
      <c r="G20" t="s">
        <v>53</v>
      </c>
      <c r="H20" t="s">
        <v>57</v>
      </c>
      <c r="I20" t="s">
        <v>60</v>
      </c>
      <c r="J20" t="s">
        <v>61</v>
      </c>
      <c r="K20" t="s">
        <v>63</v>
      </c>
      <c r="L20">
        <v>12.685</v>
      </c>
      <c r="M20">
        <v>2124.8000000000002</v>
      </c>
      <c r="N20">
        <v>14</v>
      </c>
      <c r="O20">
        <v>26.31</v>
      </c>
      <c r="P20" t="b">
        <f>Q20=R20</f>
        <v>0</v>
      </c>
      <c r="Q20">
        <f>_xlfn.XLOOKUP(A20,'[1]Cadastro de Procedimentos'!$D:$D,'[1]Cadastro de Procedimentos'!$X:$X)</f>
        <v>1</v>
      </c>
      <c r="R20">
        <f>_xlfn.XLOOKUP(E20,[2]Sheet1!$D:$D,[2]Sheet1!$O:$O)</f>
        <v>2</v>
      </c>
      <c r="S20" t="s">
        <v>65</v>
      </c>
      <c r="T20">
        <v>100</v>
      </c>
    </row>
    <row r="21" spans="1:20" x14ac:dyDescent="0.35">
      <c r="A21">
        <v>46189</v>
      </c>
      <c r="B21">
        <v>164</v>
      </c>
      <c r="C21" s="2">
        <v>1080</v>
      </c>
      <c r="D21" t="s">
        <v>19</v>
      </c>
      <c r="E21" s="2">
        <v>800045273</v>
      </c>
      <c r="F21" t="s">
        <v>40</v>
      </c>
      <c r="G21" t="s">
        <v>55</v>
      </c>
      <c r="H21" t="s">
        <v>57</v>
      </c>
      <c r="I21" t="s">
        <v>60</v>
      </c>
      <c r="J21" t="s">
        <v>61</v>
      </c>
      <c r="K21" t="s">
        <v>63</v>
      </c>
      <c r="L21">
        <v>4109.8069999999998</v>
      </c>
      <c r="M21">
        <v>222158.7</v>
      </c>
      <c r="N21">
        <v>2486</v>
      </c>
      <c r="O21">
        <v>5234.6499999999996</v>
      </c>
      <c r="P21" t="b">
        <f>Q21=R21</f>
        <v>0</v>
      </c>
      <c r="Q21">
        <f>_xlfn.XLOOKUP(A21,'[1]Cadastro de Procedimentos'!$D:$D,'[1]Cadastro de Procedimentos'!$X:$X)</f>
        <v>52</v>
      </c>
      <c r="R21">
        <f>_xlfn.XLOOKUP(E21,[2]Sheet1!$D:$D,[2]Sheet1!$O:$O)</f>
        <v>49</v>
      </c>
      <c r="S21" t="s">
        <v>65</v>
      </c>
      <c r="T21">
        <v>98.5</v>
      </c>
    </row>
    <row r="22" spans="1:20" x14ac:dyDescent="0.35">
      <c r="A22" t="s">
        <v>72</v>
      </c>
      <c r="B22">
        <v>168</v>
      </c>
      <c r="C22" s="2">
        <v>1080</v>
      </c>
      <c r="D22" t="s">
        <v>19</v>
      </c>
      <c r="E22" s="2">
        <v>800002635</v>
      </c>
      <c r="F22" t="s">
        <v>41</v>
      </c>
      <c r="G22" t="s">
        <v>55</v>
      </c>
      <c r="H22" t="s">
        <v>57</v>
      </c>
      <c r="I22" t="s">
        <v>60</v>
      </c>
      <c r="J22" t="s">
        <v>61</v>
      </c>
      <c r="K22" t="s">
        <v>63</v>
      </c>
      <c r="L22">
        <v>315.25799999999998</v>
      </c>
      <c r="M22">
        <v>44818.8</v>
      </c>
      <c r="N22">
        <v>143</v>
      </c>
      <c r="O22">
        <v>353.8</v>
      </c>
      <c r="P22" t="b">
        <f>Q22=R22</f>
        <v>0</v>
      </c>
      <c r="Q22">
        <f>_xlfn.XLOOKUP(A22,'[1]Cadastro de Procedimentos'!$D:$D,'[1]Cadastro de Procedimentos'!$X:$X)</f>
        <v>8</v>
      </c>
      <c r="R22">
        <f>_xlfn.XLOOKUP(E22,[2]Sheet1!$D:$D,[2]Sheet1!$O:$O)</f>
        <v>7</v>
      </c>
      <c r="S22" t="s">
        <v>66</v>
      </c>
      <c r="T22">
        <v>100</v>
      </c>
    </row>
    <row r="23" spans="1:20" x14ac:dyDescent="0.35">
      <c r="A23">
        <v>46892</v>
      </c>
      <c r="B23">
        <v>172</v>
      </c>
      <c r="C23" s="2">
        <v>1080</v>
      </c>
      <c r="D23" t="s">
        <v>19</v>
      </c>
      <c r="E23" s="2">
        <v>800046417</v>
      </c>
      <c r="F23" t="s">
        <v>42</v>
      </c>
      <c r="G23" t="s">
        <v>52</v>
      </c>
      <c r="H23" t="s">
        <v>57</v>
      </c>
      <c r="I23" t="s">
        <v>60</v>
      </c>
      <c r="J23" t="s">
        <v>61</v>
      </c>
      <c r="K23" t="s">
        <v>63</v>
      </c>
      <c r="L23">
        <v>144.41300000000001</v>
      </c>
      <c r="M23">
        <v>46436.2</v>
      </c>
      <c r="N23">
        <v>142</v>
      </c>
      <c r="O23">
        <v>205.26</v>
      </c>
      <c r="P23" t="e">
        <f>Q23=#REF!</f>
        <v>#N/A</v>
      </c>
      <c r="Q23" t="e">
        <f>_xlfn.XLOOKUP(A23,'[1]Cadastro de Procedimentos'!$D:$D,'[1]Cadastro de Procedimentos'!$X:$X)</f>
        <v>#N/A</v>
      </c>
      <c r="S23" t="s">
        <v>65</v>
      </c>
      <c r="T23">
        <v>100</v>
      </c>
    </row>
    <row r="24" spans="1:20" x14ac:dyDescent="0.35">
      <c r="A24">
        <v>47060</v>
      </c>
      <c r="B24">
        <v>184</v>
      </c>
      <c r="C24" s="2">
        <v>1080</v>
      </c>
      <c r="D24" t="s">
        <v>19</v>
      </c>
      <c r="E24" s="2">
        <v>800046699</v>
      </c>
      <c r="F24" t="s">
        <v>43</v>
      </c>
      <c r="G24" t="s">
        <v>53</v>
      </c>
      <c r="H24" t="s">
        <v>57</v>
      </c>
      <c r="I24" t="s">
        <v>60</v>
      </c>
      <c r="J24" t="s">
        <v>61</v>
      </c>
      <c r="K24" t="s">
        <v>63</v>
      </c>
      <c r="L24">
        <v>1843.2059999999999</v>
      </c>
      <c r="M24">
        <v>204958.6</v>
      </c>
      <c r="N24">
        <v>784</v>
      </c>
      <c r="O24">
        <v>4440.83</v>
      </c>
      <c r="P24" t="b">
        <f>Q24=R24</f>
        <v>0</v>
      </c>
      <c r="Q24">
        <f>_xlfn.XLOOKUP(A24,'[1]Cadastro de Procedimentos'!$D:$D,'[1]Cadastro de Procedimentos'!$X:$X)</f>
        <v>43</v>
      </c>
      <c r="R24">
        <f>_xlfn.XLOOKUP(E24,[2]Sheet1!$D:$D,[2]Sheet1!$O:$O)</f>
        <v>30</v>
      </c>
      <c r="S24" t="s">
        <v>65</v>
      </c>
      <c r="T24">
        <v>100</v>
      </c>
    </row>
    <row r="25" spans="1:20" x14ac:dyDescent="0.35">
      <c r="A25">
        <v>46422</v>
      </c>
      <c r="B25">
        <v>189</v>
      </c>
      <c r="C25" s="2">
        <v>1080</v>
      </c>
      <c r="D25" t="s">
        <v>19</v>
      </c>
      <c r="E25" s="2">
        <v>800045685</v>
      </c>
      <c r="F25" t="s">
        <v>44</v>
      </c>
      <c r="G25" t="s">
        <v>54</v>
      </c>
      <c r="H25" t="s">
        <v>57</v>
      </c>
      <c r="I25" t="s">
        <v>60</v>
      </c>
      <c r="J25" t="s">
        <v>61</v>
      </c>
      <c r="K25" t="s">
        <v>63</v>
      </c>
      <c r="L25">
        <v>12.612</v>
      </c>
      <c r="M25">
        <v>3115.3</v>
      </c>
      <c r="N25">
        <v>12</v>
      </c>
      <c r="O25">
        <v>28.6</v>
      </c>
      <c r="P25" t="b">
        <f>Q25=R25</f>
        <v>1</v>
      </c>
      <c r="Q25">
        <f>_xlfn.XLOOKUP(A25,'[1]Cadastro de Procedimentos'!$D:$D,'[1]Cadastro de Procedimentos'!$X:$X)</f>
        <v>1</v>
      </c>
      <c r="R25">
        <f>_xlfn.XLOOKUP(E25,[2]Sheet1!$D:$D,[2]Sheet1!$O:$O)</f>
        <v>1</v>
      </c>
      <c r="S25" t="s">
        <v>65</v>
      </c>
      <c r="T25">
        <v>100</v>
      </c>
    </row>
    <row r="26" spans="1:20" x14ac:dyDescent="0.35">
      <c r="A26">
        <v>60644</v>
      </c>
      <c r="B26">
        <v>23</v>
      </c>
      <c r="C26" t="s">
        <v>16</v>
      </c>
      <c r="D26" t="s">
        <v>20</v>
      </c>
      <c r="E26" s="2">
        <v>800006357</v>
      </c>
      <c r="F26" t="s">
        <v>38</v>
      </c>
      <c r="G26" t="s">
        <v>52</v>
      </c>
      <c r="H26" t="s">
        <v>57</v>
      </c>
      <c r="I26" t="s">
        <v>60</v>
      </c>
      <c r="J26" t="s">
        <v>61</v>
      </c>
      <c r="K26" t="s">
        <v>63</v>
      </c>
      <c r="L26">
        <v>47.637</v>
      </c>
      <c r="M26">
        <v>3764.3</v>
      </c>
      <c r="N26">
        <v>68</v>
      </c>
      <c r="O26">
        <v>82.77</v>
      </c>
      <c r="P26" t="e">
        <f>Q26=#REF!</f>
        <v>#N/A</v>
      </c>
      <c r="Q26" t="e">
        <f>_xlfn.XLOOKUP(A26,'[1]Cadastro de Procedimentos'!$D:$D,'[1]Cadastro de Procedimentos'!$X:$X)</f>
        <v>#N/A</v>
      </c>
      <c r="S26" t="s">
        <v>66</v>
      </c>
      <c r="T26">
        <v>100</v>
      </c>
    </row>
    <row r="27" spans="1:20" x14ac:dyDescent="0.35">
      <c r="A27">
        <v>58696</v>
      </c>
      <c r="B27">
        <v>38</v>
      </c>
      <c r="C27" t="s">
        <v>16</v>
      </c>
      <c r="D27" t="s">
        <v>20</v>
      </c>
      <c r="E27" s="2">
        <v>800006330</v>
      </c>
      <c r="F27" t="s">
        <v>45</v>
      </c>
      <c r="G27" t="s">
        <v>53</v>
      </c>
      <c r="H27" t="s">
        <v>57</v>
      </c>
      <c r="I27" t="s">
        <v>60</v>
      </c>
      <c r="J27" t="s">
        <v>62</v>
      </c>
      <c r="K27" t="s">
        <v>63</v>
      </c>
      <c r="L27">
        <v>216.15100000000001</v>
      </c>
      <c r="M27">
        <v>19964.8</v>
      </c>
      <c r="N27">
        <v>459</v>
      </c>
      <c r="O27">
        <v>506.61</v>
      </c>
      <c r="P27" t="b">
        <f t="shared" ref="P27:P32" si="1">Q27=R27</f>
        <v>0</v>
      </c>
      <c r="Q27">
        <f>_xlfn.XLOOKUP(A27,'[1]Cadastro de Procedimentos'!$D:$D,'[1]Cadastro de Procedimentos'!$X:$X)</f>
        <v>5</v>
      </c>
      <c r="R27">
        <f>_xlfn.XLOOKUP(E27,[2]Sheet1!$D:$D,[2]Sheet1!$O:$O)</f>
        <v>7</v>
      </c>
      <c r="S27" t="s">
        <v>65</v>
      </c>
      <c r="T27">
        <v>100</v>
      </c>
    </row>
    <row r="28" spans="1:20" x14ac:dyDescent="0.35">
      <c r="A28">
        <v>19414</v>
      </c>
      <c r="B28">
        <v>49</v>
      </c>
      <c r="C28" t="s">
        <v>16</v>
      </c>
      <c r="D28" t="s">
        <v>20</v>
      </c>
      <c r="E28" s="2">
        <v>800005687</v>
      </c>
      <c r="F28" t="s">
        <v>46</v>
      </c>
      <c r="G28" t="s">
        <v>53</v>
      </c>
      <c r="H28" t="s">
        <v>57</v>
      </c>
      <c r="I28" t="s">
        <v>60</v>
      </c>
      <c r="J28" t="s">
        <v>62</v>
      </c>
      <c r="K28" t="s">
        <v>64</v>
      </c>
      <c r="L28">
        <v>0.20699999999999999</v>
      </c>
      <c r="M28">
        <v>230.9</v>
      </c>
      <c r="N28">
        <v>21</v>
      </c>
      <c r="O28">
        <v>1.93</v>
      </c>
      <c r="P28" t="b">
        <f t="shared" si="1"/>
        <v>1</v>
      </c>
      <c r="Q28">
        <f>_xlfn.XLOOKUP(A28,'[1]Cadastro de Procedimentos'!$D:$D,'[1]Cadastro de Procedimentos'!$X:$X)</f>
        <v>1</v>
      </c>
      <c r="R28">
        <f>_xlfn.XLOOKUP(E28,[2]Sheet1!$D:$D,[2]Sheet1!$O:$O)</f>
        <v>1</v>
      </c>
      <c r="S28" t="s">
        <v>67</v>
      </c>
      <c r="T28">
        <v>100</v>
      </c>
    </row>
    <row r="29" spans="1:20" x14ac:dyDescent="0.35">
      <c r="A29">
        <v>47166</v>
      </c>
      <c r="B29">
        <v>58</v>
      </c>
      <c r="C29" t="s">
        <v>16</v>
      </c>
      <c r="D29" t="s">
        <v>20</v>
      </c>
      <c r="E29" s="2">
        <v>800046899</v>
      </c>
      <c r="F29" t="s">
        <v>47</v>
      </c>
      <c r="G29" t="s">
        <v>53</v>
      </c>
      <c r="H29" t="s">
        <v>57</v>
      </c>
      <c r="I29" t="s">
        <v>60</v>
      </c>
      <c r="J29" t="s">
        <v>62</v>
      </c>
      <c r="K29" t="s">
        <v>64</v>
      </c>
      <c r="L29">
        <v>5.5380000000000003</v>
      </c>
      <c r="M29">
        <v>3944.3</v>
      </c>
      <c r="N29">
        <v>16</v>
      </c>
      <c r="O29">
        <v>32.869999999999997</v>
      </c>
      <c r="P29" t="b">
        <f t="shared" si="1"/>
        <v>1</v>
      </c>
      <c r="Q29">
        <f>_xlfn.XLOOKUP(A29,'[1]Cadastro de Procedimentos'!$D:$D,'[1]Cadastro de Procedimentos'!$X:$X)</f>
        <v>1</v>
      </c>
      <c r="R29">
        <f>_xlfn.XLOOKUP(E29,[2]Sheet1!$D:$D,[2]Sheet1!$O:$O)</f>
        <v>1</v>
      </c>
      <c r="S29" t="s">
        <v>65</v>
      </c>
      <c r="T29">
        <v>100</v>
      </c>
    </row>
    <row r="30" spans="1:20" x14ac:dyDescent="0.35">
      <c r="A30">
        <v>27951</v>
      </c>
      <c r="B30">
        <v>86</v>
      </c>
      <c r="C30" t="s">
        <v>16</v>
      </c>
      <c r="D30" t="s">
        <v>20</v>
      </c>
      <c r="E30" s="2">
        <v>800021967</v>
      </c>
      <c r="F30" t="s">
        <v>48</v>
      </c>
      <c r="G30" t="s">
        <v>53</v>
      </c>
      <c r="H30" t="s">
        <v>57</v>
      </c>
      <c r="I30" t="s">
        <v>60</v>
      </c>
      <c r="J30" t="s">
        <v>61</v>
      </c>
      <c r="K30" t="s">
        <v>64</v>
      </c>
      <c r="L30">
        <v>8.9999999999999993E-3</v>
      </c>
      <c r="M30">
        <v>1.9</v>
      </c>
      <c r="N30">
        <v>1</v>
      </c>
      <c r="O30">
        <v>0.02</v>
      </c>
      <c r="P30" t="b">
        <f t="shared" si="1"/>
        <v>1</v>
      </c>
      <c r="Q30">
        <f>_xlfn.XLOOKUP(A30,'[1]Cadastro de Procedimentos'!$D:$D,'[1]Cadastro de Procedimentos'!$X:$X)</f>
        <v>1</v>
      </c>
      <c r="R30">
        <f>_xlfn.XLOOKUP(E30,[2]Sheet1!$D:$D,[2]Sheet1!$O:$O)</f>
        <v>1</v>
      </c>
      <c r="S30" t="s">
        <v>67</v>
      </c>
      <c r="T30">
        <v>100</v>
      </c>
    </row>
    <row r="31" spans="1:20" x14ac:dyDescent="0.35">
      <c r="A31">
        <v>21544</v>
      </c>
      <c r="B31">
        <v>87</v>
      </c>
      <c r="C31" t="s">
        <v>16</v>
      </c>
      <c r="D31" t="s">
        <v>20</v>
      </c>
      <c r="E31" s="2">
        <v>800014209</v>
      </c>
      <c r="F31" t="s">
        <v>49</v>
      </c>
      <c r="G31" t="s">
        <v>53</v>
      </c>
      <c r="H31" t="s">
        <v>57</v>
      </c>
      <c r="I31" t="s">
        <v>60</v>
      </c>
      <c r="J31" t="s">
        <v>61</v>
      </c>
      <c r="K31" t="s">
        <v>63</v>
      </c>
      <c r="L31">
        <v>412.73099999999999</v>
      </c>
      <c r="M31">
        <v>72680.5</v>
      </c>
      <c r="N31">
        <v>718</v>
      </c>
      <c r="O31">
        <v>1262.77</v>
      </c>
      <c r="P31" t="e">
        <f t="shared" si="1"/>
        <v>#N/A</v>
      </c>
      <c r="Q31">
        <f>_xlfn.XLOOKUP(A31,'[1]Cadastro de Procedimentos'!$D:$D,'[1]Cadastro de Procedimentos'!$X:$X)</f>
        <v>9</v>
      </c>
      <c r="R31" t="e">
        <f>_xlfn.XLOOKUP(E31,[2]Sheet1!$D:$D,[2]Sheet1!$O:$O)</f>
        <v>#N/A</v>
      </c>
      <c r="S31" t="s">
        <v>66</v>
      </c>
      <c r="T31">
        <v>100</v>
      </c>
    </row>
    <row r="32" spans="1:20" x14ac:dyDescent="0.35">
      <c r="A32">
        <v>61950</v>
      </c>
      <c r="B32">
        <v>91</v>
      </c>
      <c r="C32" t="s">
        <v>16</v>
      </c>
      <c r="D32" t="s">
        <v>20</v>
      </c>
      <c r="E32" s="2">
        <v>800006372</v>
      </c>
      <c r="F32" t="s">
        <v>50</v>
      </c>
      <c r="G32" t="s">
        <v>53</v>
      </c>
      <c r="H32" t="s">
        <v>57</v>
      </c>
      <c r="I32" t="s">
        <v>60</v>
      </c>
      <c r="J32" t="s">
        <v>62</v>
      </c>
      <c r="K32" t="s">
        <v>64</v>
      </c>
      <c r="L32">
        <v>13.096</v>
      </c>
      <c r="M32">
        <v>8501.7999999999993</v>
      </c>
      <c r="N32">
        <v>322</v>
      </c>
      <c r="O32">
        <v>70.849999999999994</v>
      </c>
      <c r="P32" t="b">
        <f t="shared" si="1"/>
        <v>1</v>
      </c>
      <c r="Q32">
        <f>_xlfn.XLOOKUP(A32,'[1]Cadastro de Procedimentos'!$D:$D,'[1]Cadastro de Procedimentos'!$X:$X)</f>
        <v>1</v>
      </c>
      <c r="R32">
        <f>_xlfn.XLOOKUP(E32,[2]Sheet1!$D:$D,[2]Sheet1!$O:$O)</f>
        <v>1</v>
      </c>
      <c r="S32" t="s">
        <v>66</v>
      </c>
      <c r="T32">
        <v>100</v>
      </c>
    </row>
    <row r="33" spans="1:20" x14ac:dyDescent="0.35">
      <c r="A33">
        <v>31775</v>
      </c>
      <c r="B33">
        <v>96</v>
      </c>
      <c r="C33" t="s">
        <v>16</v>
      </c>
      <c r="D33" t="s">
        <v>20</v>
      </c>
      <c r="E33" s="2">
        <v>800028458</v>
      </c>
      <c r="F33" t="s">
        <v>51</v>
      </c>
      <c r="G33" t="s">
        <v>52</v>
      </c>
      <c r="H33" t="s">
        <v>58</v>
      </c>
      <c r="I33" t="s">
        <v>60</v>
      </c>
      <c r="J33" t="s">
        <v>61</v>
      </c>
      <c r="K33" t="s">
        <v>63</v>
      </c>
      <c r="L33">
        <v>55.167000000000002</v>
      </c>
      <c r="M33">
        <v>12378.4</v>
      </c>
      <c r="N33">
        <v>234</v>
      </c>
      <c r="O33">
        <v>267.05</v>
      </c>
      <c r="P33" t="e">
        <f>Q33=#REF!</f>
        <v>#N/A</v>
      </c>
      <c r="Q33" t="e">
        <f>_xlfn.XLOOKUP(A33,'[1]Cadastro de Procedimentos'!$D:$D,'[1]Cadastro de Procedimentos'!$X:$X)</f>
        <v>#N/A</v>
      </c>
      <c r="S33" t="s">
        <v>66</v>
      </c>
      <c r="T33">
        <v>100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2026-04-01T20:35:21Z</dcterms:created>
  <dcterms:modified xsi:type="dcterms:W3CDTF">2026-04-02T21:21:22Z</dcterms:modified>
</cp:coreProperties>
</file>