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erna\Desktop\STALLANTIS\VIAJANTE\Viajante\BD\"/>
    </mc:Choice>
  </mc:AlternateContent>
  <xr:revisionPtr revIDLastSave="0" documentId="13_ncr:1_{163A8BF9-D03F-4059-80C9-88235255B616}" xr6:coauthVersionLast="47" xr6:coauthVersionMax="47" xr10:uidLastSave="{00000000-0000-0000-0000-000000000000}"/>
  <bookViews>
    <workbookView xWindow="-110" yWindow="-110" windowWidth="19420" windowHeight="10300" xr2:uid="{560AD881-1239-4AD1-960A-2C71473C6A4C}"/>
  </bookViews>
  <sheets>
    <sheet name="FLUXOS" sheetId="1" r:id="rId1"/>
    <sheet name="FLUXOS  FOR TEST" sheetId="2" r:id="rId2"/>
    <sheet name="Sheet2" sheetId="3" r:id="rId3"/>
  </sheets>
  <externalReferences>
    <externalReference r:id="rId4"/>
    <externalReference r:id="rId5"/>
    <externalReference r:id="rId6"/>
    <externalReference r:id="rId7"/>
  </externalReferences>
  <definedNames>
    <definedName name="_xlnm._FilterDatabase" localSheetId="0" hidden="1">FLUXOS!$A$1:$L$75</definedName>
    <definedName name="_xlnm._FilterDatabase" localSheetId="1" hidden="1">'FLUXOS  FOR TEST'!$T$1:$U$14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" i="2" l="1"/>
  <c r="V7" i="2"/>
  <c r="V3" i="2"/>
  <c r="V13" i="2"/>
  <c r="V11" i="2"/>
  <c r="V10" i="2"/>
  <c r="V9" i="2"/>
  <c r="V8" i="2"/>
  <c r="V6" i="2"/>
  <c r="S13" i="2"/>
  <c r="S11" i="2"/>
  <c r="S10" i="2"/>
  <c r="S9" i="2"/>
  <c r="S8" i="2"/>
  <c r="S7" i="2"/>
  <c r="S6" i="2"/>
  <c r="S5" i="2"/>
  <c r="S3" i="2"/>
  <c r="Q12" i="2" l="1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3" i="2"/>
  <c r="Q4" i="2"/>
  <c r="Q5" i="2"/>
  <c r="Q6" i="2"/>
  <c r="Q7" i="2"/>
  <c r="Q8" i="2"/>
  <c r="Q9" i="2"/>
  <c r="Q10" i="2"/>
  <c r="Q11" i="2"/>
  <c r="Q2" i="2"/>
  <c r="P31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2" i="2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2" i="2"/>
</calcChain>
</file>

<file path=xl/sharedStrings.xml><?xml version="1.0" encoding="utf-8"?>
<sst xmlns="http://schemas.openxmlformats.org/spreadsheetml/2006/main" count="1254" uniqueCount="138">
  <si>
    <t>COD FLUXO</t>
  </si>
  <si>
    <t>COD IMS</t>
  </si>
  <si>
    <t>COD FORNECEDOR</t>
  </si>
  <si>
    <t>FORNECEDOR</t>
  </si>
  <si>
    <t>COD DESTINO</t>
  </si>
  <si>
    <t>NOME DESTINO</t>
  </si>
  <si>
    <t>VEICULO PRINCIPAL</t>
  </si>
  <si>
    <t>MOT</t>
  </si>
  <si>
    <t>TECNOLOGIA</t>
  </si>
  <si>
    <t>TIPO SATURACAO</t>
  </si>
  <si>
    <t>PEDIDO</t>
  </si>
  <si>
    <t>TRANSPORTADORA</t>
  </si>
  <si>
    <t>AUTOLIV</t>
  </si>
  <si>
    <t>FCA</t>
  </si>
  <si>
    <t>CARRETA</t>
  </si>
  <si>
    <t>FTL</t>
  </si>
  <si>
    <t>MONTAGEM-SP</t>
  </si>
  <si>
    <t>VOLUME</t>
  </si>
  <si>
    <t>D</t>
  </si>
  <si>
    <t>JAT</t>
  </si>
  <si>
    <t>32045/43513</t>
  </si>
  <si>
    <t>KOSTAL</t>
  </si>
  <si>
    <t>HBA CASA BRANCA</t>
  </si>
  <si>
    <t>GKN</t>
  </si>
  <si>
    <t>1080/1046</t>
  </si>
  <si>
    <t>FCA/FPT</t>
  </si>
  <si>
    <t>VANDERLEA</t>
  </si>
  <si>
    <t>PESO</t>
  </si>
  <si>
    <t>CARGOLIFT</t>
  </si>
  <si>
    <t>WEIDPLASS</t>
  </si>
  <si>
    <t>CARRETA REBAIXADA</t>
  </si>
  <si>
    <t>CONTINENTAL VÁRZEA PAULISTA</t>
  </si>
  <si>
    <t>TAKATA SP</t>
  </si>
  <si>
    <t>1094/1097</t>
  </si>
  <si>
    <t>800000057/800000059</t>
  </si>
  <si>
    <t>MARELLI HORTOLÂNDIA</t>
  </si>
  <si>
    <t>TRUCK</t>
  </si>
  <si>
    <t>HBA MONTE ALTO</t>
  </si>
  <si>
    <t>ZF LIMEIRA</t>
  </si>
  <si>
    <t>ABC GROUP</t>
  </si>
  <si>
    <t>15075/49000</t>
  </si>
  <si>
    <t>800003602/800006157</t>
  </si>
  <si>
    <t>AUTOMETAL SBC</t>
  </si>
  <si>
    <t>FURLONG</t>
  </si>
  <si>
    <t>IBER OLEF</t>
  </si>
  <si>
    <t>CEBI</t>
  </si>
  <si>
    <t>24149/36190</t>
  </si>
  <si>
    <t>800016833/800034387</t>
  </si>
  <si>
    <t>MAXION WHEELS</t>
  </si>
  <si>
    <t>PIRELLI</t>
  </si>
  <si>
    <t>FKS SP</t>
  </si>
  <si>
    <t>U-SHIN</t>
  </si>
  <si>
    <t>800028812/800043235</t>
  </si>
  <si>
    <t>CONTINENTAL GUARULHOS</t>
  </si>
  <si>
    <t>JSP</t>
  </si>
  <si>
    <t>NEO RODAS</t>
  </si>
  <si>
    <t>HL HOLDING</t>
  </si>
  <si>
    <t>VALEO CAMPINAS</t>
  </si>
  <si>
    <t>NEXTEER</t>
  </si>
  <si>
    <t>FPT</t>
  </si>
  <si>
    <t>15565/51620</t>
  </si>
  <si>
    <t>800003752/800006213</t>
  </si>
  <si>
    <t>MAHLE MOGI-GUAÇU | MIBA</t>
  </si>
  <si>
    <t xml:space="preserve"> CONTINENTAL PARAFUSOS DIADEMA</t>
  </si>
  <si>
    <t>23480/37103</t>
  </si>
  <si>
    <t>800005740/800035411</t>
  </si>
  <si>
    <t>ITAESBRA</t>
  </si>
  <si>
    <t>PIEBURG</t>
  </si>
  <si>
    <t>39011/50111</t>
  </si>
  <si>
    <t>800038221/800006198</t>
  </si>
  <si>
    <t>VIBRACOUSTIC/MUBEA</t>
  </si>
  <si>
    <t>TECKSID ALUMÍNIO</t>
  </si>
  <si>
    <t>USINADORES</t>
  </si>
  <si>
    <t>NEMAK</t>
  </si>
  <si>
    <t>JSL</t>
  </si>
  <si>
    <t>NEUMAYER</t>
  </si>
  <si>
    <t>56589/46051</t>
  </si>
  <si>
    <t>800006295/800045091</t>
  </si>
  <si>
    <t>OMR / CIE FORJAS</t>
  </si>
  <si>
    <t>SUMIDENSO</t>
  </si>
  <si>
    <t>TRUCK 3M</t>
  </si>
  <si>
    <t>800036407/800032490/800005811</t>
  </si>
  <si>
    <t>DELPHI | FEDERAL MOGUL |APTIV PARAISOPOLIS</t>
  </si>
  <si>
    <t>19424 / 50050 / 21342</t>
  </si>
  <si>
    <t>800009488/800006192/800017374</t>
  </si>
  <si>
    <t>WHB | METALKRAFT | VETORE</t>
  </si>
  <si>
    <t>TORA</t>
  </si>
  <si>
    <t>WHB</t>
  </si>
  <si>
    <t>METALKRAFT</t>
  </si>
  <si>
    <t>VETORE</t>
  </si>
  <si>
    <t>OLSA</t>
  </si>
  <si>
    <t>METALÚRGICA NAKAYONE</t>
  </si>
  <si>
    <t>MAGNA VINHEDO</t>
  </si>
  <si>
    <t>JOHNSON (GATE)</t>
  </si>
  <si>
    <t>DENSO</t>
  </si>
  <si>
    <t>CT</t>
  </si>
  <si>
    <t>FEDERAL</t>
  </si>
  <si>
    <t>SOGEFI JARINÚ</t>
  </si>
  <si>
    <t>TRIMTEC</t>
  </si>
  <si>
    <t>COPLAC</t>
  </si>
  <si>
    <t>BOSCH CAMPINAS</t>
  </si>
  <si>
    <t>THERA</t>
  </si>
  <si>
    <t>THYSSENKRUPP POÇOS DE CALDAS/MG</t>
  </si>
  <si>
    <t>TUPY MG</t>
  </si>
  <si>
    <t>FLASH COVER - SANTA FÉ DO SUL</t>
  </si>
  <si>
    <t>DENSO SBO</t>
  </si>
  <si>
    <t>TENNECO ARARAS</t>
  </si>
  <si>
    <t>CAAS</t>
  </si>
  <si>
    <t>TENNECO AUTOMOTIVE - MOGI MIRIM</t>
  </si>
  <si>
    <t>MAHLE COMPRESSORES - JAGUARIUNA</t>
  </si>
  <si>
    <t>INDUSTRIAS ARTEB S/A</t>
  </si>
  <si>
    <t>F2J BRASIL FAROIS E SISTEMAS</t>
  </si>
  <si>
    <t>FMM PERNAMBUCO</t>
  </si>
  <si>
    <t>MONTAGEM-PE</t>
  </si>
  <si>
    <t>NEPOMUCENO</t>
  </si>
  <si>
    <t>NIDEC</t>
  </si>
  <si>
    <t>JOYSON_SAFETY</t>
  </si>
  <si>
    <t>MAGNA</t>
  </si>
  <si>
    <t>KNAUF ISOPOR</t>
  </si>
  <si>
    <t>BORGWARNER</t>
  </si>
  <si>
    <t>OMR</t>
  </si>
  <si>
    <t>CIE FORJAS</t>
  </si>
  <si>
    <t>EDSCHA SOROCABA</t>
  </si>
  <si>
    <t>MANDO LIMEIRA</t>
  </si>
  <si>
    <t>FAURECIA</t>
  </si>
  <si>
    <t>THYSSENKRUPP VILA LIVIEIRO/SP</t>
  </si>
  <si>
    <t>LEAR</t>
  </si>
  <si>
    <t>PROMA</t>
  </si>
  <si>
    <t>AISIN</t>
  </si>
  <si>
    <t>Validation Vol 2026</t>
  </si>
  <si>
    <t>Template</t>
  </si>
  <si>
    <t>Viajente</t>
  </si>
  <si>
    <t>Geral qtd &gt;0</t>
  </si>
  <si>
    <t>TRUCK VIAGEM</t>
  </si>
  <si>
    <t>TOTAL</t>
  </si>
  <si>
    <t>-</t>
  </si>
  <si>
    <t xml:space="preserve"> 34836 / 29086/37866</t>
  </si>
  <si>
    <t>800032490/800005811/800036407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</si>
</sst>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1" fillId="2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erna\Downloads\VOLUME%202601%201.xlsx" TargetMode="External"/><Relationship Id="rId1" Type="http://schemas.openxmlformats.org/officeDocument/2006/relationships/externalLinkPath" Target="/Users/perna/Downloads/VOLUME%202601%20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erna\Desktop\STALLANTIS\VIAJANTE\Viajante\Template.xlsx" TargetMode="External"/><Relationship Id="rId1" Type="http://schemas.openxmlformats.org/officeDocument/2006/relationships/externalLinkPath" Target="/Users/perna/Desktop/STALLANTIS/VIAJANTE/Viajante/Templat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erna\Desktop\STALLANTIS\VIAJANTE\Viajante\Demandas\Satura&#231;&#227;o%20de%20transporte%20PWT%202401%20-%202601.xlsx" TargetMode="External"/><Relationship Id="rId1" Type="http://schemas.openxmlformats.org/officeDocument/2006/relationships/externalLinkPath" Target="/Users/perna/Desktop/STALLANTIS/VIAJANTE/Viajante/Demandas/Satura&#231;&#227;o%20de%20transporte%20PWT%202401%20-%202601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erna\Desktop\STALLANTIS\VIAJANTE\Viajante\Volume_por_rota.xlsx" TargetMode="External"/><Relationship Id="rId1" Type="http://schemas.openxmlformats.org/officeDocument/2006/relationships/externalLinkPath" Target="/Users/perna/Desktop/STALLANTIS/VIAJANTE/Viajante/Volume_por_ro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dastro de Procedimentos"/>
      <sheetName val="Validate"/>
      <sheetName val="ND QME"/>
      <sheetName val="ENTREGAS"/>
      <sheetName val="SEM INCOTERM"/>
      <sheetName val="SEM TECNOL"/>
      <sheetName val="MDR_SEM_VALOR"/>
      <sheetName val="PN_SEM_VALOR"/>
      <sheetName val="PN_PROGRAMADOS"/>
      <sheetName val="FLUXOS_EM_ANÁLISE"/>
    </sheetNames>
    <sheetDataSet>
      <sheetData sheetId="0"/>
      <sheetData sheetId="1">
        <row r="1">
          <cell r="A1" t="str">
            <v>Cód Fornecedor</v>
          </cell>
        </row>
        <row r="2">
          <cell r="A2">
            <v>28920</v>
          </cell>
        </row>
        <row r="3">
          <cell r="A3">
            <v>33301</v>
          </cell>
        </row>
        <row r="4">
          <cell r="A4">
            <v>15823</v>
          </cell>
        </row>
        <row r="5">
          <cell r="A5">
            <v>24229</v>
          </cell>
        </row>
        <row r="6">
          <cell r="A6">
            <v>59683</v>
          </cell>
        </row>
        <row r="7">
          <cell r="A7" t="str">
            <v>1094/1097</v>
          </cell>
        </row>
        <row r="8">
          <cell r="A8">
            <v>3111</v>
          </cell>
        </row>
        <row r="9">
          <cell r="A9">
            <v>3981</v>
          </cell>
        </row>
        <row r="10">
          <cell r="A10">
            <v>47348</v>
          </cell>
        </row>
        <row r="11">
          <cell r="A11">
            <v>12896</v>
          </cell>
        </row>
        <row r="12">
          <cell r="A12" t="str">
            <v>15075/49000</v>
          </cell>
        </row>
        <row r="13">
          <cell r="A13">
            <v>15826</v>
          </cell>
        </row>
        <row r="14">
          <cell r="A14">
            <v>22260</v>
          </cell>
        </row>
        <row r="15">
          <cell r="A15" t="str">
            <v>24149/36190</v>
          </cell>
        </row>
        <row r="16">
          <cell r="A16">
            <v>30864</v>
          </cell>
        </row>
        <row r="17">
          <cell r="A17">
            <v>31221</v>
          </cell>
        </row>
        <row r="18">
          <cell r="A18" t="str">
            <v>32045/43513</v>
          </cell>
        </row>
        <row r="19">
          <cell r="A19">
            <v>41789</v>
          </cell>
        </row>
        <row r="20">
          <cell r="A20">
            <v>36845</v>
          </cell>
        </row>
        <row r="21">
          <cell r="A21">
            <v>38094</v>
          </cell>
        </row>
        <row r="22">
          <cell r="A22">
            <v>19099</v>
          </cell>
        </row>
        <row r="23">
          <cell r="A23">
            <v>71104</v>
          </cell>
        </row>
        <row r="24">
          <cell r="A24">
            <v>20748</v>
          </cell>
        </row>
        <row r="25">
          <cell r="A25">
            <v>1097</v>
          </cell>
        </row>
        <row r="26">
          <cell r="A26" t="str">
            <v>15565/51620</v>
          </cell>
        </row>
        <row r="27">
          <cell r="A27">
            <v>36019</v>
          </cell>
        </row>
        <row r="28">
          <cell r="A28" t="str">
            <v>23480/37103</v>
          </cell>
        </row>
        <row r="29">
          <cell r="A29">
            <v>31775</v>
          </cell>
        </row>
        <row r="30">
          <cell r="A30">
            <v>14837</v>
          </cell>
        </row>
        <row r="31">
          <cell r="A31" t="str">
            <v>39011/50111</v>
          </cell>
        </row>
        <row r="32">
          <cell r="A32">
            <v>1020</v>
          </cell>
        </row>
        <row r="33">
          <cell r="A33">
            <v>1073</v>
          </cell>
        </row>
        <row r="34">
          <cell r="A34">
            <v>30460</v>
          </cell>
        </row>
        <row r="35">
          <cell r="A35" t="str">
            <v>56589|46051</v>
          </cell>
        </row>
        <row r="36">
          <cell r="A36" t="str">
            <v>37866 | 34836 | 29086</v>
          </cell>
        </row>
        <row r="37">
          <cell r="A37">
            <v>21342</v>
          </cell>
        </row>
        <row r="38">
          <cell r="A38">
            <v>33518</v>
          </cell>
        </row>
        <row r="39">
          <cell r="A39">
            <v>53800</v>
          </cell>
        </row>
        <row r="40">
          <cell r="A40">
            <v>5500</v>
          </cell>
        </row>
        <row r="41">
          <cell r="A41">
            <v>42932</v>
          </cell>
        </row>
        <row r="42">
          <cell r="A42">
            <v>13532</v>
          </cell>
        </row>
        <row r="43">
          <cell r="A43">
            <v>38440</v>
          </cell>
        </row>
        <row r="44">
          <cell r="A44">
            <v>64680</v>
          </cell>
        </row>
        <row r="45">
          <cell r="A45">
            <v>40870</v>
          </cell>
        </row>
        <row r="46">
          <cell r="A46">
            <v>45150</v>
          </cell>
        </row>
        <row r="47">
          <cell r="A47">
            <v>28929</v>
          </cell>
        </row>
        <row r="48">
          <cell r="A48">
            <v>28824</v>
          </cell>
        </row>
        <row r="49">
          <cell r="A49">
            <v>32096</v>
          </cell>
        </row>
        <row r="50">
          <cell r="A50">
            <v>47134</v>
          </cell>
        </row>
        <row r="51">
          <cell r="A51">
            <v>35281</v>
          </cell>
        </row>
        <row r="52">
          <cell r="A52">
            <v>14051</v>
          </cell>
        </row>
        <row r="53">
          <cell r="A53">
            <v>45042</v>
          </cell>
        </row>
        <row r="54">
          <cell r="A54">
            <v>46829</v>
          </cell>
        </row>
        <row r="55">
          <cell r="A55">
            <v>42316</v>
          </cell>
        </row>
        <row r="56">
          <cell r="A56">
            <v>14928</v>
          </cell>
        </row>
        <row r="57">
          <cell r="A57">
            <v>20812</v>
          </cell>
        </row>
        <row r="58">
          <cell r="A58">
            <v>30496</v>
          </cell>
        </row>
        <row r="59">
          <cell r="A59">
            <v>39810</v>
          </cell>
        </row>
        <row r="60">
          <cell r="A60">
            <v>501037</v>
          </cell>
        </row>
        <row r="61">
          <cell r="A61">
            <v>23134</v>
          </cell>
        </row>
        <row r="62">
          <cell r="A62">
            <v>41469</v>
          </cell>
        </row>
        <row r="63">
          <cell r="A63"/>
        </row>
        <row r="64">
          <cell r="A64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1" t="str">
            <v>COD IMS</v>
          </cell>
        </row>
        <row r="3">
          <cell r="B3">
            <v>46829</v>
          </cell>
        </row>
        <row r="4">
          <cell r="B4">
            <v>46829</v>
          </cell>
        </row>
        <row r="5">
          <cell r="B5">
            <v>46829</v>
          </cell>
        </row>
        <row r="8">
          <cell r="B8">
            <v>46829</v>
          </cell>
        </row>
        <row r="9">
          <cell r="B9">
            <v>22260</v>
          </cell>
        </row>
        <row r="10">
          <cell r="B10">
            <v>46829</v>
          </cell>
        </row>
        <row r="11">
          <cell r="B11">
            <v>46829</v>
          </cell>
        </row>
        <row r="12">
          <cell r="B12">
            <v>22260</v>
          </cell>
        </row>
        <row r="13">
          <cell r="B13">
            <v>46829</v>
          </cell>
        </row>
        <row r="14">
          <cell r="B14">
            <v>46829</v>
          </cell>
        </row>
        <row r="15">
          <cell r="B15" t="str">
            <v>1094/1097</v>
          </cell>
        </row>
        <row r="16">
          <cell r="B16" t="str">
            <v>1094/1097</v>
          </cell>
        </row>
        <row r="17">
          <cell r="B17">
            <v>41789</v>
          </cell>
        </row>
        <row r="18">
          <cell r="B18">
            <v>22260</v>
          </cell>
        </row>
        <row r="19">
          <cell r="B19" t="str">
            <v>1094/1097</v>
          </cell>
        </row>
        <row r="20">
          <cell r="B20">
            <v>41789</v>
          </cell>
        </row>
        <row r="21">
          <cell r="B21">
            <v>41789</v>
          </cell>
        </row>
        <row r="25">
          <cell r="B25">
            <v>46829</v>
          </cell>
        </row>
        <row r="26">
          <cell r="B26">
            <v>22260</v>
          </cell>
        </row>
        <row r="27">
          <cell r="B27">
            <v>22260</v>
          </cell>
        </row>
        <row r="28">
          <cell r="B28">
            <v>22260</v>
          </cell>
        </row>
        <row r="29">
          <cell r="B29">
            <v>22260</v>
          </cell>
        </row>
        <row r="31">
          <cell r="B31">
            <v>22260</v>
          </cell>
        </row>
        <row r="32">
          <cell r="B32">
            <v>22260</v>
          </cell>
        </row>
        <row r="33">
          <cell r="B33">
            <v>41789</v>
          </cell>
        </row>
        <row r="34">
          <cell r="B34">
            <v>41789</v>
          </cell>
        </row>
        <row r="35">
          <cell r="B35">
            <v>41789</v>
          </cell>
        </row>
        <row r="36">
          <cell r="B36">
            <v>41789</v>
          </cell>
        </row>
        <row r="37">
          <cell r="B37">
            <v>41789</v>
          </cell>
        </row>
        <row r="38">
          <cell r="B38" t="str">
            <v>1094/1097</v>
          </cell>
        </row>
        <row r="39">
          <cell r="B39" t="str">
            <v>1094/1097</v>
          </cell>
        </row>
        <row r="40">
          <cell r="B40">
            <v>41789</v>
          </cell>
        </row>
        <row r="41">
          <cell r="B41">
            <v>41789</v>
          </cell>
        </row>
        <row r="42">
          <cell r="B42">
            <v>41789</v>
          </cell>
        </row>
        <row r="43">
          <cell r="B43">
            <v>41789</v>
          </cell>
        </row>
        <row r="44">
          <cell r="B44">
            <v>35281</v>
          </cell>
        </row>
        <row r="45">
          <cell r="B45">
            <v>35281</v>
          </cell>
        </row>
        <row r="46">
          <cell r="B46">
            <v>35281</v>
          </cell>
        </row>
        <row r="47">
          <cell r="B47">
            <v>35281</v>
          </cell>
        </row>
        <row r="48">
          <cell r="B48">
            <v>35281</v>
          </cell>
        </row>
        <row r="49">
          <cell r="B49">
            <v>41789</v>
          </cell>
        </row>
        <row r="50">
          <cell r="B50">
            <v>22260</v>
          </cell>
        </row>
        <row r="51">
          <cell r="B51">
            <v>22260</v>
          </cell>
        </row>
        <row r="52">
          <cell r="B52" t="str">
            <v>1094/1097</v>
          </cell>
        </row>
        <row r="53">
          <cell r="B53" t="str">
            <v>1094/1097</v>
          </cell>
        </row>
        <row r="54">
          <cell r="B54" t="str">
            <v>1094/1097</v>
          </cell>
        </row>
        <row r="55">
          <cell r="B55" t="str">
            <v>1094/1097</v>
          </cell>
        </row>
        <row r="56">
          <cell r="B56" t="str">
            <v>1094/1097</v>
          </cell>
        </row>
        <row r="57">
          <cell r="B57">
            <v>46829</v>
          </cell>
        </row>
        <row r="58">
          <cell r="B58">
            <v>46829</v>
          </cell>
        </row>
        <row r="59">
          <cell r="B59">
            <v>46829</v>
          </cell>
        </row>
        <row r="60">
          <cell r="B60">
            <v>46829</v>
          </cell>
        </row>
        <row r="61">
          <cell r="B61" t="str">
            <v>32045/43513</v>
          </cell>
        </row>
        <row r="62">
          <cell r="B62">
            <v>46829</v>
          </cell>
        </row>
        <row r="63">
          <cell r="B63" t="str">
            <v>32045/43513</v>
          </cell>
        </row>
        <row r="64">
          <cell r="B64" t="str">
            <v>32045/43513</v>
          </cell>
        </row>
        <row r="65">
          <cell r="B65" t="str">
            <v>32045/43513</v>
          </cell>
        </row>
        <row r="66">
          <cell r="B66" t="str">
            <v>32045/43513</v>
          </cell>
        </row>
        <row r="67">
          <cell r="B67" t="str">
            <v>32045/43513</v>
          </cell>
        </row>
        <row r="68">
          <cell r="B68">
            <v>46829</v>
          </cell>
        </row>
        <row r="69">
          <cell r="B69">
            <v>46829</v>
          </cell>
        </row>
        <row r="70">
          <cell r="B70">
            <v>46829</v>
          </cell>
        </row>
        <row r="71">
          <cell r="B71" t="str">
            <v>32045/43513</v>
          </cell>
        </row>
        <row r="72">
          <cell r="B72">
            <v>41789</v>
          </cell>
        </row>
        <row r="75">
          <cell r="B75">
            <v>41789</v>
          </cell>
        </row>
        <row r="76">
          <cell r="B76" t="str">
            <v>32045/43513</v>
          </cell>
        </row>
        <row r="77">
          <cell r="B77">
            <v>46829</v>
          </cell>
        </row>
        <row r="78">
          <cell r="B78">
            <v>46829</v>
          </cell>
        </row>
        <row r="79">
          <cell r="B79" t="str">
            <v>32045/43513</v>
          </cell>
        </row>
        <row r="80">
          <cell r="B80" t="str">
            <v>32045/43513</v>
          </cell>
        </row>
        <row r="81">
          <cell r="B81" t="str">
            <v>32045/43513</v>
          </cell>
        </row>
        <row r="82">
          <cell r="B82">
            <v>12896</v>
          </cell>
        </row>
        <row r="83">
          <cell r="B83" t="str">
            <v>39011/50111</v>
          </cell>
        </row>
        <row r="85">
          <cell r="B85" t="str">
            <v>39011/50111</v>
          </cell>
        </row>
        <row r="89">
          <cell r="B89">
            <v>12896</v>
          </cell>
        </row>
        <row r="90">
          <cell r="B90">
            <v>12896</v>
          </cell>
        </row>
        <row r="96">
          <cell r="B96">
            <v>12896</v>
          </cell>
        </row>
        <row r="97">
          <cell r="B97">
            <v>12896</v>
          </cell>
        </row>
        <row r="99">
          <cell r="B99">
            <v>12896</v>
          </cell>
        </row>
        <row r="102">
          <cell r="B102" t="str">
            <v>39011/50111</v>
          </cell>
        </row>
        <row r="103">
          <cell r="B103" t="str">
            <v>39011/50111</v>
          </cell>
        </row>
        <row r="104">
          <cell r="B104" t="str">
            <v>39011/50111</v>
          </cell>
        </row>
        <row r="105">
          <cell r="B105" t="str">
            <v>39011/50111</v>
          </cell>
        </row>
        <row r="106">
          <cell r="B106" t="str">
            <v>39011/50111</v>
          </cell>
        </row>
        <row r="107">
          <cell r="B107" t="str">
            <v>39011/50111</v>
          </cell>
        </row>
        <row r="112">
          <cell r="B112">
            <v>12896</v>
          </cell>
        </row>
        <row r="113">
          <cell r="B113">
            <v>12896</v>
          </cell>
        </row>
        <row r="114">
          <cell r="B114">
            <v>12896</v>
          </cell>
        </row>
        <row r="116">
          <cell r="B116" t="str">
            <v>39011/50111</v>
          </cell>
        </row>
        <row r="117">
          <cell r="B117" t="str">
            <v>39011/50111</v>
          </cell>
        </row>
        <row r="118">
          <cell r="B118">
            <v>12896</v>
          </cell>
        </row>
        <row r="130">
          <cell r="B130">
            <v>12896</v>
          </cell>
        </row>
        <row r="131">
          <cell r="B131">
            <v>12896</v>
          </cell>
        </row>
        <row r="132">
          <cell r="B132">
            <v>12896</v>
          </cell>
        </row>
        <row r="157">
          <cell r="B157">
            <v>39810</v>
          </cell>
        </row>
        <row r="158">
          <cell r="B158">
            <v>39810</v>
          </cell>
        </row>
        <row r="159">
          <cell r="B159">
            <v>39810</v>
          </cell>
        </row>
        <row r="163">
          <cell r="B163" t="str">
            <v>19424 / 50050 / 21342</v>
          </cell>
        </row>
        <row r="164">
          <cell r="B164">
            <v>50050</v>
          </cell>
        </row>
        <row r="165">
          <cell r="B165">
            <v>20812</v>
          </cell>
        </row>
        <row r="169">
          <cell r="B169">
            <v>3111</v>
          </cell>
        </row>
        <row r="176">
          <cell r="B176">
            <v>3111</v>
          </cell>
        </row>
        <row r="179">
          <cell r="B179" t="str">
            <v>19424 / 50050 / 21342</v>
          </cell>
        </row>
        <row r="180">
          <cell r="B180">
            <v>50050</v>
          </cell>
        </row>
        <row r="181">
          <cell r="B181">
            <v>32096</v>
          </cell>
        </row>
        <row r="182">
          <cell r="B182" t="str">
            <v>19424 / 50050 / 21342</v>
          </cell>
        </row>
        <row r="183">
          <cell r="B183">
            <v>50050</v>
          </cell>
        </row>
        <row r="184">
          <cell r="B184" t="str">
            <v>19424 / 50050 / 21342</v>
          </cell>
        </row>
        <row r="185">
          <cell r="B185">
            <v>50050</v>
          </cell>
        </row>
        <row r="186">
          <cell r="B186">
            <v>32096</v>
          </cell>
        </row>
        <row r="187">
          <cell r="B187">
            <v>3111</v>
          </cell>
        </row>
        <row r="189">
          <cell r="B189" t="str">
            <v>19424 / 50050 / 21342</v>
          </cell>
        </row>
        <row r="190">
          <cell r="B190">
            <v>50050</v>
          </cell>
        </row>
        <row r="191">
          <cell r="B191">
            <v>24229</v>
          </cell>
        </row>
        <row r="192">
          <cell r="B192">
            <v>24229</v>
          </cell>
        </row>
        <row r="193">
          <cell r="B193">
            <v>24229</v>
          </cell>
        </row>
        <row r="194">
          <cell r="B194">
            <v>32096</v>
          </cell>
        </row>
        <row r="197">
          <cell r="B197">
            <v>32096</v>
          </cell>
        </row>
        <row r="198">
          <cell r="B198">
            <v>24229</v>
          </cell>
        </row>
        <row r="199">
          <cell r="B199">
            <v>24229</v>
          </cell>
        </row>
        <row r="202">
          <cell r="B202">
            <v>24229</v>
          </cell>
        </row>
        <row r="203">
          <cell r="B203">
            <v>20812</v>
          </cell>
        </row>
        <row r="204">
          <cell r="B204">
            <v>24229</v>
          </cell>
        </row>
        <row r="205">
          <cell r="B205">
            <v>24229</v>
          </cell>
        </row>
        <row r="206">
          <cell r="B206">
            <v>24229</v>
          </cell>
        </row>
        <row r="207">
          <cell r="B207">
            <v>47348</v>
          </cell>
        </row>
        <row r="208">
          <cell r="B208">
            <v>59683</v>
          </cell>
        </row>
        <row r="209">
          <cell r="B209">
            <v>3111</v>
          </cell>
        </row>
        <row r="210">
          <cell r="B210">
            <v>3111</v>
          </cell>
        </row>
        <row r="211">
          <cell r="B211">
            <v>3111</v>
          </cell>
        </row>
        <row r="212">
          <cell r="B212">
            <v>3111</v>
          </cell>
        </row>
        <row r="213">
          <cell r="B213">
            <v>3111</v>
          </cell>
        </row>
        <row r="214">
          <cell r="B214">
            <v>59683</v>
          </cell>
        </row>
        <row r="215">
          <cell r="B215">
            <v>3111</v>
          </cell>
        </row>
        <row r="216">
          <cell r="B216">
            <v>3111</v>
          </cell>
        </row>
        <row r="217">
          <cell r="B217">
            <v>59683</v>
          </cell>
        </row>
        <row r="218">
          <cell r="B218">
            <v>59683</v>
          </cell>
        </row>
        <row r="219">
          <cell r="B219">
            <v>59683</v>
          </cell>
        </row>
        <row r="220">
          <cell r="B220">
            <v>59683</v>
          </cell>
        </row>
        <row r="221">
          <cell r="B221">
            <v>59683</v>
          </cell>
        </row>
        <row r="222">
          <cell r="B222">
            <v>3111</v>
          </cell>
        </row>
        <row r="223">
          <cell r="B223">
            <v>3111</v>
          </cell>
        </row>
        <row r="224">
          <cell r="B224">
            <v>59683</v>
          </cell>
        </row>
        <row r="225">
          <cell r="B225">
            <v>3111</v>
          </cell>
        </row>
        <row r="226">
          <cell r="B226">
            <v>3111</v>
          </cell>
        </row>
        <row r="227">
          <cell r="B227">
            <v>3111</v>
          </cell>
        </row>
        <row r="228">
          <cell r="B228">
            <v>3111</v>
          </cell>
        </row>
        <row r="229">
          <cell r="B229">
            <v>3111</v>
          </cell>
        </row>
        <row r="230">
          <cell r="B230">
            <v>3111</v>
          </cell>
        </row>
        <row r="231">
          <cell r="B231">
            <v>3111</v>
          </cell>
        </row>
        <row r="232">
          <cell r="B232">
            <v>3111</v>
          </cell>
        </row>
        <row r="233">
          <cell r="B233">
            <v>3111</v>
          </cell>
        </row>
        <row r="248">
          <cell r="B248" t="str">
            <v>23480/37103</v>
          </cell>
        </row>
        <row r="252">
          <cell r="B252" t="str">
            <v>23480/37103</v>
          </cell>
        </row>
        <row r="253">
          <cell r="B253" t="str">
            <v>23480/37103</v>
          </cell>
        </row>
        <row r="254">
          <cell r="B254" t="str">
            <v>23480/37103</v>
          </cell>
        </row>
        <row r="255">
          <cell r="B255" t="str">
            <v>23480/37103</v>
          </cell>
        </row>
        <row r="258">
          <cell r="B258" t="str">
            <v>23480/37103</v>
          </cell>
        </row>
        <row r="259">
          <cell r="B259">
            <v>28920</v>
          </cell>
        </row>
        <row r="260">
          <cell r="B260">
            <v>28920</v>
          </cell>
        </row>
        <row r="261">
          <cell r="B261" t="str">
            <v>23480/37103</v>
          </cell>
        </row>
        <row r="262">
          <cell r="B262" t="str">
            <v>23480/37103</v>
          </cell>
        </row>
        <row r="263">
          <cell r="B263" t="str">
            <v>23480/37103</v>
          </cell>
        </row>
        <row r="264">
          <cell r="B264" t="str">
            <v>23480/37103</v>
          </cell>
        </row>
        <row r="265">
          <cell r="B265">
            <v>28920</v>
          </cell>
        </row>
        <row r="270">
          <cell r="B270">
            <v>28920</v>
          </cell>
        </row>
        <row r="271">
          <cell r="B271">
            <v>28920</v>
          </cell>
        </row>
        <row r="272">
          <cell r="B272">
            <v>28920</v>
          </cell>
        </row>
        <row r="276">
          <cell r="B276" t="str">
            <v>23480/37103</v>
          </cell>
        </row>
        <row r="284">
          <cell r="B284">
            <v>28920</v>
          </cell>
        </row>
        <row r="285">
          <cell r="B285">
            <v>28920</v>
          </cell>
        </row>
        <row r="287">
          <cell r="B287" t="str">
            <v>23480/37103</v>
          </cell>
        </row>
        <row r="293">
          <cell r="B293" t="str">
            <v>23480/37103</v>
          </cell>
        </row>
        <row r="295">
          <cell r="B295" t="str">
            <v>23480/37103</v>
          </cell>
        </row>
        <row r="296">
          <cell r="B296" t="str">
            <v>23480/37103</v>
          </cell>
        </row>
        <row r="297">
          <cell r="B297" t="str">
            <v>23480/37103</v>
          </cell>
        </row>
        <row r="299">
          <cell r="B299">
            <v>28920</v>
          </cell>
        </row>
        <row r="300">
          <cell r="B300">
            <v>28920</v>
          </cell>
        </row>
        <row r="302">
          <cell r="B302">
            <v>28920</v>
          </cell>
        </row>
        <row r="303">
          <cell r="B303">
            <v>28920</v>
          </cell>
        </row>
        <row r="304">
          <cell r="B304" t="str">
            <v>23480/37103</v>
          </cell>
        </row>
        <row r="312">
          <cell r="B312">
            <v>28920</v>
          </cell>
        </row>
        <row r="313">
          <cell r="B313">
            <v>28920</v>
          </cell>
        </row>
        <row r="314">
          <cell r="B314" t="str">
            <v>23480/37103</v>
          </cell>
        </row>
        <row r="317">
          <cell r="B317" t="str">
            <v>23480/37103</v>
          </cell>
        </row>
        <row r="318">
          <cell r="B318" t="str">
            <v>23480/37103</v>
          </cell>
        </row>
        <row r="319">
          <cell r="B319" t="str">
            <v>23480/37103</v>
          </cell>
        </row>
        <row r="320">
          <cell r="B320">
            <v>28920</v>
          </cell>
        </row>
        <row r="321">
          <cell r="B321">
            <v>28920</v>
          </cell>
        </row>
        <row r="322">
          <cell r="B322">
            <v>28920</v>
          </cell>
        </row>
        <row r="323">
          <cell r="B323">
            <v>28920</v>
          </cell>
        </row>
        <row r="325">
          <cell r="B325" t="str">
            <v>23480/37103</v>
          </cell>
        </row>
        <row r="326">
          <cell r="B326" t="str">
            <v>23480/37103</v>
          </cell>
        </row>
        <row r="327">
          <cell r="B327" t="str">
            <v>23480/37103</v>
          </cell>
        </row>
        <row r="328">
          <cell r="B328" t="str">
            <v>23480/37103</v>
          </cell>
        </row>
        <row r="329">
          <cell r="B329" t="str">
            <v>23480/37103</v>
          </cell>
        </row>
        <row r="330">
          <cell r="B330" t="str">
            <v>23480/37103</v>
          </cell>
        </row>
        <row r="334">
          <cell r="B334">
            <v>30496</v>
          </cell>
        </row>
        <row r="335">
          <cell r="B335">
            <v>30496</v>
          </cell>
        </row>
        <row r="336">
          <cell r="B336">
            <v>30496</v>
          </cell>
        </row>
        <row r="337">
          <cell r="B337">
            <v>30496</v>
          </cell>
        </row>
        <row r="338">
          <cell r="B338">
            <v>30496</v>
          </cell>
        </row>
        <row r="339">
          <cell r="B339">
            <v>30496</v>
          </cell>
        </row>
        <row r="340">
          <cell r="B340">
            <v>28920</v>
          </cell>
        </row>
        <row r="341">
          <cell r="B341">
            <v>28920</v>
          </cell>
        </row>
        <row r="346">
          <cell r="B346">
            <v>28920</v>
          </cell>
        </row>
        <row r="347">
          <cell r="B347">
            <v>28920</v>
          </cell>
        </row>
        <row r="348">
          <cell r="B348">
            <v>28920</v>
          </cell>
        </row>
        <row r="349">
          <cell r="B349">
            <v>28920</v>
          </cell>
        </row>
        <row r="350">
          <cell r="B350">
            <v>28920</v>
          </cell>
        </row>
        <row r="351">
          <cell r="B351">
            <v>28920</v>
          </cell>
        </row>
        <row r="358">
          <cell r="B358" t="str">
            <v>23480/37103</v>
          </cell>
        </row>
        <row r="363">
          <cell r="B363">
            <v>28929</v>
          </cell>
        </row>
        <row r="364">
          <cell r="B364">
            <v>28929</v>
          </cell>
        </row>
        <row r="367">
          <cell r="B367" t="str">
            <v>23480/37103</v>
          </cell>
        </row>
        <row r="369">
          <cell r="B369" t="str">
            <v>23480/37103</v>
          </cell>
        </row>
        <row r="370">
          <cell r="B370" t="str">
            <v>23480/37103</v>
          </cell>
        </row>
        <row r="377">
          <cell r="B377" t="str">
            <v>23480/37103</v>
          </cell>
        </row>
        <row r="382">
          <cell r="B382">
            <v>64680</v>
          </cell>
        </row>
        <row r="383">
          <cell r="B383">
            <v>64680</v>
          </cell>
        </row>
        <row r="386">
          <cell r="B386">
            <v>64680</v>
          </cell>
        </row>
        <row r="387">
          <cell r="B387">
            <v>64680</v>
          </cell>
        </row>
        <row r="388">
          <cell r="B388">
            <v>64680</v>
          </cell>
        </row>
        <row r="389">
          <cell r="B389">
            <v>64680</v>
          </cell>
        </row>
        <row r="392">
          <cell r="B392">
            <v>64680</v>
          </cell>
        </row>
        <row r="393">
          <cell r="B393">
            <v>64680</v>
          </cell>
        </row>
        <row r="394">
          <cell r="B394">
            <v>64680</v>
          </cell>
        </row>
        <row r="395">
          <cell r="B395">
            <v>64680</v>
          </cell>
        </row>
        <row r="396">
          <cell r="B396">
            <v>64680</v>
          </cell>
        </row>
        <row r="397">
          <cell r="B397">
            <v>64680</v>
          </cell>
        </row>
        <row r="398">
          <cell r="B398">
            <v>64680</v>
          </cell>
        </row>
        <row r="399">
          <cell r="B399">
            <v>64680</v>
          </cell>
        </row>
        <row r="400">
          <cell r="B400">
            <v>64680</v>
          </cell>
        </row>
        <row r="401">
          <cell r="B401">
            <v>64680</v>
          </cell>
        </row>
        <row r="412">
          <cell r="B412">
            <v>15823</v>
          </cell>
        </row>
        <row r="413">
          <cell r="B413">
            <v>15823</v>
          </cell>
        </row>
        <row r="414">
          <cell r="B414">
            <v>15823</v>
          </cell>
        </row>
        <row r="415">
          <cell r="B415">
            <v>15823</v>
          </cell>
        </row>
        <row r="416">
          <cell r="B416">
            <v>15823</v>
          </cell>
        </row>
        <row r="417">
          <cell r="B417">
            <v>15823</v>
          </cell>
        </row>
        <row r="418">
          <cell r="B418">
            <v>15823</v>
          </cell>
        </row>
        <row r="419">
          <cell r="B419">
            <v>15823</v>
          </cell>
        </row>
        <row r="420">
          <cell r="B420">
            <v>15823</v>
          </cell>
        </row>
        <row r="421">
          <cell r="B421">
            <v>15823</v>
          </cell>
        </row>
        <row r="422">
          <cell r="B422">
            <v>15823</v>
          </cell>
        </row>
        <row r="423">
          <cell r="B423">
            <v>15823</v>
          </cell>
        </row>
        <row r="424">
          <cell r="B424">
            <v>15823</v>
          </cell>
        </row>
        <row r="425">
          <cell r="B425">
            <v>15823</v>
          </cell>
        </row>
        <row r="426">
          <cell r="B426">
            <v>15823</v>
          </cell>
        </row>
        <row r="427">
          <cell r="B427">
            <v>15823</v>
          </cell>
        </row>
        <row r="428">
          <cell r="B428">
            <v>15823</v>
          </cell>
        </row>
        <row r="429">
          <cell r="B429">
            <v>15823</v>
          </cell>
        </row>
        <row r="430">
          <cell r="B430">
            <v>15823</v>
          </cell>
        </row>
        <row r="431">
          <cell r="B431">
            <v>15823</v>
          </cell>
        </row>
        <row r="432">
          <cell r="B432">
            <v>15823</v>
          </cell>
        </row>
        <row r="433">
          <cell r="B433">
            <v>15823</v>
          </cell>
        </row>
        <row r="434">
          <cell r="B434">
            <v>15823</v>
          </cell>
        </row>
        <row r="435">
          <cell r="B435">
            <v>15823</v>
          </cell>
        </row>
        <row r="436">
          <cell r="B436">
            <v>15823</v>
          </cell>
        </row>
        <row r="437">
          <cell r="B437">
            <v>15823</v>
          </cell>
        </row>
        <row r="438">
          <cell r="B438">
            <v>15823</v>
          </cell>
        </row>
        <row r="439">
          <cell r="B439">
            <v>15823</v>
          </cell>
        </row>
        <row r="440">
          <cell r="B440">
            <v>15823</v>
          </cell>
        </row>
        <row r="441">
          <cell r="B441">
            <v>15823</v>
          </cell>
        </row>
        <row r="442">
          <cell r="B442">
            <v>15823</v>
          </cell>
        </row>
        <row r="443">
          <cell r="B443">
            <v>15823</v>
          </cell>
        </row>
        <row r="444">
          <cell r="B444">
            <v>15823</v>
          </cell>
        </row>
        <row r="445">
          <cell r="B445">
            <v>15823</v>
          </cell>
        </row>
        <row r="446">
          <cell r="B446">
            <v>15823</v>
          </cell>
        </row>
        <row r="447">
          <cell r="B447">
            <v>15823</v>
          </cell>
        </row>
        <row r="448">
          <cell r="B448">
            <v>15823</v>
          </cell>
        </row>
        <row r="449">
          <cell r="B449">
            <v>15823</v>
          </cell>
        </row>
        <row r="450">
          <cell r="B450">
            <v>15823</v>
          </cell>
        </row>
        <row r="451">
          <cell r="B451">
            <v>15823</v>
          </cell>
        </row>
        <row r="452">
          <cell r="B452">
            <v>15823</v>
          </cell>
        </row>
        <row r="453">
          <cell r="B453">
            <v>15823</v>
          </cell>
        </row>
        <row r="454">
          <cell r="B454">
            <v>15823</v>
          </cell>
        </row>
        <row r="455">
          <cell r="B455">
            <v>15823</v>
          </cell>
        </row>
        <row r="456">
          <cell r="B456">
            <v>15823</v>
          </cell>
        </row>
        <row r="457">
          <cell r="B457">
            <v>15823</v>
          </cell>
        </row>
        <row r="458">
          <cell r="B458">
            <v>15823</v>
          </cell>
        </row>
        <row r="459">
          <cell r="B459">
            <v>15823</v>
          </cell>
        </row>
        <row r="460">
          <cell r="B460">
            <v>15823</v>
          </cell>
        </row>
        <row r="461">
          <cell r="B461">
            <v>15823</v>
          </cell>
        </row>
        <row r="462">
          <cell r="B462">
            <v>15823</v>
          </cell>
        </row>
        <row r="463">
          <cell r="B463">
            <v>15823</v>
          </cell>
        </row>
        <row r="464">
          <cell r="B464">
            <v>15823</v>
          </cell>
        </row>
        <row r="465">
          <cell r="B465">
            <v>15823</v>
          </cell>
        </row>
        <row r="466">
          <cell r="B466">
            <v>15823</v>
          </cell>
        </row>
        <row r="467">
          <cell r="B467">
            <v>15823</v>
          </cell>
        </row>
        <row r="468">
          <cell r="B468">
            <v>38440</v>
          </cell>
        </row>
        <row r="469">
          <cell r="B469">
            <v>38440</v>
          </cell>
        </row>
        <row r="470">
          <cell r="B470">
            <v>38440</v>
          </cell>
        </row>
        <row r="471">
          <cell r="B471">
            <v>38440</v>
          </cell>
        </row>
        <row r="472">
          <cell r="B472">
            <v>38440</v>
          </cell>
        </row>
        <row r="473">
          <cell r="B473">
            <v>38440</v>
          </cell>
        </row>
        <row r="488">
          <cell r="B488">
            <v>15826</v>
          </cell>
        </row>
        <row r="489">
          <cell r="B489">
            <v>15826</v>
          </cell>
        </row>
        <row r="490">
          <cell r="B490">
            <v>15826</v>
          </cell>
        </row>
        <row r="491">
          <cell r="B491">
            <v>15826</v>
          </cell>
        </row>
        <row r="492">
          <cell r="B492">
            <v>15826</v>
          </cell>
        </row>
        <row r="493">
          <cell r="B493">
            <v>15826</v>
          </cell>
        </row>
        <row r="494">
          <cell r="B494">
            <v>15826</v>
          </cell>
        </row>
        <row r="495">
          <cell r="B495">
            <v>15826</v>
          </cell>
        </row>
        <row r="496">
          <cell r="B496">
            <v>15826</v>
          </cell>
        </row>
        <row r="497">
          <cell r="B497">
            <v>15826</v>
          </cell>
        </row>
        <row r="498">
          <cell r="B498">
            <v>15826</v>
          </cell>
        </row>
        <row r="499">
          <cell r="B499">
            <v>15826</v>
          </cell>
        </row>
        <row r="500">
          <cell r="B500">
            <v>15826</v>
          </cell>
        </row>
        <row r="501">
          <cell r="B501">
            <v>15826</v>
          </cell>
        </row>
        <row r="510">
          <cell r="B510">
            <v>15826</v>
          </cell>
        </row>
        <row r="511">
          <cell r="B511">
            <v>15826</v>
          </cell>
        </row>
        <row r="516">
          <cell r="B516">
            <v>3981</v>
          </cell>
        </row>
        <row r="517">
          <cell r="B517">
            <v>3981</v>
          </cell>
        </row>
        <row r="518">
          <cell r="B518">
            <v>3981</v>
          </cell>
        </row>
        <row r="519">
          <cell r="B519">
            <v>3981</v>
          </cell>
        </row>
        <row r="520">
          <cell r="B520">
            <v>3981</v>
          </cell>
        </row>
        <row r="521">
          <cell r="B521">
            <v>3981</v>
          </cell>
        </row>
        <row r="522">
          <cell r="B522">
            <v>3981</v>
          </cell>
        </row>
        <row r="523">
          <cell r="B523">
            <v>3981</v>
          </cell>
        </row>
        <row r="524">
          <cell r="B524">
            <v>3981</v>
          </cell>
        </row>
        <row r="525">
          <cell r="B525">
            <v>3981</v>
          </cell>
        </row>
        <row r="526">
          <cell r="B526">
            <v>3981</v>
          </cell>
        </row>
        <row r="527">
          <cell r="B527">
            <v>3981</v>
          </cell>
        </row>
        <row r="528">
          <cell r="B528">
            <v>3981</v>
          </cell>
        </row>
        <row r="529">
          <cell r="B529">
            <v>3981</v>
          </cell>
        </row>
        <row r="530">
          <cell r="B530">
            <v>3981</v>
          </cell>
        </row>
        <row r="531">
          <cell r="B531">
            <v>3981</v>
          </cell>
        </row>
        <row r="532">
          <cell r="B532">
            <v>3981</v>
          </cell>
        </row>
        <row r="533">
          <cell r="B533">
            <v>3981</v>
          </cell>
        </row>
        <row r="534">
          <cell r="B534">
            <v>3981</v>
          </cell>
        </row>
        <row r="535">
          <cell r="B535">
            <v>3981</v>
          </cell>
        </row>
        <row r="536">
          <cell r="B536">
            <v>3981</v>
          </cell>
        </row>
        <row r="537">
          <cell r="B537">
            <v>3981</v>
          </cell>
        </row>
        <row r="538">
          <cell r="B538">
            <v>3981</v>
          </cell>
        </row>
        <row r="539">
          <cell r="B539">
            <v>3981</v>
          </cell>
        </row>
        <row r="540">
          <cell r="B540">
            <v>3981</v>
          </cell>
        </row>
        <row r="541">
          <cell r="B541">
            <v>3981</v>
          </cell>
        </row>
        <row r="542">
          <cell r="B542">
            <v>3981</v>
          </cell>
        </row>
        <row r="543">
          <cell r="B543">
            <v>3981</v>
          </cell>
        </row>
        <row r="544">
          <cell r="B544">
            <v>3981</v>
          </cell>
        </row>
        <row r="545">
          <cell r="B545">
            <v>3981</v>
          </cell>
        </row>
        <row r="546">
          <cell r="B546">
            <v>3981</v>
          </cell>
        </row>
        <row r="547">
          <cell r="B547">
            <v>3981</v>
          </cell>
        </row>
        <row r="548">
          <cell r="B548">
            <v>3981</v>
          </cell>
        </row>
        <row r="549">
          <cell r="B549">
            <v>3981</v>
          </cell>
        </row>
        <row r="550">
          <cell r="B550">
            <v>3981</v>
          </cell>
        </row>
        <row r="551">
          <cell r="B551">
            <v>3981</v>
          </cell>
        </row>
        <row r="552">
          <cell r="B552" t="str">
            <v>47850</v>
          </cell>
        </row>
        <row r="553">
          <cell r="B553">
            <v>1020</v>
          </cell>
        </row>
        <row r="554">
          <cell r="B554">
            <v>1097</v>
          </cell>
        </row>
        <row r="555">
          <cell r="B555">
            <v>1097</v>
          </cell>
        </row>
        <row r="556">
          <cell r="B556">
            <v>37866</v>
          </cell>
        </row>
        <row r="557">
          <cell r="B557">
            <v>37866</v>
          </cell>
        </row>
        <row r="558">
          <cell r="B558">
            <v>37866</v>
          </cell>
        </row>
        <row r="559">
          <cell r="B559">
            <v>37866</v>
          </cell>
        </row>
        <row r="560">
          <cell r="B560">
            <v>37866</v>
          </cell>
        </row>
        <row r="561">
          <cell r="B561">
            <v>37866</v>
          </cell>
        </row>
        <row r="562">
          <cell r="B562" t="str">
            <v>27951</v>
          </cell>
        </row>
        <row r="563">
          <cell r="B563" t="str">
            <v>27951</v>
          </cell>
        </row>
        <row r="564">
          <cell r="B564" t="str">
            <v>27951</v>
          </cell>
        </row>
        <row r="565">
          <cell r="B565" t="str">
            <v>27951</v>
          </cell>
        </row>
        <row r="566">
          <cell r="B566" t="str">
            <v>27951</v>
          </cell>
        </row>
        <row r="567">
          <cell r="B567" t="str">
            <v>27951</v>
          </cell>
        </row>
        <row r="568">
          <cell r="B568" t="str">
            <v>27951</v>
          </cell>
        </row>
        <row r="569">
          <cell r="B569" t="str">
            <v>27951</v>
          </cell>
        </row>
        <row r="570">
          <cell r="B570" t="str">
            <v>27951</v>
          </cell>
        </row>
        <row r="571">
          <cell r="B571" t="str">
            <v>27951</v>
          </cell>
        </row>
        <row r="572">
          <cell r="B572" t="str">
            <v>27951</v>
          </cell>
        </row>
        <row r="573">
          <cell r="B573" t="str">
            <v>27951</v>
          </cell>
        </row>
        <row r="574">
          <cell r="B574" t="str">
            <v>27951</v>
          </cell>
        </row>
        <row r="575">
          <cell r="B575" t="str">
            <v>27951</v>
          </cell>
        </row>
        <row r="576">
          <cell r="B576" t="str">
            <v>27951</v>
          </cell>
        </row>
        <row r="577">
          <cell r="B577" t="str">
            <v>27951</v>
          </cell>
        </row>
        <row r="578">
          <cell r="B578" t="str">
            <v>27951</v>
          </cell>
        </row>
        <row r="579">
          <cell r="B579" t="str">
            <v>27951</v>
          </cell>
        </row>
        <row r="580">
          <cell r="B580" t="str">
            <v>27951</v>
          </cell>
        </row>
        <row r="581">
          <cell r="B581">
            <v>36019</v>
          </cell>
        </row>
        <row r="582">
          <cell r="B582">
            <v>36019</v>
          </cell>
        </row>
        <row r="583">
          <cell r="B583">
            <v>36019</v>
          </cell>
        </row>
        <row r="584">
          <cell r="B584">
            <v>36019</v>
          </cell>
        </row>
        <row r="585">
          <cell r="B585">
            <v>36019</v>
          </cell>
        </row>
        <row r="586">
          <cell r="B586">
            <v>36019</v>
          </cell>
        </row>
        <row r="587">
          <cell r="B587">
            <v>36019</v>
          </cell>
        </row>
        <row r="588">
          <cell r="B588">
            <v>36019</v>
          </cell>
        </row>
        <row r="589">
          <cell r="B589">
            <v>36019</v>
          </cell>
        </row>
        <row r="590">
          <cell r="B590">
            <v>36019</v>
          </cell>
        </row>
        <row r="591">
          <cell r="B591">
            <v>36019</v>
          </cell>
        </row>
        <row r="592">
          <cell r="B592">
            <v>36019</v>
          </cell>
        </row>
        <row r="593">
          <cell r="B593">
            <v>36019</v>
          </cell>
        </row>
        <row r="594">
          <cell r="B594">
            <v>36019</v>
          </cell>
        </row>
        <row r="595">
          <cell r="B595">
            <v>36019</v>
          </cell>
        </row>
        <row r="596">
          <cell r="B596">
            <v>36019</v>
          </cell>
        </row>
        <row r="597">
          <cell r="B597" t="str">
            <v>51658</v>
          </cell>
        </row>
        <row r="598">
          <cell r="B598" t="str">
            <v>51658</v>
          </cell>
        </row>
        <row r="599">
          <cell r="B599" t="str">
            <v>51658</v>
          </cell>
        </row>
        <row r="600">
          <cell r="B600" t="str">
            <v>51658</v>
          </cell>
        </row>
        <row r="601">
          <cell r="B601" t="str">
            <v>51620</v>
          </cell>
        </row>
        <row r="602">
          <cell r="B602" t="str">
            <v>73860</v>
          </cell>
        </row>
        <row r="603">
          <cell r="B603" t="str">
            <v>73860</v>
          </cell>
        </row>
        <row r="604">
          <cell r="B604" t="str">
            <v>49630</v>
          </cell>
        </row>
        <row r="605">
          <cell r="B605" t="str">
            <v>73850</v>
          </cell>
        </row>
        <row r="606">
          <cell r="B606" t="str">
            <v>73850</v>
          </cell>
        </row>
        <row r="607">
          <cell r="B607" t="str">
            <v>33132</v>
          </cell>
        </row>
        <row r="608">
          <cell r="B608" t="str">
            <v>10675</v>
          </cell>
        </row>
        <row r="609">
          <cell r="B609" t="str">
            <v>10675</v>
          </cell>
        </row>
        <row r="610">
          <cell r="B610" t="str">
            <v>15565</v>
          </cell>
        </row>
        <row r="611">
          <cell r="B611" t="str">
            <v>15565</v>
          </cell>
        </row>
        <row r="612">
          <cell r="B612" t="str">
            <v>31610</v>
          </cell>
        </row>
        <row r="613">
          <cell r="B613" t="str">
            <v>31610</v>
          </cell>
        </row>
        <row r="614">
          <cell r="B614" t="str">
            <v>31610</v>
          </cell>
        </row>
        <row r="615">
          <cell r="B615" t="str">
            <v>31610</v>
          </cell>
        </row>
        <row r="616">
          <cell r="B616" t="str">
            <v>50111</v>
          </cell>
        </row>
        <row r="617">
          <cell r="B617">
            <v>56589</v>
          </cell>
        </row>
        <row r="618">
          <cell r="B618">
            <v>56589</v>
          </cell>
        </row>
        <row r="619">
          <cell r="B619">
            <v>50050</v>
          </cell>
        </row>
        <row r="620">
          <cell r="B620" t="str">
            <v>30467</v>
          </cell>
        </row>
        <row r="621">
          <cell r="B621" t="str">
            <v>19414</v>
          </cell>
        </row>
        <row r="622">
          <cell r="B622">
            <v>1020</v>
          </cell>
        </row>
        <row r="623">
          <cell r="B623">
            <v>1073</v>
          </cell>
        </row>
        <row r="624">
          <cell r="B624">
            <v>1073</v>
          </cell>
        </row>
        <row r="625">
          <cell r="B625">
            <v>1020</v>
          </cell>
        </row>
        <row r="626">
          <cell r="B626">
            <v>1020</v>
          </cell>
        </row>
        <row r="627">
          <cell r="B627" t="str">
            <v>11431</v>
          </cell>
        </row>
        <row r="628">
          <cell r="B628">
            <v>14928</v>
          </cell>
        </row>
        <row r="629">
          <cell r="B629">
            <v>14928</v>
          </cell>
        </row>
        <row r="630">
          <cell r="B630">
            <v>14928</v>
          </cell>
        </row>
        <row r="631">
          <cell r="B631">
            <v>14928</v>
          </cell>
        </row>
        <row r="632">
          <cell r="B632">
            <v>14928</v>
          </cell>
        </row>
        <row r="633">
          <cell r="B633">
            <v>21342</v>
          </cell>
        </row>
        <row r="634">
          <cell r="B634">
            <v>21342</v>
          </cell>
        </row>
        <row r="635">
          <cell r="B635">
            <v>21342</v>
          </cell>
        </row>
        <row r="636">
          <cell r="B636" t="str">
            <v>23480</v>
          </cell>
        </row>
        <row r="637">
          <cell r="B637" t="str">
            <v>23480</v>
          </cell>
        </row>
        <row r="638">
          <cell r="B638" t="str">
            <v>23480</v>
          </cell>
        </row>
        <row r="639">
          <cell r="B639" t="str">
            <v>23480</v>
          </cell>
        </row>
        <row r="640">
          <cell r="B640" t="str">
            <v>23481</v>
          </cell>
        </row>
        <row r="641">
          <cell r="B641" t="str">
            <v>23481</v>
          </cell>
        </row>
        <row r="642">
          <cell r="B642" t="str">
            <v>27986</v>
          </cell>
        </row>
        <row r="643">
          <cell r="B643" t="str">
            <v>27986</v>
          </cell>
        </row>
        <row r="644">
          <cell r="B644" t="str">
            <v>27986</v>
          </cell>
        </row>
        <row r="645">
          <cell r="B645" t="str">
            <v>27986</v>
          </cell>
        </row>
        <row r="646">
          <cell r="B646" t="str">
            <v>32059</v>
          </cell>
        </row>
        <row r="647">
          <cell r="B647" t="str">
            <v>32572</v>
          </cell>
        </row>
        <row r="648">
          <cell r="B648">
            <v>33518</v>
          </cell>
        </row>
        <row r="649">
          <cell r="B649">
            <v>33518</v>
          </cell>
        </row>
        <row r="650">
          <cell r="B650" t="str">
            <v>58696</v>
          </cell>
        </row>
        <row r="651">
          <cell r="B651" t="str">
            <v>47104</v>
          </cell>
        </row>
        <row r="652">
          <cell r="B652" t="str">
            <v>47104</v>
          </cell>
        </row>
        <row r="653">
          <cell r="B653" t="str">
            <v>21796</v>
          </cell>
        </row>
        <row r="654">
          <cell r="B654" t="str">
            <v>20419</v>
          </cell>
        </row>
        <row r="655">
          <cell r="B655" t="str">
            <v>32059</v>
          </cell>
        </row>
        <row r="656">
          <cell r="B656">
            <v>14928</v>
          </cell>
        </row>
        <row r="657">
          <cell r="B657" t="str">
            <v>78605</v>
          </cell>
        </row>
        <row r="658">
          <cell r="B658">
            <v>24229</v>
          </cell>
        </row>
        <row r="659">
          <cell r="B659">
            <v>36019</v>
          </cell>
        </row>
        <row r="660">
          <cell r="B660">
            <v>36019</v>
          </cell>
        </row>
        <row r="661">
          <cell r="B661">
            <v>36019</v>
          </cell>
        </row>
        <row r="662">
          <cell r="B662">
            <v>36019</v>
          </cell>
        </row>
        <row r="663">
          <cell r="B663">
            <v>36019</v>
          </cell>
        </row>
        <row r="664">
          <cell r="B664">
            <v>36019</v>
          </cell>
        </row>
        <row r="665">
          <cell r="B665">
            <v>36019</v>
          </cell>
        </row>
        <row r="666">
          <cell r="B666">
            <v>36019</v>
          </cell>
        </row>
        <row r="667">
          <cell r="B667">
            <v>36019</v>
          </cell>
        </row>
        <row r="668">
          <cell r="B668">
            <v>36019</v>
          </cell>
        </row>
        <row r="669">
          <cell r="B669">
            <v>36019</v>
          </cell>
        </row>
        <row r="670">
          <cell r="B670" t="str">
            <v>47104</v>
          </cell>
        </row>
        <row r="671">
          <cell r="B671">
            <v>37866</v>
          </cell>
        </row>
        <row r="672">
          <cell r="B672">
            <v>37866</v>
          </cell>
        </row>
        <row r="673">
          <cell r="B673">
            <v>37866</v>
          </cell>
        </row>
        <row r="674">
          <cell r="B674" t="str">
            <v>32572</v>
          </cell>
        </row>
        <row r="675">
          <cell r="B675" t="str">
            <v>31610</v>
          </cell>
        </row>
        <row r="676">
          <cell r="B676" t="str">
            <v>34836</v>
          </cell>
        </row>
        <row r="677">
          <cell r="B677" t="str">
            <v>34836</v>
          </cell>
        </row>
        <row r="678">
          <cell r="B678" t="str">
            <v>34836</v>
          </cell>
        </row>
        <row r="679">
          <cell r="B679" t="str">
            <v>34836</v>
          </cell>
        </row>
        <row r="680">
          <cell r="B680" t="str">
            <v>34836</v>
          </cell>
        </row>
        <row r="681">
          <cell r="B681" t="str">
            <v>34836</v>
          </cell>
        </row>
        <row r="682">
          <cell r="B682" t="str">
            <v>34836</v>
          </cell>
        </row>
        <row r="683">
          <cell r="B683">
            <v>28824</v>
          </cell>
        </row>
        <row r="684">
          <cell r="B684">
            <v>28824</v>
          </cell>
        </row>
        <row r="685">
          <cell r="B685" t="str">
            <v>21570</v>
          </cell>
        </row>
        <row r="686">
          <cell r="B686">
            <v>21342</v>
          </cell>
        </row>
        <row r="687">
          <cell r="B687">
            <v>21342</v>
          </cell>
        </row>
        <row r="688">
          <cell r="B688">
            <v>21342</v>
          </cell>
        </row>
        <row r="689">
          <cell r="B689">
            <v>14837</v>
          </cell>
        </row>
        <row r="690">
          <cell r="B690">
            <v>1097</v>
          </cell>
        </row>
        <row r="691">
          <cell r="B691">
            <v>1097</v>
          </cell>
        </row>
        <row r="692">
          <cell r="B692">
            <v>1097</v>
          </cell>
        </row>
        <row r="693">
          <cell r="B693" t="str">
            <v>51620</v>
          </cell>
        </row>
        <row r="694">
          <cell r="B694" t="str">
            <v>51620</v>
          </cell>
        </row>
        <row r="695">
          <cell r="B695" t="str">
            <v>51620</v>
          </cell>
        </row>
        <row r="696">
          <cell r="B696">
            <v>33518</v>
          </cell>
        </row>
        <row r="697">
          <cell r="B697">
            <v>56589</v>
          </cell>
        </row>
        <row r="698">
          <cell r="B698">
            <v>56589</v>
          </cell>
        </row>
        <row r="699">
          <cell r="B699">
            <v>56589</v>
          </cell>
        </row>
        <row r="700">
          <cell r="B700">
            <v>56589</v>
          </cell>
        </row>
        <row r="701">
          <cell r="B701" t="str">
            <v>68265</v>
          </cell>
        </row>
        <row r="702">
          <cell r="B702">
            <v>1020</v>
          </cell>
        </row>
        <row r="703">
          <cell r="B703">
            <v>1020</v>
          </cell>
        </row>
        <row r="704">
          <cell r="B704">
            <v>1020</v>
          </cell>
        </row>
        <row r="705">
          <cell r="B705">
            <v>1020</v>
          </cell>
        </row>
        <row r="706">
          <cell r="B706">
            <v>45150</v>
          </cell>
        </row>
        <row r="707">
          <cell r="B707">
            <v>42932</v>
          </cell>
        </row>
        <row r="708">
          <cell r="B708">
            <v>42932</v>
          </cell>
        </row>
        <row r="709">
          <cell r="B709">
            <v>42932</v>
          </cell>
        </row>
        <row r="710">
          <cell r="B710">
            <v>42932</v>
          </cell>
        </row>
        <row r="711">
          <cell r="B711">
            <v>42932</v>
          </cell>
        </row>
        <row r="712">
          <cell r="B712">
            <v>42932</v>
          </cell>
        </row>
        <row r="713">
          <cell r="B713">
            <v>41469</v>
          </cell>
        </row>
        <row r="714">
          <cell r="B714">
            <v>31775</v>
          </cell>
        </row>
        <row r="715">
          <cell r="B715">
            <v>30460</v>
          </cell>
        </row>
        <row r="716">
          <cell r="B716">
            <v>30460</v>
          </cell>
        </row>
        <row r="717">
          <cell r="B717">
            <v>30460</v>
          </cell>
        </row>
        <row r="718">
          <cell r="B718">
            <v>30460</v>
          </cell>
        </row>
        <row r="719">
          <cell r="B719">
            <v>30460</v>
          </cell>
        </row>
        <row r="720">
          <cell r="B720">
            <v>30460</v>
          </cell>
        </row>
        <row r="721">
          <cell r="B721">
            <v>30460</v>
          </cell>
        </row>
        <row r="722">
          <cell r="B722">
            <v>30460</v>
          </cell>
        </row>
        <row r="723">
          <cell r="B723">
            <v>30460</v>
          </cell>
        </row>
        <row r="724">
          <cell r="B724">
            <v>30460</v>
          </cell>
        </row>
        <row r="725">
          <cell r="B725">
            <v>30460</v>
          </cell>
        </row>
        <row r="726">
          <cell r="B726">
            <v>30460</v>
          </cell>
        </row>
        <row r="727">
          <cell r="B727">
            <v>30460</v>
          </cell>
        </row>
        <row r="728">
          <cell r="B728">
            <v>30460</v>
          </cell>
        </row>
        <row r="729">
          <cell r="B729">
            <v>30460</v>
          </cell>
        </row>
        <row r="730">
          <cell r="B730">
            <v>45150</v>
          </cell>
        </row>
        <row r="731">
          <cell r="B731">
            <v>45150</v>
          </cell>
        </row>
        <row r="732">
          <cell r="B732">
            <v>46051</v>
          </cell>
        </row>
        <row r="733">
          <cell r="B733">
            <v>46051</v>
          </cell>
        </row>
        <row r="734">
          <cell r="B734">
            <v>46051</v>
          </cell>
        </row>
        <row r="735">
          <cell r="B735">
            <v>46051</v>
          </cell>
        </row>
        <row r="736">
          <cell r="B736">
            <v>46051</v>
          </cell>
        </row>
        <row r="737">
          <cell r="B737">
            <v>46051</v>
          </cell>
        </row>
        <row r="738">
          <cell r="B738" t="str">
            <v>19807</v>
          </cell>
        </row>
        <row r="739">
          <cell r="B739" t="str">
            <v>19807</v>
          </cell>
        </row>
        <row r="740">
          <cell r="B740" t="str">
            <v>27951</v>
          </cell>
        </row>
        <row r="741">
          <cell r="B741" t="str">
            <v>27951</v>
          </cell>
        </row>
        <row r="742">
          <cell r="B742" t="str">
            <v>27951</v>
          </cell>
        </row>
        <row r="743">
          <cell r="B743" t="str">
            <v>10429</v>
          </cell>
        </row>
        <row r="744">
          <cell r="B744" t="str">
            <v>10429</v>
          </cell>
        </row>
        <row r="745">
          <cell r="B745" t="str">
            <v>10429</v>
          </cell>
        </row>
        <row r="746">
          <cell r="B746" t="str">
            <v>10429</v>
          </cell>
        </row>
        <row r="747">
          <cell r="B747" t="str">
            <v>10429</v>
          </cell>
        </row>
        <row r="748">
          <cell r="B748" t="str">
            <v>21570</v>
          </cell>
        </row>
        <row r="749">
          <cell r="B749" t="str">
            <v>21570</v>
          </cell>
        </row>
        <row r="750">
          <cell r="B750" t="str">
            <v>21570</v>
          </cell>
        </row>
        <row r="751">
          <cell r="B751">
            <v>31775</v>
          </cell>
        </row>
        <row r="752">
          <cell r="B752">
            <v>50050</v>
          </cell>
        </row>
        <row r="753">
          <cell r="B753">
            <v>50050</v>
          </cell>
        </row>
        <row r="754">
          <cell r="B754">
            <v>50050</v>
          </cell>
        </row>
        <row r="755">
          <cell r="B755" t="str">
            <v>51625</v>
          </cell>
        </row>
        <row r="756">
          <cell r="B756" t="str">
            <v>51625</v>
          </cell>
        </row>
        <row r="757">
          <cell r="B757" t="str">
            <v>51625</v>
          </cell>
        </row>
        <row r="758">
          <cell r="B758" t="str">
            <v>30467</v>
          </cell>
        </row>
        <row r="759">
          <cell r="B759" t="str">
            <v>30467</v>
          </cell>
        </row>
        <row r="760">
          <cell r="B760" t="str">
            <v>30467</v>
          </cell>
        </row>
        <row r="761">
          <cell r="B761" t="str">
            <v>29928</v>
          </cell>
        </row>
        <row r="762">
          <cell r="B762" t="str">
            <v>68265</v>
          </cell>
        </row>
        <row r="763">
          <cell r="B763" t="str">
            <v>68265</v>
          </cell>
        </row>
        <row r="764">
          <cell r="B764" t="str">
            <v>68265</v>
          </cell>
        </row>
        <row r="765">
          <cell r="B765" t="str">
            <v>68265</v>
          </cell>
        </row>
        <row r="766">
          <cell r="B766" t="str">
            <v>68265</v>
          </cell>
        </row>
        <row r="767">
          <cell r="B767" t="str">
            <v>68265</v>
          </cell>
        </row>
        <row r="768">
          <cell r="B768" t="str">
            <v>68265</v>
          </cell>
        </row>
        <row r="769">
          <cell r="B769" t="str">
            <v>70930</v>
          </cell>
        </row>
        <row r="770">
          <cell r="B770" t="str">
            <v>70930</v>
          </cell>
        </row>
        <row r="771">
          <cell r="B771" t="str">
            <v>70930</v>
          </cell>
        </row>
        <row r="772">
          <cell r="B772">
            <v>1073</v>
          </cell>
        </row>
        <row r="773">
          <cell r="B773">
            <v>56589</v>
          </cell>
        </row>
        <row r="774">
          <cell r="B774">
            <v>56589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ral"/>
      <sheetName val="Sheet1"/>
      <sheetName val="Sábado"/>
      <sheetName val="Domingo"/>
    </sheetNames>
    <sheetDataSet>
      <sheetData sheetId="0"/>
      <sheetData sheetId="1">
        <row r="1">
          <cell r="A1" t="str">
            <v>CÓDIGO (IMS)</v>
          </cell>
          <cell r="C1" t="str">
            <v>CÓDIGOS FORNECEDORES Voume por rota</v>
          </cell>
        </row>
        <row r="2">
          <cell r="A2">
            <v>47850</v>
          </cell>
          <cell r="C2">
            <v>800006408</v>
          </cell>
        </row>
        <row r="3">
          <cell r="A3">
            <v>1020</v>
          </cell>
          <cell r="C3">
            <v>24229</v>
          </cell>
        </row>
        <row r="4">
          <cell r="A4">
            <v>1097</v>
          </cell>
          <cell r="C4">
            <v>36019</v>
          </cell>
        </row>
        <row r="5">
          <cell r="A5">
            <v>37866</v>
          </cell>
          <cell r="C5">
            <v>31775</v>
          </cell>
        </row>
        <row r="6">
          <cell r="A6">
            <v>27951</v>
          </cell>
          <cell r="C6">
            <v>800006408</v>
          </cell>
        </row>
        <row r="7">
          <cell r="A7">
            <v>36019</v>
          </cell>
          <cell r="C7">
            <v>42932</v>
          </cell>
        </row>
        <row r="8">
          <cell r="A8">
            <v>51658</v>
          </cell>
          <cell r="C8">
            <v>800023353</v>
          </cell>
        </row>
        <row r="9">
          <cell r="A9">
            <v>51620</v>
          </cell>
          <cell r="C9">
            <v>800003820</v>
          </cell>
        </row>
        <row r="10">
          <cell r="A10">
            <v>73860</v>
          </cell>
          <cell r="C10">
            <v>800006335</v>
          </cell>
        </row>
        <row r="11">
          <cell r="A11">
            <v>49630</v>
          </cell>
          <cell r="C11">
            <v>800000377</v>
          </cell>
        </row>
        <row r="12">
          <cell r="A12">
            <v>73850</v>
          </cell>
          <cell r="C12">
            <v>800000507</v>
          </cell>
        </row>
        <row r="13">
          <cell r="A13">
            <v>33132</v>
          </cell>
          <cell r="C13">
            <v>800047201</v>
          </cell>
        </row>
        <row r="14">
          <cell r="A14">
            <v>10675</v>
          </cell>
          <cell r="C14">
            <v>800002863</v>
          </cell>
        </row>
        <row r="15">
          <cell r="A15">
            <v>15565</v>
          </cell>
          <cell r="C15">
            <v>800032056</v>
          </cell>
        </row>
        <row r="16">
          <cell r="A16">
            <v>31610</v>
          </cell>
          <cell r="C16">
            <v>800005713</v>
          </cell>
        </row>
        <row r="17">
          <cell r="A17">
            <v>50111</v>
          </cell>
          <cell r="C17">
            <v>800037100</v>
          </cell>
        </row>
        <row r="18">
          <cell r="A18">
            <v>56589</v>
          </cell>
          <cell r="C18">
            <v>800023315</v>
          </cell>
        </row>
        <row r="19">
          <cell r="A19">
            <v>50050</v>
          </cell>
          <cell r="C19">
            <v>800028826</v>
          </cell>
        </row>
        <row r="20">
          <cell r="A20">
            <v>30467</v>
          </cell>
          <cell r="C20">
            <v>800046299</v>
          </cell>
        </row>
        <row r="21">
          <cell r="A21">
            <v>19414</v>
          </cell>
          <cell r="C21">
            <v>42932</v>
          </cell>
        </row>
        <row r="22">
          <cell r="A22">
            <v>1073</v>
          </cell>
          <cell r="C22">
            <v>1097</v>
          </cell>
        </row>
        <row r="23">
          <cell r="A23">
            <v>11431</v>
          </cell>
          <cell r="C23">
            <v>14837</v>
          </cell>
        </row>
        <row r="24">
          <cell r="A24">
            <v>14928</v>
          </cell>
          <cell r="C24">
            <v>1073</v>
          </cell>
        </row>
        <row r="25">
          <cell r="A25">
            <v>21342</v>
          </cell>
          <cell r="C25">
            <v>50050</v>
          </cell>
        </row>
        <row r="26">
          <cell r="A26">
            <v>23480</v>
          </cell>
          <cell r="C26">
            <v>21342</v>
          </cell>
        </row>
        <row r="27">
          <cell r="A27">
            <v>23481</v>
          </cell>
          <cell r="C27">
            <v>33518</v>
          </cell>
        </row>
        <row r="28">
          <cell r="A28">
            <v>27986</v>
          </cell>
          <cell r="C28">
            <v>42932</v>
          </cell>
        </row>
        <row r="29">
          <cell r="A29">
            <v>32059</v>
          </cell>
          <cell r="C29">
            <v>45150</v>
          </cell>
        </row>
        <row r="30">
          <cell r="A30">
            <v>32572</v>
          </cell>
          <cell r="C30">
            <v>14928</v>
          </cell>
        </row>
        <row r="31">
          <cell r="A31">
            <v>33518</v>
          </cell>
          <cell r="C31">
            <v>56589</v>
          </cell>
        </row>
        <row r="32">
          <cell r="A32">
            <v>58696</v>
          </cell>
          <cell r="C32">
            <v>46051</v>
          </cell>
        </row>
        <row r="33">
          <cell r="A33">
            <v>47104</v>
          </cell>
          <cell r="C33">
            <v>41469</v>
          </cell>
        </row>
        <row r="34">
          <cell r="A34">
            <v>21796</v>
          </cell>
        </row>
        <row r="35">
          <cell r="A35">
            <v>20419</v>
          </cell>
        </row>
        <row r="36">
          <cell r="A36">
            <v>78605</v>
          </cell>
        </row>
        <row r="37">
          <cell r="A37">
            <v>24229</v>
          </cell>
        </row>
        <row r="38">
          <cell r="A38">
            <v>34836</v>
          </cell>
        </row>
        <row r="39">
          <cell r="A39">
            <v>28824</v>
          </cell>
        </row>
        <row r="40">
          <cell r="A40">
            <v>21570</v>
          </cell>
        </row>
        <row r="41">
          <cell r="A41">
            <v>14837</v>
          </cell>
        </row>
        <row r="42">
          <cell r="A42">
            <v>68265</v>
          </cell>
        </row>
        <row r="43">
          <cell r="A43">
            <v>45150</v>
          </cell>
        </row>
        <row r="44">
          <cell r="A44">
            <v>42932</v>
          </cell>
        </row>
        <row r="45">
          <cell r="A45">
            <v>41469</v>
          </cell>
        </row>
        <row r="46">
          <cell r="A46">
            <v>31775</v>
          </cell>
        </row>
        <row r="47">
          <cell r="A47">
            <v>30460</v>
          </cell>
        </row>
        <row r="48">
          <cell r="A48">
            <v>46051</v>
          </cell>
        </row>
        <row r="49">
          <cell r="A49">
            <v>19807</v>
          </cell>
        </row>
        <row r="50">
          <cell r="A50">
            <v>10429</v>
          </cell>
        </row>
        <row r="51">
          <cell r="A51">
            <v>51625</v>
          </cell>
        </row>
        <row r="52">
          <cell r="A52">
            <v>29928</v>
          </cell>
        </row>
        <row r="53">
          <cell r="A53">
            <v>70930</v>
          </cell>
        </row>
      </sheetData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D1" t="str">
            <v>CÓDIGOS FORNECEDORES</v>
          </cell>
          <cell r="F1" t="str">
            <v>VEÍCULO</v>
          </cell>
        </row>
        <row r="2">
          <cell r="D2" t="str">
            <v>1097</v>
          </cell>
          <cell r="F2" t="str">
            <v>CARRETA</v>
          </cell>
        </row>
        <row r="3">
          <cell r="D3" t="str">
            <v>14837</v>
          </cell>
          <cell r="F3" t="str">
            <v>CARRETA REBAIXADA</v>
          </cell>
        </row>
        <row r="4">
          <cell r="D4" t="str">
            <v>1020</v>
          </cell>
          <cell r="F4" t="str">
            <v>TRUCK VIAGEM</v>
          </cell>
        </row>
        <row r="5">
          <cell r="D5" t="str">
            <v>1073</v>
          </cell>
          <cell r="F5" t="str">
            <v>CARRETA</v>
          </cell>
        </row>
        <row r="6">
          <cell r="D6" t="str">
            <v>30460</v>
          </cell>
          <cell r="F6" t="str">
            <v>TRUCK VIAGEM</v>
          </cell>
        </row>
        <row r="7">
          <cell r="D7" t="str">
            <v>56589/46051</v>
          </cell>
          <cell r="F7" t="str">
            <v>VANDERLEA</v>
          </cell>
        </row>
        <row r="8">
          <cell r="D8" t="str">
            <v>37866</v>
          </cell>
          <cell r="F8" t="str">
            <v>TRUCK VIAGEM</v>
          </cell>
        </row>
        <row r="9">
          <cell r="D9" t="str">
            <v>37866</v>
          </cell>
          <cell r="F9" t="str">
            <v>TRUCK VIAGEM</v>
          </cell>
        </row>
        <row r="10">
          <cell r="D10" t="str">
            <v>21342/50050/800006192</v>
          </cell>
          <cell r="F10" t="str">
            <v>CARRETA</v>
          </cell>
        </row>
        <row r="11">
          <cell r="D11" t="str">
            <v>50050/800006192</v>
          </cell>
          <cell r="F11" t="str">
            <v>CARRETA</v>
          </cell>
        </row>
        <row r="12">
          <cell r="D12" t="str">
            <v>21342</v>
          </cell>
          <cell r="F12" t="str">
            <v>CARRETA</v>
          </cell>
        </row>
        <row r="13">
          <cell r="D13" t="str">
            <v>33518</v>
          </cell>
          <cell r="F13" t="str">
            <v>CARRETA</v>
          </cell>
        </row>
        <row r="14">
          <cell r="D14" t="str">
            <v>42932</v>
          </cell>
          <cell r="F14" t="str">
            <v>CARRETA</v>
          </cell>
        </row>
        <row r="15">
          <cell r="D15" t="str">
            <v>45150</v>
          </cell>
          <cell r="F15" t="str">
            <v>VANDERLEA</v>
          </cell>
        </row>
        <row r="16">
          <cell r="D16" t="str">
            <v>28824</v>
          </cell>
          <cell r="F16" t="str">
            <v>TRUCK VIAGEM</v>
          </cell>
        </row>
        <row r="17">
          <cell r="D17" t="str">
            <v>14928</v>
          </cell>
          <cell r="F17" t="str">
            <v>CARRETA</v>
          </cell>
        </row>
        <row r="18">
          <cell r="D18" t="str">
            <v>56589</v>
          </cell>
          <cell r="F18" t="str">
            <v>VANDERLEA</v>
          </cell>
        </row>
        <row r="19">
          <cell r="D19" t="str">
            <v>46051</v>
          </cell>
          <cell r="F19" t="str">
            <v>VANDERLEA</v>
          </cell>
        </row>
        <row r="20">
          <cell r="D20" t="str">
            <v>41469</v>
          </cell>
          <cell r="F20" t="str">
            <v>CARRETA</v>
          </cell>
        </row>
        <row r="21">
          <cell r="D21" t="str">
            <v>800023353</v>
          </cell>
          <cell r="F21" t="str">
            <v>CARRETA</v>
          </cell>
        </row>
        <row r="22">
          <cell r="D22" t="str">
            <v>800003820</v>
          </cell>
          <cell r="F22" t="str">
            <v>CARRETA REBAIXADA</v>
          </cell>
        </row>
        <row r="23">
          <cell r="D23" t="str">
            <v>800006335</v>
          </cell>
          <cell r="F23" t="str">
            <v>CARRETA</v>
          </cell>
        </row>
        <row r="24">
          <cell r="D24" t="str">
            <v>800000057</v>
          </cell>
          <cell r="F24" t="str">
            <v>TRUCK VIAGEM</v>
          </cell>
        </row>
        <row r="25">
          <cell r="D25" t="str">
            <v>800000377</v>
          </cell>
          <cell r="F25" t="str">
            <v>CARRETA</v>
          </cell>
        </row>
        <row r="26">
          <cell r="D26" t="str">
            <v>800000507</v>
          </cell>
          <cell r="F26" t="str">
            <v>CARRETA</v>
          </cell>
        </row>
        <row r="27">
          <cell r="D27" t="str">
            <v>800047201</v>
          </cell>
          <cell r="F27" t="str">
            <v>CARRETA</v>
          </cell>
        </row>
        <row r="28">
          <cell r="D28" t="str">
            <v>800002863</v>
          </cell>
          <cell r="F28" t="str">
            <v>CARRETA</v>
          </cell>
        </row>
        <row r="29">
          <cell r="D29" t="str">
            <v>800032056</v>
          </cell>
          <cell r="F29" t="str">
            <v>CARRETA</v>
          </cell>
        </row>
        <row r="30">
          <cell r="D30" t="str">
            <v>800005713</v>
          </cell>
          <cell r="F30" t="str">
            <v>CARRETA</v>
          </cell>
        </row>
        <row r="31">
          <cell r="D31" t="str">
            <v>800043235</v>
          </cell>
          <cell r="F31" t="str">
            <v>CARRETA</v>
          </cell>
        </row>
        <row r="32">
          <cell r="D32" t="str">
            <v>800006042</v>
          </cell>
          <cell r="F32" t="str">
            <v>TRUCK VIAGEM</v>
          </cell>
        </row>
        <row r="33">
          <cell r="D33" t="str">
            <v>800037100</v>
          </cell>
          <cell r="F33" t="str">
            <v>CARRETA</v>
          </cell>
        </row>
        <row r="34">
          <cell r="D34" t="str">
            <v>800023315</v>
          </cell>
          <cell r="F34" t="str">
            <v>CARRETA</v>
          </cell>
        </row>
        <row r="35">
          <cell r="D35" t="str">
            <v>800028826</v>
          </cell>
          <cell r="F35" t="str">
            <v>CARRETA</v>
          </cell>
        </row>
        <row r="36">
          <cell r="D36" t="str">
            <v>800046299</v>
          </cell>
          <cell r="F36" t="str">
            <v>CARRETA</v>
          </cell>
        </row>
        <row r="37">
          <cell r="D37" t="str">
            <v>42932</v>
          </cell>
          <cell r="F37" t="str">
            <v>CARRETA</v>
          </cell>
        </row>
        <row r="38">
          <cell r="D38" t="str">
            <v>800012939</v>
          </cell>
          <cell r="F38" t="str">
            <v>TRUCK VIAGEM</v>
          </cell>
        </row>
        <row r="39">
          <cell r="D39" t="str">
            <v>800025402</v>
          </cell>
          <cell r="F39" t="str">
            <v>TRUCK VIAGEM</v>
          </cell>
        </row>
        <row r="40">
          <cell r="D40" t="str">
            <v>800039607</v>
          </cell>
          <cell r="F40" t="str">
            <v>TRUCK VIAGEM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B9044-5A84-4453-A4AB-9D3FAB58BBA5}">
  <dimension ref="A1:L75"/>
  <sheetViews>
    <sheetView tabSelected="1" zoomScale="85" zoomScaleNormal="115" workbookViewId="0">
      <selection activeCell="C1" sqref="C1"/>
    </sheetView>
  </sheetViews>
  <sheetFormatPr defaultRowHeight="14.5" x14ac:dyDescent="0.35"/>
  <cols>
    <col min="1" max="1" width="7.54296875" style="2" bestFit="1" customWidth="1"/>
    <col min="2" max="2" width="20.453125" style="2" bestFit="1" customWidth="1"/>
    <col min="3" max="3" width="30.6328125" style="2" bestFit="1" customWidth="1"/>
    <col min="4" max="4" width="42" style="2" bestFit="1" customWidth="1"/>
    <col min="5" max="5" width="9.54296875" style="2" bestFit="1" customWidth="1"/>
    <col min="6" max="6" width="14.453125" style="2" bestFit="1" customWidth="1"/>
    <col min="7" max="7" width="18.54296875" style="2" bestFit="1" customWidth="1"/>
    <col min="8" max="8" width="8.453125" style="2" bestFit="1" customWidth="1"/>
    <col min="9" max="9" width="15.1796875" style="2" bestFit="1" customWidth="1"/>
    <col min="10" max="10" width="12.81640625" style="2" bestFit="1" customWidth="1"/>
    <col min="11" max="11" width="5.453125" style="2" bestFit="1" customWidth="1"/>
    <col min="12" max="12" width="13.26953125" style="2" bestFit="1" customWidth="1"/>
  </cols>
  <sheetData>
    <row r="1" spans="1:12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1</v>
      </c>
      <c r="B2" s="2">
        <v>28920</v>
      </c>
      <c r="C2" s="2">
        <v>800023353</v>
      </c>
      <c r="D2" s="2" t="s">
        <v>22</v>
      </c>
      <c r="E2" s="2">
        <v>1080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</row>
    <row r="3" spans="1:12" x14ac:dyDescent="0.35">
      <c r="A3" s="2">
        <v>2</v>
      </c>
      <c r="B3" s="2">
        <v>33301</v>
      </c>
      <c r="C3" s="2">
        <v>800005918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15</v>
      </c>
      <c r="I3" s="2" t="s">
        <v>16</v>
      </c>
      <c r="J3" s="2" t="s">
        <v>27</v>
      </c>
      <c r="K3" s="2" t="s">
        <v>18</v>
      </c>
      <c r="L3" s="2" t="s">
        <v>28</v>
      </c>
    </row>
    <row r="4" spans="1:12" x14ac:dyDescent="0.35">
      <c r="A4" s="2">
        <v>3</v>
      </c>
      <c r="B4" s="2">
        <v>15823</v>
      </c>
      <c r="C4" s="2">
        <v>800003820</v>
      </c>
      <c r="D4" s="2" t="s">
        <v>29</v>
      </c>
      <c r="E4" s="2">
        <v>1080</v>
      </c>
      <c r="F4" s="2" t="s">
        <v>13</v>
      </c>
      <c r="G4" s="2" t="s">
        <v>30</v>
      </c>
      <c r="H4" s="2" t="s">
        <v>15</v>
      </c>
      <c r="I4" s="2" t="s">
        <v>16</v>
      </c>
      <c r="J4" s="2" t="s">
        <v>17</v>
      </c>
      <c r="K4" s="2" t="s">
        <v>18</v>
      </c>
      <c r="L4" s="2" t="s">
        <v>19</v>
      </c>
    </row>
    <row r="5" spans="1:12" x14ac:dyDescent="0.35">
      <c r="A5" s="2">
        <v>4</v>
      </c>
      <c r="B5" s="2">
        <v>24229</v>
      </c>
      <c r="C5" s="2">
        <v>800016859</v>
      </c>
      <c r="D5" s="2" t="s">
        <v>31</v>
      </c>
      <c r="E5" s="2" t="s">
        <v>24</v>
      </c>
      <c r="F5" s="2" t="s">
        <v>25</v>
      </c>
      <c r="G5" s="2" t="s">
        <v>30</v>
      </c>
      <c r="H5" s="2" t="s">
        <v>15</v>
      </c>
      <c r="I5" s="2" t="s">
        <v>16</v>
      </c>
      <c r="J5" s="2" t="s">
        <v>27</v>
      </c>
      <c r="K5" s="2" t="s">
        <v>18</v>
      </c>
      <c r="L5" s="2" t="s">
        <v>19</v>
      </c>
    </row>
    <row r="6" spans="1:12" x14ac:dyDescent="0.35">
      <c r="A6" s="2">
        <v>5</v>
      </c>
      <c r="B6" s="2">
        <v>59683</v>
      </c>
      <c r="C6" s="2">
        <v>800006335</v>
      </c>
      <c r="D6" s="2" t="s">
        <v>32</v>
      </c>
      <c r="E6" s="2">
        <v>1080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</row>
    <row r="7" spans="1:12" x14ac:dyDescent="0.35">
      <c r="A7" s="2">
        <v>6</v>
      </c>
      <c r="B7" s="2" t="s">
        <v>33</v>
      </c>
      <c r="C7" s="2" t="s">
        <v>34</v>
      </c>
      <c r="D7" s="2" t="s">
        <v>35</v>
      </c>
      <c r="E7" s="2">
        <v>1080</v>
      </c>
      <c r="F7" s="2" t="s">
        <v>13</v>
      </c>
      <c r="G7" s="2" t="s">
        <v>133</v>
      </c>
      <c r="H7" s="2" t="s">
        <v>15</v>
      </c>
      <c r="I7" s="2" t="s">
        <v>16</v>
      </c>
      <c r="J7" s="2" t="s">
        <v>17</v>
      </c>
      <c r="K7" s="2" t="s">
        <v>18</v>
      </c>
      <c r="L7" s="2" t="s">
        <v>19</v>
      </c>
    </row>
    <row r="8" spans="1:12" x14ac:dyDescent="0.35">
      <c r="A8" s="2">
        <v>7</v>
      </c>
      <c r="B8" s="2">
        <v>3111</v>
      </c>
      <c r="C8" s="2">
        <v>800000377</v>
      </c>
      <c r="D8" s="2" t="s">
        <v>12</v>
      </c>
      <c r="E8" s="2">
        <v>1080</v>
      </c>
      <c r="F8" s="2" t="s">
        <v>13</v>
      </c>
      <c r="G8" s="2" t="s">
        <v>14</v>
      </c>
      <c r="H8" s="2" t="s">
        <v>15</v>
      </c>
      <c r="I8" s="2" t="s">
        <v>16</v>
      </c>
      <c r="J8" s="2" t="s">
        <v>17</v>
      </c>
      <c r="K8" s="2" t="s">
        <v>18</v>
      </c>
      <c r="L8" s="2" t="s">
        <v>19</v>
      </c>
    </row>
    <row r="9" spans="1:12" x14ac:dyDescent="0.35">
      <c r="A9" s="2">
        <v>8</v>
      </c>
      <c r="B9" s="2">
        <v>3981</v>
      </c>
      <c r="C9" s="2">
        <v>800000507</v>
      </c>
      <c r="D9" s="2" t="s">
        <v>37</v>
      </c>
      <c r="E9" s="2">
        <v>1080</v>
      </c>
      <c r="F9" s="2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2" t="s">
        <v>18</v>
      </c>
      <c r="L9" s="2" t="s">
        <v>19</v>
      </c>
    </row>
    <row r="10" spans="1:12" x14ac:dyDescent="0.35">
      <c r="A10" s="2">
        <v>9</v>
      </c>
      <c r="B10" s="2">
        <v>47348</v>
      </c>
      <c r="C10" s="2">
        <v>800047201</v>
      </c>
      <c r="D10" s="2" t="s">
        <v>38</v>
      </c>
      <c r="E10" s="2">
        <v>1080</v>
      </c>
      <c r="F10" s="2" t="s">
        <v>13</v>
      </c>
      <c r="G10" s="2" t="s">
        <v>14</v>
      </c>
      <c r="H10" s="2" t="s">
        <v>15</v>
      </c>
      <c r="I10" s="2" t="s">
        <v>16</v>
      </c>
      <c r="J10" s="2" t="s">
        <v>17</v>
      </c>
      <c r="K10" s="2" t="s">
        <v>18</v>
      </c>
      <c r="L10" s="2" t="s">
        <v>19</v>
      </c>
    </row>
    <row r="11" spans="1:12" x14ac:dyDescent="0.35">
      <c r="A11" s="2">
        <v>10</v>
      </c>
      <c r="B11" s="2">
        <v>12896</v>
      </c>
      <c r="C11" s="2">
        <v>800002863</v>
      </c>
      <c r="D11" s="2" t="s">
        <v>39</v>
      </c>
      <c r="E11" s="2">
        <v>1080</v>
      </c>
      <c r="F11" s="2" t="s">
        <v>13</v>
      </c>
      <c r="G11" s="2" t="s">
        <v>14</v>
      </c>
      <c r="H11" s="2" t="s">
        <v>15</v>
      </c>
      <c r="I11" s="2" t="s">
        <v>16</v>
      </c>
      <c r="J11" s="2" t="s">
        <v>17</v>
      </c>
      <c r="K11" s="2" t="s">
        <v>18</v>
      </c>
      <c r="L11" s="2" t="s">
        <v>19</v>
      </c>
    </row>
    <row r="12" spans="1:12" x14ac:dyDescent="0.35">
      <c r="A12" s="2">
        <v>11</v>
      </c>
      <c r="B12" s="2" t="s">
        <v>40</v>
      </c>
      <c r="C12" s="2" t="s">
        <v>41</v>
      </c>
      <c r="D12" s="2" t="s">
        <v>42</v>
      </c>
      <c r="E12" s="2">
        <v>1080</v>
      </c>
      <c r="F12" s="2" t="s">
        <v>13</v>
      </c>
      <c r="G12" s="2" t="s">
        <v>30</v>
      </c>
      <c r="H12" s="2" t="s">
        <v>15</v>
      </c>
      <c r="I12" s="2" t="s">
        <v>16</v>
      </c>
      <c r="J12" s="2" t="s">
        <v>17</v>
      </c>
      <c r="K12" s="2" t="s">
        <v>18</v>
      </c>
      <c r="L12" s="2" t="s">
        <v>43</v>
      </c>
    </row>
    <row r="13" spans="1:12" x14ac:dyDescent="0.35">
      <c r="A13" s="2">
        <v>12</v>
      </c>
      <c r="B13" s="2">
        <v>15826</v>
      </c>
      <c r="C13" s="2">
        <v>800032056</v>
      </c>
      <c r="D13" s="2" t="s">
        <v>44</v>
      </c>
      <c r="E13" s="2">
        <v>1080</v>
      </c>
      <c r="F13" s="2" t="s">
        <v>13</v>
      </c>
      <c r="G13" s="2" t="s">
        <v>14</v>
      </c>
      <c r="H13" s="2" t="s">
        <v>15</v>
      </c>
      <c r="I13" s="2" t="s">
        <v>16</v>
      </c>
      <c r="J13" s="2" t="s">
        <v>17</v>
      </c>
      <c r="K13" s="2" t="s">
        <v>18</v>
      </c>
      <c r="L13" s="2" t="s">
        <v>19</v>
      </c>
    </row>
    <row r="14" spans="1:12" x14ac:dyDescent="0.35">
      <c r="A14" s="2">
        <v>13</v>
      </c>
      <c r="B14" s="2">
        <v>22260</v>
      </c>
      <c r="C14" s="2">
        <v>800005713</v>
      </c>
      <c r="D14" s="2" t="s">
        <v>45</v>
      </c>
      <c r="E14" s="2">
        <v>1080</v>
      </c>
      <c r="F14" s="2" t="s">
        <v>13</v>
      </c>
      <c r="G14" s="2" t="s">
        <v>14</v>
      </c>
      <c r="H14" s="2" t="s">
        <v>15</v>
      </c>
      <c r="I14" s="2" t="s">
        <v>16</v>
      </c>
      <c r="J14" s="2" t="s">
        <v>17</v>
      </c>
      <c r="K14" s="2" t="s">
        <v>18</v>
      </c>
      <c r="L14" s="2" t="s">
        <v>43</v>
      </c>
    </row>
    <row r="15" spans="1:12" x14ac:dyDescent="0.35">
      <c r="A15" s="2">
        <v>14</v>
      </c>
      <c r="B15" s="2" t="s">
        <v>46</v>
      </c>
      <c r="C15" s="2" t="s">
        <v>47</v>
      </c>
      <c r="D15" s="2" t="s">
        <v>48</v>
      </c>
      <c r="E15" s="2">
        <v>60444</v>
      </c>
      <c r="F15" s="2" t="s">
        <v>49</v>
      </c>
      <c r="G15" s="2" t="s">
        <v>14</v>
      </c>
      <c r="H15" s="2" t="s">
        <v>15</v>
      </c>
      <c r="I15" s="2" t="s">
        <v>16</v>
      </c>
      <c r="J15" s="2" t="s">
        <v>17</v>
      </c>
      <c r="K15" s="2" t="s">
        <v>18</v>
      </c>
      <c r="L15" s="2" t="s">
        <v>50</v>
      </c>
    </row>
    <row r="16" spans="1:12" x14ac:dyDescent="0.35">
      <c r="A16" s="2">
        <v>15</v>
      </c>
      <c r="B16" s="2">
        <v>30864</v>
      </c>
      <c r="C16" s="2">
        <v>800027163</v>
      </c>
      <c r="D16" s="2" t="s">
        <v>51</v>
      </c>
      <c r="E16" s="2">
        <v>1080</v>
      </c>
      <c r="F16" s="2" t="s">
        <v>13</v>
      </c>
      <c r="G16" s="2" t="s">
        <v>14</v>
      </c>
      <c r="H16" s="2" t="s">
        <v>15</v>
      </c>
      <c r="I16" s="2" t="s">
        <v>16</v>
      </c>
      <c r="J16" s="2" t="s">
        <v>17</v>
      </c>
      <c r="K16" s="2" t="s">
        <v>18</v>
      </c>
      <c r="L16" s="2" t="s">
        <v>19</v>
      </c>
    </row>
    <row r="17" spans="1:12" x14ac:dyDescent="0.35">
      <c r="A17" s="2">
        <v>16</v>
      </c>
      <c r="B17" s="2" t="s">
        <v>20</v>
      </c>
      <c r="C17" s="2" t="s">
        <v>52</v>
      </c>
      <c r="D17" s="2" t="s">
        <v>21</v>
      </c>
      <c r="E17" s="2">
        <v>1080</v>
      </c>
      <c r="F17" s="2" t="s">
        <v>13</v>
      </c>
      <c r="G17" s="2" t="s">
        <v>14</v>
      </c>
      <c r="H17" s="2" t="s">
        <v>15</v>
      </c>
      <c r="I17" s="2" t="s">
        <v>16</v>
      </c>
      <c r="J17" s="2" t="s">
        <v>17</v>
      </c>
      <c r="K17" s="2" t="s">
        <v>18</v>
      </c>
      <c r="L17" s="2" t="s">
        <v>19</v>
      </c>
    </row>
    <row r="18" spans="1:12" x14ac:dyDescent="0.35">
      <c r="A18" s="2">
        <v>17</v>
      </c>
      <c r="B18" s="2">
        <v>41789</v>
      </c>
      <c r="C18" s="2">
        <v>800006042</v>
      </c>
      <c r="D18" s="2" t="s">
        <v>53</v>
      </c>
      <c r="E18" s="2">
        <v>1080</v>
      </c>
      <c r="F18" s="2" t="s">
        <v>13</v>
      </c>
      <c r="G18" s="2" t="s">
        <v>133</v>
      </c>
      <c r="H18" s="2" t="s">
        <v>15</v>
      </c>
      <c r="I18" s="2" t="s">
        <v>16</v>
      </c>
      <c r="J18" s="2" t="s">
        <v>17</v>
      </c>
      <c r="K18" s="2" t="s">
        <v>18</v>
      </c>
      <c r="L18" s="2" t="s">
        <v>19</v>
      </c>
    </row>
    <row r="19" spans="1:12" x14ac:dyDescent="0.35">
      <c r="A19" s="2">
        <v>18</v>
      </c>
      <c r="B19" s="2">
        <v>36845</v>
      </c>
      <c r="C19" s="2">
        <v>800035074</v>
      </c>
      <c r="D19" s="2" t="s">
        <v>54</v>
      </c>
      <c r="E19" s="2">
        <v>1080</v>
      </c>
      <c r="F19" s="2" t="s">
        <v>13</v>
      </c>
      <c r="G19" s="2" t="s">
        <v>14</v>
      </c>
      <c r="H19" s="2" t="s">
        <v>15</v>
      </c>
      <c r="I19" s="2" t="s">
        <v>16</v>
      </c>
      <c r="J19" s="2" t="s">
        <v>17</v>
      </c>
      <c r="K19" s="2" t="s">
        <v>18</v>
      </c>
      <c r="L19" s="2" t="s">
        <v>19</v>
      </c>
    </row>
    <row r="20" spans="1:12" x14ac:dyDescent="0.35">
      <c r="A20" s="2">
        <v>19</v>
      </c>
      <c r="B20" s="2">
        <v>38094</v>
      </c>
      <c r="C20" s="2">
        <v>800036730</v>
      </c>
      <c r="D20" s="2" t="s">
        <v>55</v>
      </c>
      <c r="E20" s="2">
        <v>60444</v>
      </c>
      <c r="F20" s="2" t="s">
        <v>49</v>
      </c>
      <c r="G20" s="2" t="s">
        <v>14</v>
      </c>
      <c r="H20" s="2" t="s">
        <v>15</v>
      </c>
      <c r="I20" s="2" t="s">
        <v>16</v>
      </c>
      <c r="J20" s="2" t="s">
        <v>17</v>
      </c>
      <c r="K20" s="2" t="s">
        <v>18</v>
      </c>
      <c r="L20" s="2" t="s">
        <v>19</v>
      </c>
    </row>
    <row r="21" spans="1:12" x14ac:dyDescent="0.35">
      <c r="A21" s="2">
        <v>20</v>
      </c>
      <c r="B21" s="2">
        <v>19099</v>
      </c>
      <c r="C21" s="2">
        <v>800024682</v>
      </c>
      <c r="D21" s="2" t="s">
        <v>56</v>
      </c>
      <c r="E21" s="2">
        <v>60444</v>
      </c>
      <c r="F21" s="2" t="s">
        <v>49</v>
      </c>
      <c r="G21" s="2" t="s">
        <v>14</v>
      </c>
      <c r="H21" s="2" t="s">
        <v>15</v>
      </c>
      <c r="I21" s="2" t="s">
        <v>16</v>
      </c>
      <c r="J21" s="2" t="s">
        <v>17</v>
      </c>
      <c r="K21" s="2" t="s">
        <v>18</v>
      </c>
      <c r="L21" s="2" t="s">
        <v>19</v>
      </c>
    </row>
    <row r="22" spans="1:12" x14ac:dyDescent="0.35">
      <c r="A22" s="2">
        <v>21</v>
      </c>
      <c r="B22" s="2">
        <v>71104</v>
      </c>
      <c r="C22" s="2">
        <v>800006523</v>
      </c>
      <c r="D22" s="2" t="s">
        <v>57</v>
      </c>
      <c r="E22" s="2">
        <v>1080</v>
      </c>
      <c r="F22" s="2" t="s">
        <v>13</v>
      </c>
      <c r="G22" s="2" t="s">
        <v>14</v>
      </c>
      <c r="H22" s="2" t="s">
        <v>15</v>
      </c>
      <c r="I22" s="2" t="s">
        <v>16</v>
      </c>
      <c r="J22" s="2" t="s">
        <v>17</v>
      </c>
      <c r="K22" s="2" t="s">
        <v>18</v>
      </c>
      <c r="L22" s="2" t="s">
        <v>19</v>
      </c>
    </row>
    <row r="23" spans="1:12" x14ac:dyDescent="0.35">
      <c r="A23" s="2">
        <v>22</v>
      </c>
      <c r="B23" s="2">
        <v>20748</v>
      </c>
      <c r="C23" s="2">
        <v>800012835</v>
      </c>
      <c r="D23" s="2" t="s">
        <v>58</v>
      </c>
      <c r="E23" s="2" t="s">
        <v>24</v>
      </c>
      <c r="F23" s="2" t="s">
        <v>25</v>
      </c>
      <c r="G23" s="2" t="s">
        <v>14</v>
      </c>
      <c r="H23" s="2" t="s">
        <v>15</v>
      </c>
      <c r="I23" s="2" t="s">
        <v>16</v>
      </c>
      <c r="J23" s="2" t="s">
        <v>17</v>
      </c>
      <c r="K23" s="2" t="s">
        <v>18</v>
      </c>
      <c r="L23" s="2" t="s">
        <v>28</v>
      </c>
    </row>
    <row r="24" spans="1:12" x14ac:dyDescent="0.35">
      <c r="A24" s="2">
        <v>23</v>
      </c>
      <c r="B24" s="2">
        <v>1097</v>
      </c>
      <c r="C24" s="2">
        <v>800000059</v>
      </c>
      <c r="D24" s="2" t="s">
        <v>35</v>
      </c>
      <c r="E24" s="2">
        <v>1046</v>
      </c>
      <c r="F24" s="2" t="s">
        <v>59</v>
      </c>
      <c r="G24" s="2" t="s">
        <v>14</v>
      </c>
      <c r="H24" s="2" t="s">
        <v>15</v>
      </c>
      <c r="I24" s="2" t="s">
        <v>59</v>
      </c>
      <c r="J24" s="2" t="s">
        <v>17</v>
      </c>
      <c r="K24" s="2" t="s">
        <v>18</v>
      </c>
      <c r="L24" s="2" t="s">
        <v>19</v>
      </c>
    </row>
    <row r="25" spans="1:12" x14ac:dyDescent="0.35">
      <c r="A25" s="2">
        <v>24</v>
      </c>
      <c r="B25" s="2" t="s">
        <v>60</v>
      </c>
      <c r="C25" s="2" t="s">
        <v>61</v>
      </c>
      <c r="D25" s="2" t="s">
        <v>62</v>
      </c>
      <c r="E25" s="2" t="s">
        <v>24</v>
      </c>
      <c r="F25" s="2" t="s">
        <v>25</v>
      </c>
      <c r="G25" s="2" t="s">
        <v>133</v>
      </c>
      <c r="H25" s="2" t="s">
        <v>15</v>
      </c>
      <c r="I25" s="2" t="s">
        <v>59</v>
      </c>
      <c r="J25" s="2" t="s">
        <v>17</v>
      </c>
      <c r="K25" s="2" t="s">
        <v>18</v>
      </c>
      <c r="L25" s="2" t="s">
        <v>19</v>
      </c>
    </row>
    <row r="26" spans="1:12" x14ac:dyDescent="0.35">
      <c r="A26" s="2">
        <v>25</v>
      </c>
      <c r="B26" s="2">
        <v>36019</v>
      </c>
      <c r="C26" s="2">
        <v>800033930</v>
      </c>
      <c r="D26" s="2" t="s">
        <v>63</v>
      </c>
      <c r="E26" s="2" t="s">
        <v>24</v>
      </c>
      <c r="F26" s="2" t="s">
        <v>25</v>
      </c>
      <c r="G26" s="2" t="s">
        <v>14</v>
      </c>
      <c r="H26" s="2" t="s">
        <v>15</v>
      </c>
      <c r="I26" s="2" t="s">
        <v>16</v>
      </c>
      <c r="J26" s="2" t="s">
        <v>27</v>
      </c>
      <c r="K26" s="2" t="s">
        <v>18</v>
      </c>
      <c r="L26" s="2" t="s">
        <v>43</v>
      </c>
    </row>
    <row r="27" spans="1:12" x14ac:dyDescent="0.35">
      <c r="A27" s="2">
        <v>26</v>
      </c>
      <c r="B27" s="2" t="s">
        <v>64</v>
      </c>
      <c r="C27" s="2" t="s">
        <v>65</v>
      </c>
      <c r="D27" s="2" t="s">
        <v>37</v>
      </c>
      <c r="E27" s="2" t="s">
        <v>24</v>
      </c>
      <c r="F27" s="2" t="s">
        <v>25</v>
      </c>
      <c r="G27" s="2" t="s">
        <v>133</v>
      </c>
      <c r="H27" s="2" t="s">
        <v>15</v>
      </c>
      <c r="I27" s="2" t="s">
        <v>16</v>
      </c>
      <c r="J27" s="2" t="s">
        <v>17</v>
      </c>
      <c r="K27" s="2" t="s">
        <v>18</v>
      </c>
      <c r="L27" s="2" t="s">
        <v>19</v>
      </c>
    </row>
    <row r="28" spans="1:12" x14ac:dyDescent="0.35">
      <c r="A28" s="2">
        <v>27</v>
      </c>
      <c r="B28" s="2">
        <v>31775</v>
      </c>
      <c r="C28" s="2">
        <v>800028458</v>
      </c>
      <c r="D28" s="2" t="s">
        <v>66</v>
      </c>
      <c r="E28" s="2" t="s">
        <v>24</v>
      </c>
      <c r="F28" s="2" t="s">
        <v>25</v>
      </c>
      <c r="G28" s="2" t="s">
        <v>14</v>
      </c>
      <c r="H28" s="2" t="s">
        <v>15</v>
      </c>
      <c r="I28" s="2" t="s">
        <v>16</v>
      </c>
      <c r="J28" s="2" t="s">
        <v>17</v>
      </c>
      <c r="K28" s="2" t="s">
        <v>18</v>
      </c>
      <c r="L28" s="2" t="s">
        <v>43</v>
      </c>
    </row>
    <row r="29" spans="1:12" x14ac:dyDescent="0.35">
      <c r="A29" s="2">
        <v>28</v>
      </c>
      <c r="B29" s="2">
        <v>14837</v>
      </c>
      <c r="C29" s="2">
        <v>800003531</v>
      </c>
      <c r="D29" s="2" t="s">
        <v>67</v>
      </c>
      <c r="E29" s="2">
        <v>1046</v>
      </c>
      <c r="F29" s="2" t="s">
        <v>59</v>
      </c>
      <c r="G29" s="2" t="s">
        <v>30</v>
      </c>
      <c r="H29" s="2" t="s">
        <v>15</v>
      </c>
      <c r="I29" s="2" t="s">
        <v>59</v>
      </c>
      <c r="J29" s="2" t="s">
        <v>17</v>
      </c>
      <c r="K29" s="2" t="s">
        <v>18</v>
      </c>
      <c r="L29" s="2" t="s">
        <v>19</v>
      </c>
    </row>
    <row r="30" spans="1:12" x14ac:dyDescent="0.35">
      <c r="A30" s="2">
        <v>29</v>
      </c>
      <c r="B30" s="2" t="s">
        <v>68</v>
      </c>
      <c r="C30" s="2" t="s">
        <v>69</v>
      </c>
      <c r="D30" s="2" t="s">
        <v>70</v>
      </c>
      <c r="E30" s="2" t="s">
        <v>24</v>
      </c>
      <c r="F30" s="2" t="s">
        <v>25</v>
      </c>
      <c r="G30" s="2" t="s">
        <v>14</v>
      </c>
      <c r="H30" s="2" t="s">
        <v>15</v>
      </c>
      <c r="I30" s="2" t="s">
        <v>16</v>
      </c>
      <c r="J30" s="2" t="s">
        <v>27</v>
      </c>
      <c r="K30" s="2" t="s">
        <v>18</v>
      </c>
      <c r="L30" s="2" t="s">
        <v>19</v>
      </c>
    </row>
    <row r="31" spans="1:12" x14ac:dyDescent="0.35">
      <c r="A31" s="2">
        <v>30</v>
      </c>
      <c r="B31" s="2">
        <v>1020</v>
      </c>
      <c r="C31" s="2">
        <v>800000015</v>
      </c>
      <c r="D31" s="2" t="s">
        <v>71</v>
      </c>
      <c r="E31" s="2">
        <v>1046</v>
      </c>
      <c r="F31" s="2" t="s">
        <v>59</v>
      </c>
      <c r="G31" s="2" t="s">
        <v>133</v>
      </c>
      <c r="H31" s="2" t="s">
        <v>15</v>
      </c>
      <c r="I31" s="2" t="s">
        <v>72</v>
      </c>
      <c r="J31" s="2" t="s">
        <v>27</v>
      </c>
      <c r="K31" s="2" t="s">
        <v>18</v>
      </c>
      <c r="L31" s="2" t="s">
        <v>43</v>
      </c>
    </row>
    <row r="32" spans="1:12" x14ac:dyDescent="0.35">
      <c r="A32" s="2">
        <v>31</v>
      </c>
      <c r="B32" s="2">
        <v>1073</v>
      </c>
      <c r="C32" s="2">
        <v>800000043</v>
      </c>
      <c r="D32" s="2" t="s">
        <v>73</v>
      </c>
      <c r="E32" s="2">
        <v>1046</v>
      </c>
      <c r="F32" s="2" t="s">
        <v>59</v>
      </c>
      <c r="G32" s="2" t="s">
        <v>14</v>
      </c>
      <c r="H32" s="2" t="s">
        <v>15</v>
      </c>
      <c r="I32" s="2" t="s">
        <v>72</v>
      </c>
      <c r="J32" s="2" t="s">
        <v>27</v>
      </c>
      <c r="K32" s="2" t="s">
        <v>18</v>
      </c>
      <c r="L32" s="2" t="s">
        <v>74</v>
      </c>
    </row>
    <row r="33" spans="1:12" x14ac:dyDescent="0.35">
      <c r="A33" s="2">
        <v>32</v>
      </c>
      <c r="B33" s="2">
        <v>30460</v>
      </c>
      <c r="C33" s="2">
        <v>800005847</v>
      </c>
      <c r="D33" s="2" t="s">
        <v>75</v>
      </c>
      <c r="E33" s="2">
        <v>1046</v>
      </c>
      <c r="F33" s="2" t="s">
        <v>59</v>
      </c>
      <c r="G33" s="2" t="s">
        <v>133</v>
      </c>
      <c r="H33" s="2" t="s">
        <v>15</v>
      </c>
      <c r="I33" s="2" t="s">
        <v>72</v>
      </c>
      <c r="J33" s="2" t="s">
        <v>27</v>
      </c>
      <c r="K33" s="2" t="s">
        <v>18</v>
      </c>
      <c r="L33" s="2" t="s">
        <v>74</v>
      </c>
    </row>
    <row r="34" spans="1:12" x14ac:dyDescent="0.35">
      <c r="A34" s="2">
        <v>33</v>
      </c>
      <c r="B34" s="2" t="s">
        <v>76</v>
      </c>
      <c r="C34" s="2" t="s">
        <v>77</v>
      </c>
      <c r="D34" s="2" t="s">
        <v>78</v>
      </c>
      <c r="E34" s="2">
        <v>1046</v>
      </c>
      <c r="F34" s="2" t="s">
        <v>59</v>
      </c>
      <c r="G34" s="2" t="s">
        <v>26</v>
      </c>
      <c r="H34" s="2" t="s">
        <v>15</v>
      </c>
      <c r="I34" s="2" t="s">
        <v>59</v>
      </c>
      <c r="J34" s="2" t="s">
        <v>27</v>
      </c>
      <c r="K34" s="2" t="s">
        <v>18</v>
      </c>
      <c r="L34" s="2" t="s">
        <v>74</v>
      </c>
    </row>
    <row r="35" spans="1:12" x14ac:dyDescent="0.35">
      <c r="A35" s="2">
        <v>34</v>
      </c>
      <c r="B35" s="2">
        <v>72958</v>
      </c>
      <c r="C35" s="2">
        <v>800006547</v>
      </c>
      <c r="D35" s="2" t="s">
        <v>79</v>
      </c>
      <c r="E35" s="2">
        <v>1046</v>
      </c>
      <c r="F35" s="2" t="s">
        <v>59</v>
      </c>
      <c r="G35" s="2" t="s">
        <v>80</v>
      </c>
      <c r="H35" s="2" t="s">
        <v>15</v>
      </c>
      <c r="I35" s="2" t="s">
        <v>59</v>
      </c>
      <c r="J35" s="2" t="s">
        <v>27</v>
      </c>
      <c r="K35" s="2" t="s">
        <v>18</v>
      </c>
      <c r="L35" s="2" t="s">
        <v>74</v>
      </c>
    </row>
    <row r="36" spans="1:12" x14ac:dyDescent="0.35">
      <c r="A36" s="2">
        <v>35</v>
      </c>
      <c r="B36" s="2">
        <v>37866</v>
      </c>
      <c r="C36" s="2">
        <v>800036407</v>
      </c>
      <c r="D36" s="2" t="s">
        <v>82</v>
      </c>
      <c r="E36" s="2">
        <v>1046</v>
      </c>
      <c r="F36" s="2" t="s">
        <v>59</v>
      </c>
      <c r="G36" s="2" t="s">
        <v>133</v>
      </c>
      <c r="H36" s="2" t="s">
        <v>15</v>
      </c>
      <c r="I36" s="2" t="s">
        <v>59</v>
      </c>
      <c r="J36" s="2" t="s">
        <v>27</v>
      </c>
      <c r="K36" s="2" t="s">
        <v>18</v>
      </c>
      <c r="L36" s="2" t="s">
        <v>74</v>
      </c>
    </row>
    <row r="37" spans="1:12" x14ac:dyDescent="0.35">
      <c r="A37" s="2">
        <v>36</v>
      </c>
      <c r="B37" s="2" t="s">
        <v>136</v>
      </c>
      <c r="C37" s="2" t="s">
        <v>137</v>
      </c>
      <c r="D37" s="2" t="s">
        <v>82</v>
      </c>
      <c r="E37" s="2">
        <v>1046</v>
      </c>
      <c r="F37" s="2" t="s">
        <v>59</v>
      </c>
      <c r="G37" s="2" t="s">
        <v>133</v>
      </c>
      <c r="H37" s="2" t="s">
        <v>15</v>
      </c>
      <c r="I37" s="2" t="s">
        <v>59</v>
      </c>
      <c r="J37" s="2" t="s">
        <v>27</v>
      </c>
      <c r="K37" s="2" t="s">
        <v>18</v>
      </c>
      <c r="L37" s="2" t="s">
        <v>74</v>
      </c>
    </row>
    <row r="38" spans="1:12" x14ac:dyDescent="0.35">
      <c r="A38" s="2">
        <v>37</v>
      </c>
      <c r="B38" s="2" t="s">
        <v>83</v>
      </c>
      <c r="C38" s="2" t="s">
        <v>84</v>
      </c>
      <c r="D38" s="2" t="s">
        <v>85</v>
      </c>
      <c r="E38" s="2">
        <v>1046</v>
      </c>
      <c r="F38" s="2" t="s">
        <v>59</v>
      </c>
      <c r="G38" s="2" t="s">
        <v>14</v>
      </c>
      <c r="H38" s="2" t="s">
        <v>15</v>
      </c>
      <c r="I38" s="2" t="s">
        <v>59</v>
      </c>
      <c r="J38" s="2" t="s">
        <v>27</v>
      </c>
      <c r="K38" s="2" t="s">
        <v>18</v>
      </c>
      <c r="L38" s="2" t="s">
        <v>86</v>
      </c>
    </row>
    <row r="39" spans="1:12" x14ac:dyDescent="0.35">
      <c r="A39" s="2">
        <v>38</v>
      </c>
      <c r="B39" s="2">
        <v>19424</v>
      </c>
      <c r="C39" s="2">
        <v>800009488</v>
      </c>
      <c r="D39" s="2" t="s">
        <v>87</v>
      </c>
      <c r="E39" s="2">
        <v>1046</v>
      </c>
      <c r="F39" s="2" t="s">
        <v>59</v>
      </c>
      <c r="G39" s="2" t="s">
        <v>14</v>
      </c>
      <c r="H39" s="2" t="s">
        <v>15</v>
      </c>
      <c r="I39" s="2" t="s">
        <v>59</v>
      </c>
      <c r="J39" s="2" t="s">
        <v>27</v>
      </c>
      <c r="K39" s="2" t="s">
        <v>18</v>
      </c>
      <c r="L39" s="2" t="s">
        <v>86</v>
      </c>
    </row>
    <row r="40" spans="1:12" x14ac:dyDescent="0.35">
      <c r="A40" s="2">
        <v>39</v>
      </c>
      <c r="B40" s="2">
        <v>50050</v>
      </c>
      <c r="C40" s="2">
        <v>800006192</v>
      </c>
      <c r="D40" s="2" t="s">
        <v>88</v>
      </c>
      <c r="E40" s="2">
        <v>1046</v>
      </c>
      <c r="F40" s="2" t="s">
        <v>59</v>
      </c>
      <c r="G40" s="2" t="s">
        <v>14</v>
      </c>
      <c r="H40" s="2" t="s">
        <v>15</v>
      </c>
      <c r="I40" s="2" t="s">
        <v>59</v>
      </c>
      <c r="J40" s="2" t="s">
        <v>27</v>
      </c>
      <c r="K40" s="2" t="s">
        <v>18</v>
      </c>
      <c r="L40" s="2" t="s">
        <v>86</v>
      </c>
    </row>
    <row r="41" spans="1:12" x14ac:dyDescent="0.35">
      <c r="A41" s="2">
        <v>40</v>
      </c>
      <c r="B41" s="2">
        <v>21342</v>
      </c>
      <c r="C41" s="2">
        <v>800017374</v>
      </c>
      <c r="D41" s="2" t="s">
        <v>89</v>
      </c>
      <c r="E41" s="2">
        <v>1046</v>
      </c>
      <c r="F41" s="2" t="s">
        <v>59</v>
      </c>
      <c r="G41" s="2" t="s">
        <v>14</v>
      </c>
      <c r="H41" s="2" t="s">
        <v>15</v>
      </c>
      <c r="I41" s="2" t="s">
        <v>59</v>
      </c>
      <c r="J41" s="2" t="s">
        <v>27</v>
      </c>
      <c r="K41" s="2" t="s">
        <v>18</v>
      </c>
      <c r="L41" s="2" t="s">
        <v>86</v>
      </c>
    </row>
    <row r="42" spans="1:12" x14ac:dyDescent="0.35">
      <c r="A42" s="2">
        <v>41</v>
      </c>
      <c r="B42" s="2">
        <v>13287</v>
      </c>
      <c r="C42" s="2">
        <v>800002987</v>
      </c>
      <c r="D42" s="2" t="s">
        <v>90</v>
      </c>
      <c r="E42" s="2">
        <v>1080</v>
      </c>
      <c r="F42" s="2" t="s">
        <v>13</v>
      </c>
      <c r="G42" s="2" t="s">
        <v>14</v>
      </c>
      <c r="H42" s="2" t="s">
        <v>15</v>
      </c>
      <c r="I42" s="2" t="s">
        <v>16</v>
      </c>
      <c r="J42" s="2" t="s">
        <v>17</v>
      </c>
      <c r="K42" s="2" t="s">
        <v>18</v>
      </c>
      <c r="L42" s="2" t="s">
        <v>19</v>
      </c>
    </row>
    <row r="43" spans="1:12" x14ac:dyDescent="0.35">
      <c r="A43" s="2">
        <v>42</v>
      </c>
      <c r="B43" s="2">
        <v>33518</v>
      </c>
      <c r="C43" s="2">
        <v>800030703</v>
      </c>
      <c r="D43" s="2" t="s">
        <v>91</v>
      </c>
      <c r="E43" s="2">
        <v>1046</v>
      </c>
      <c r="F43" s="2" t="s">
        <v>59</v>
      </c>
      <c r="G43" s="2" t="s">
        <v>14</v>
      </c>
      <c r="H43" s="2" t="s">
        <v>15</v>
      </c>
      <c r="I43" s="2" t="s">
        <v>59</v>
      </c>
      <c r="J43" s="2" t="s">
        <v>17</v>
      </c>
      <c r="K43" s="2" t="s">
        <v>18</v>
      </c>
      <c r="L43" s="2" t="s">
        <v>19</v>
      </c>
    </row>
    <row r="44" spans="1:12" x14ac:dyDescent="0.35">
      <c r="A44" s="2">
        <v>43</v>
      </c>
      <c r="B44" s="2">
        <v>53800</v>
      </c>
      <c r="C44" s="2">
        <v>800006248</v>
      </c>
      <c r="D44" s="2" t="s">
        <v>92</v>
      </c>
      <c r="E44" s="2">
        <v>1080</v>
      </c>
      <c r="F44" s="2" t="s">
        <v>13</v>
      </c>
      <c r="G44" s="2" t="s">
        <v>14</v>
      </c>
      <c r="H44" s="2" t="s">
        <v>15</v>
      </c>
      <c r="I44" s="2" t="s">
        <v>16</v>
      </c>
      <c r="J44" s="2" t="s">
        <v>17</v>
      </c>
      <c r="K44" s="2" t="s">
        <v>18</v>
      </c>
      <c r="L44" s="2" t="s">
        <v>74</v>
      </c>
    </row>
    <row r="45" spans="1:12" x14ac:dyDescent="0.35">
      <c r="A45" s="2">
        <v>44</v>
      </c>
      <c r="B45" s="2">
        <v>5500</v>
      </c>
      <c r="C45" s="2">
        <v>800000823</v>
      </c>
      <c r="D45" s="2" t="s">
        <v>93</v>
      </c>
      <c r="E45" s="2">
        <v>16081</v>
      </c>
      <c r="F45" s="2" t="s">
        <v>94</v>
      </c>
      <c r="G45" s="2" t="s">
        <v>133</v>
      </c>
      <c r="H45" s="2" t="s">
        <v>95</v>
      </c>
      <c r="I45" s="2" t="s">
        <v>16</v>
      </c>
      <c r="J45" s="2" t="s">
        <v>17</v>
      </c>
      <c r="K45" s="2" t="s">
        <v>18</v>
      </c>
      <c r="L45" s="2" t="s">
        <v>96</v>
      </c>
    </row>
    <row r="46" spans="1:12" x14ac:dyDescent="0.35">
      <c r="A46" s="2">
        <v>45</v>
      </c>
      <c r="B46" s="2">
        <v>42932</v>
      </c>
      <c r="C46" s="2">
        <v>800042863</v>
      </c>
      <c r="D46" s="2" t="s">
        <v>97</v>
      </c>
      <c r="E46" s="2">
        <v>1046</v>
      </c>
      <c r="F46" s="2" t="s">
        <v>59</v>
      </c>
      <c r="G46" s="2" t="s">
        <v>14</v>
      </c>
      <c r="H46" s="2" t="s">
        <v>15</v>
      </c>
      <c r="I46" s="2" t="s">
        <v>59</v>
      </c>
      <c r="J46" s="2" t="s">
        <v>27</v>
      </c>
      <c r="K46" s="2" t="s">
        <v>18</v>
      </c>
      <c r="L46" s="2" t="s">
        <v>50</v>
      </c>
    </row>
    <row r="47" spans="1:12" x14ac:dyDescent="0.35">
      <c r="A47" s="2">
        <v>46</v>
      </c>
      <c r="B47" s="2">
        <v>13532</v>
      </c>
      <c r="C47" s="2">
        <v>800003063</v>
      </c>
      <c r="D47" s="2" t="s">
        <v>98</v>
      </c>
      <c r="E47" s="2">
        <v>1080</v>
      </c>
      <c r="F47" s="2" t="s">
        <v>13</v>
      </c>
      <c r="G47" s="2" t="s">
        <v>14</v>
      </c>
      <c r="H47" s="2" t="s">
        <v>15</v>
      </c>
      <c r="I47" s="2" t="s">
        <v>16</v>
      </c>
      <c r="J47" s="2" t="s">
        <v>17</v>
      </c>
      <c r="K47" s="2" t="s">
        <v>18</v>
      </c>
      <c r="L47" s="2" t="s">
        <v>43</v>
      </c>
    </row>
    <row r="48" spans="1:12" x14ac:dyDescent="0.35">
      <c r="A48" s="2">
        <v>47</v>
      </c>
      <c r="B48" s="2">
        <v>38440</v>
      </c>
      <c r="C48" s="2">
        <v>800037100</v>
      </c>
      <c r="D48" s="2" t="s">
        <v>99</v>
      </c>
      <c r="E48" s="2">
        <v>1080</v>
      </c>
      <c r="F48" s="2" t="s">
        <v>13</v>
      </c>
      <c r="G48" s="2" t="s">
        <v>14</v>
      </c>
      <c r="H48" s="2" t="s">
        <v>15</v>
      </c>
      <c r="I48" s="2" t="s">
        <v>16</v>
      </c>
      <c r="J48" s="2" t="s">
        <v>17</v>
      </c>
      <c r="K48" s="2" t="s">
        <v>18</v>
      </c>
      <c r="L48" s="2" t="s">
        <v>43</v>
      </c>
    </row>
    <row r="49" spans="1:12" x14ac:dyDescent="0.35">
      <c r="A49" s="2">
        <v>48</v>
      </c>
      <c r="B49" s="2">
        <v>64680</v>
      </c>
      <c r="C49" s="2">
        <v>800006408</v>
      </c>
      <c r="D49" s="2" t="s">
        <v>100</v>
      </c>
      <c r="E49" s="2" t="s">
        <v>24</v>
      </c>
      <c r="F49" s="2" t="s">
        <v>25</v>
      </c>
      <c r="G49" s="2" t="s">
        <v>14</v>
      </c>
      <c r="H49" s="2" t="s">
        <v>15</v>
      </c>
      <c r="I49" s="2" t="s">
        <v>16</v>
      </c>
      <c r="J49" s="2" t="s">
        <v>17</v>
      </c>
      <c r="K49" s="2" t="s">
        <v>18</v>
      </c>
      <c r="L49" s="2" t="s">
        <v>50</v>
      </c>
    </row>
    <row r="50" spans="1:12" x14ac:dyDescent="0.35">
      <c r="A50" s="2">
        <v>49</v>
      </c>
      <c r="B50" s="2">
        <v>64680</v>
      </c>
      <c r="C50" s="2">
        <v>800006408</v>
      </c>
      <c r="D50" s="2" t="s">
        <v>100</v>
      </c>
      <c r="E50" s="2">
        <v>28450</v>
      </c>
      <c r="F50" s="2" t="s">
        <v>101</v>
      </c>
      <c r="G50" s="2" t="s">
        <v>14</v>
      </c>
      <c r="H50" s="2" t="s">
        <v>95</v>
      </c>
      <c r="I50" s="2" t="s">
        <v>16</v>
      </c>
      <c r="J50" s="2" t="s">
        <v>17</v>
      </c>
      <c r="K50" s="2" t="s">
        <v>18</v>
      </c>
      <c r="L50" s="2" t="s">
        <v>96</v>
      </c>
    </row>
    <row r="51" spans="1:12" x14ac:dyDescent="0.35">
      <c r="A51" s="2">
        <v>50</v>
      </c>
      <c r="B51" s="2">
        <v>40870</v>
      </c>
      <c r="C51" s="2">
        <v>800041377</v>
      </c>
      <c r="D51" s="2" t="s">
        <v>102</v>
      </c>
      <c r="E51" s="2">
        <v>1046</v>
      </c>
      <c r="F51" s="2" t="s">
        <v>59</v>
      </c>
      <c r="G51" s="2" t="s">
        <v>133</v>
      </c>
      <c r="H51" s="2" t="s">
        <v>15</v>
      </c>
      <c r="I51" s="2" t="s">
        <v>59</v>
      </c>
      <c r="J51" s="2" t="s">
        <v>17</v>
      </c>
      <c r="K51" s="2" t="s">
        <v>18</v>
      </c>
      <c r="L51" s="2" t="s">
        <v>43</v>
      </c>
    </row>
    <row r="52" spans="1:12" x14ac:dyDescent="0.35">
      <c r="A52" s="2">
        <v>51</v>
      </c>
      <c r="B52" s="2">
        <v>45150</v>
      </c>
      <c r="C52" s="2">
        <v>800044479</v>
      </c>
      <c r="D52" s="2" t="s">
        <v>103</v>
      </c>
      <c r="E52" s="2">
        <v>1046</v>
      </c>
      <c r="F52" s="2" t="s">
        <v>59</v>
      </c>
      <c r="G52" s="2" t="s">
        <v>26</v>
      </c>
      <c r="H52" s="2" t="s">
        <v>15</v>
      </c>
      <c r="I52" s="2" t="s">
        <v>72</v>
      </c>
      <c r="J52" s="2" t="s">
        <v>27</v>
      </c>
      <c r="K52" s="2" t="s">
        <v>18</v>
      </c>
      <c r="L52" s="2" t="s">
        <v>43</v>
      </c>
    </row>
    <row r="53" spans="1:12" x14ac:dyDescent="0.35">
      <c r="A53" s="2">
        <v>52</v>
      </c>
      <c r="B53" s="2">
        <v>28929</v>
      </c>
      <c r="C53" s="2">
        <v>800023315</v>
      </c>
      <c r="D53" s="2" t="s">
        <v>104</v>
      </c>
      <c r="E53" s="2">
        <v>1080</v>
      </c>
      <c r="F53" s="2" t="s">
        <v>13</v>
      </c>
      <c r="G53" s="2" t="s">
        <v>14</v>
      </c>
      <c r="H53" s="2" t="s">
        <v>15</v>
      </c>
      <c r="I53" s="2" t="s">
        <v>16</v>
      </c>
      <c r="J53" s="2" t="s">
        <v>17</v>
      </c>
      <c r="K53" s="2" t="s">
        <v>18</v>
      </c>
      <c r="L53" s="2" t="s">
        <v>96</v>
      </c>
    </row>
    <row r="54" spans="1:12" x14ac:dyDescent="0.35">
      <c r="A54" s="2">
        <v>53</v>
      </c>
      <c r="B54" s="2">
        <v>28197</v>
      </c>
      <c r="C54" s="2">
        <v>800023936</v>
      </c>
      <c r="D54" s="2" t="s">
        <v>105</v>
      </c>
      <c r="E54" s="2">
        <v>1080</v>
      </c>
      <c r="F54" s="2" t="s">
        <v>13</v>
      </c>
      <c r="G54" s="2" t="s">
        <v>133</v>
      </c>
      <c r="H54" s="2" t="s">
        <v>15</v>
      </c>
      <c r="I54" s="2" t="s">
        <v>16</v>
      </c>
      <c r="J54" s="2" t="s">
        <v>17</v>
      </c>
      <c r="L54" s="2" t="s">
        <v>50</v>
      </c>
    </row>
    <row r="55" spans="1:12" x14ac:dyDescent="0.35">
      <c r="A55" s="2">
        <v>54</v>
      </c>
      <c r="B55" s="2">
        <v>28824</v>
      </c>
      <c r="C55" s="2">
        <v>800023200</v>
      </c>
      <c r="D55" s="2" t="s">
        <v>106</v>
      </c>
      <c r="E55" s="2">
        <v>1046</v>
      </c>
      <c r="F55" s="2" t="s">
        <v>59</v>
      </c>
      <c r="G55" s="2" t="s">
        <v>133</v>
      </c>
      <c r="H55" s="2" t="s">
        <v>15</v>
      </c>
      <c r="I55" s="2" t="s">
        <v>59</v>
      </c>
      <c r="J55" s="2" t="s">
        <v>17</v>
      </c>
      <c r="L55" s="2" t="s">
        <v>50</v>
      </c>
    </row>
    <row r="56" spans="1:12" x14ac:dyDescent="0.35">
      <c r="A56" s="2">
        <v>55</v>
      </c>
      <c r="B56" s="2">
        <v>32096</v>
      </c>
      <c r="C56" s="2">
        <v>800028826</v>
      </c>
      <c r="D56" s="2" t="s">
        <v>107</v>
      </c>
      <c r="E56" s="2">
        <v>1080</v>
      </c>
      <c r="F56" s="2" t="s">
        <v>13</v>
      </c>
      <c r="G56" s="2" t="s">
        <v>14</v>
      </c>
      <c r="H56" s="2" t="s">
        <v>15</v>
      </c>
      <c r="I56" s="2" t="s">
        <v>16</v>
      </c>
      <c r="J56" s="2" t="s">
        <v>17</v>
      </c>
      <c r="K56" s="2" t="s">
        <v>18</v>
      </c>
      <c r="L56" s="2" t="s">
        <v>19</v>
      </c>
    </row>
    <row r="57" spans="1:12" x14ac:dyDescent="0.35">
      <c r="A57" s="2">
        <v>56</v>
      </c>
      <c r="B57" s="2">
        <v>41251</v>
      </c>
      <c r="C57" s="2">
        <v>800041729</v>
      </c>
      <c r="D57" s="2" t="s">
        <v>108</v>
      </c>
      <c r="E57" s="2">
        <v>1080</v>
      </c>
      <c r="F57" s="2" t="s">
        <v>13</v>
      </c>
      <c r="G57" s="2" t="s">
        <v>14</v>
      </c>
      <c r="H57" s="2" t="s">
        <v>15</v>
      </c>
      <c r="I57" s="2" t="s">
        <v>16</v>
      </c>
      <c r="J57" s="2" t="s">
        <v>17</v>
      </c>
      <c r="L57" s="2" t="s">
        <v>74</v>
      </c>
    </row>
    <row r="58" spans="1:12" x14ac:dyDescent="0.35">
      <c r="A58" s="2">
        <v>57</v>
      </c>
      <c r="B58" s="2">
        <v>35281</v>
      </c>
      <c r="C58" s="2">
        <v>800033128</v>
      </c>
      <c r="D58" s="2" t="s">
        <v>109</v>
      </c>
      <c r="E58" s="2" t="s">
        <v>24</v>
      </c>
      <c r="F58" s="2" t="s">
        <v>59</v>
      </c>
      <c r="G58" s="2" t="s">
        <v>14</v>
      </c>
      <c r="H58" s="2" t="s">
        <v>15</v>
      </c>
      <c r="I58" s="2" t="s">
        <v>16</v>
      </c>
      <c r="J58" s="2" t="s">
        <v>27</v>
      </c>
      <c r="L58" s="2" t="s">
        <v>74</v>
      </c>
    </row>
    <row r="59" spans="1:12" x14ac:dyDescent="0.35">
      <c r="A59" s="2">
        <v>58</v>
      </c>
      <c r="B59" s="2">
        <v>14051</v>
      </c>
      <c r="C59" s="2">
        <v>800003241</v>
      </c>
      <c r="D59" s="2" t="s">
        <v>110</v>
      </c>
      <c r="E59" s="2">
        <v>1080</v>
      </c>
      <c r="F59" s="2" t="s">
        <v>13</v>
      </c>
      <c r="G59" s="2" t="s">
        <v>14</v>
      </c>
      <c r="H59" s="2" t="s">
        <v>15</v>
      </c>
      <c r="I59" s="2" t="s">
        <v>16</v>
      </c>
      <c r="J59" s="2" t="s">
        <v>17</v>
      </c>
      <c r="L59" s="2" t="s">
        <v>96</v>
      </c>
    </row>
    <row r="60" spans="1:12" x14ac:dyDescent="0.35">
      <c r="A60" s="2">
        <v>59</v>
      </c>
      <c r="B60" s="2">
        <v>45042</v>
      </c>
      <c r="C60" s="2">
        <v>800044373</v>
      </c>
      <c r="D60" s="2" t="s">
        <v>111</v>
      </c>
      <c r="E60" s="2">
        <v>1080</v>
      </c>
      <c r="F60" s="2" t="s">
        <v>13</v>
      </c>
      <c r="G60" s="2" t="s">
        <v>14</v>
      </c>
      <c r="H60" s="2" t="s">
        <v>15</v>
      </c>
      <c r="I60" s="2" t="s">
        <v>16</v>
      </c>
      <c r="J60" s="2" t="s">
        <v>17</v>
      </c>
      <c r="L60" s="2" t="s">
        <v>74</v>
      </c>
    </row>
    <row r="61" spans="1:12" x14ac:dyDescent="0.35">
      <c r="A61" s="2">
        <v>60</v>
      </c>
      <c r="B61" s="2">
        <v>1125</v>
      </c>
      <c r="C61" s="2">
        <v>800029167</v>
      </c>
      <c r="D61" s="2" t="s">
        <v>112</v>
      </c>
      <c r="E61" s="2">
        <v>1080</v>
      </c>
      <c r="F61" s="2" t="s">
        <v>13</v>
      </c>
      <c r="G61" s="2" t="s">
        <v>14</v>
      </c>
      <c r="H61" s="2" t="s">
        <v>15</v>
      </c>
      <c r="I61" s="2" t="s">
        <v>113</v>
      </c>
      <c r="J61" s="2" t="s">
        <v>17</v>
      </c>
      <c r="L61" s="2" t="s">
        <v>114</v>
      </c>
    </row>
    <row r="62" spans="1:12" x14ac:dyDescent="0.35">
      <c r="A62" s="2">
        <v>61</v>
      </c>
      <c r="B62" s="2">
        <v>31255</v>
      </c>
      <c r="C62" s="2">
        <v>800005870</v>
      </c>
      <c r="D62" s="2" t="s">
        <v>115</v>
      </c>
      <c r="E62" s="2">
        <v>59683</v>
      </c>
      <c r="F62" s="2" t="s">
        <v>116</v>
      </c>
      <c r="G62" s="2" t="s">
        <v>133</v>
      </c>
      <c r="H62" s="2" t="s">
        <v>95</v>
      </c>
      <c r="I62" s="2" t="s">
        <v>16</v>
      </c>
      <c r="J62" s="2" t="s">
        <v>17</v>
      </c>
      <c r="K62" s="2" t="s">
        <v>18</v>
      </c>
      <c r="L62" s="2" t="s">
        <v>28</v>
      </c>
    </row>
    <row r="63" spans="1:12" x14ac:dyDescent="0.35">
      <c r="A63" s="2">
        <v>62</v>
      </c>
      <c r="B63" s="2">
        <v>46829</v>
      </c>
      <c r="C63" s="2">
        <v>800046299</v>
      </c>
      <c r="D63" s="2" t="s">
        <v>117</v>
      </c>
      <c r="E63" s="2">
        <v>1080</v>
      </c>
      <c r="F63" s="2" t="s">
        <v>13</v>
      </c>
      <c r="G63" s="2" t="s">
        <v>14</v>
      </c>
      <c r="H63" s="2" t="s">
        <v>15</v>
      </c>
      <c r="I63" s="2" t="s">
        <v>16</v>
      </c>
      <c r="J63" s="2" t="s">
        <v>17</v>
      </c>
      <c r="K63" s="2" t="s">
        <v>18</v>
      </c>
      <c r="L63" s="2" t="s">
        <v>19</v>
      </c>
    </row>
    <row r="64" spans="1:12" x14ac:dyDescent="0.35">
      <c r="A64" s="2">
        <v>63</v>
      </c>
      <c r="B64" s="2">
        <v>42932</v>
      </c>
      <c r="C64" s="2">
        <v>800042863</v>
      </c>
      <c r="D64" s="2" t="s">
        <v>97</v>
      </c>
      <c r="E64" s="2">
        <v>1080</v>
      </c>
      <c r="F64" s="2" t="s">
        <v>13</v>
      </c>
      <c r="G64" s="2" t="s">
        <v>14</v>
      </c>
      <c r="H64" s="2" t="s">
        <v>15</v>
      </c>
      <c r="I64" s="2" t="s">
        <v>16</v>
      </c>
      <c r="J64" s="2" t="s">
        <v>27</v>
      </c>
      <c r="K64" s="2" t="s">
        <v>18</v>
      </c>
      <c r="L64" s="2" t="s">
        <v>50</v>
      </c>
    </row>
    <row r="65" spans="1:12" x14ac:dyDescent="0.35">
      <c r="A65" s="2">
        <v>64</v>
      </c>
      <c r="B65" s="2">
        <v>42932</v>
      </c>
      <c r="C65" s="2">
        <v>800042863</v>
      </c>
      <c r="D65" s="2" t="s">
        <v>97</v>
      </c>
      <c r="E65" s="2" t="s">
        <v>24</v>
      </c>
      <c r="F65" s="2" t="s">
        <v>25</v>
      </c>
      <c r="G65" s="2" t="s">
        <v>14</v>
      </c>
      <c r="H65" s="2" t="s">
        <v>15</v>
      </c>
      <c r="I65" s="2" t="s">
        <v>16</v>
      </c>
      <c r="J65" s="2" t="s">
        <v>27</v>
      </c>
      <c r="K65" s="2" t="s">
        <v>18</v>
      </c>
      <c r="L65" s="2" t="s">
        <v>50</v>
      </c>
    </row>
    <row r="66" spans="1:12" x14ac:dyDescent="0.35">
      <c r="A66" s="2">
        <v>65</v>
      </c>
      <c r="B66" s="2">
        <v>42316</v>
      </c>
      <c r="C66" s="2">
        <v>800042520</v>
      </c>
      <c r="D66" s="2" t="s">
        <v>118</v>
      </c>
      <c r="E66" s="2">
        <v>1080</v>
      </c>
      <c r="F66" s="2" t="s">
        <v>13</v>
      </c>
      <c r="G66" s="2" t="s">
        <v>14</v>
      </c>
      <c r="H66" s="2" t="s">
        <v>15</v>
      </c>
      <c r="I66" s="2" t="s">
        <v>16</v>
      </c>
      <c r="J66" s="2" t="s">
        <v>17</v>
      </c>
      <c r="K66" s="2" t="s">
        <v>18</v>
      </c>
      <c r="L66" s="2" t="s">
        <v>74</v>
      </c>
    </row>
    <row r="67" spans="1:12" x14ac:dyDescent="0.35">
      <c r="A67" s="2">
        <v>66</v>
      </c>
      <c r="B67" s="2">
        <v>14928</v>
      </c>
      <c r="C67" s="2">
        <v>800003573</v>
      </c>
      <c r="D67" s="2" t="s">
        <v>119</v>
      </c>
      <c r="E67" s="2">
        <v>1046</v>
      </c>
      <c r="F67" s="2" t="s">
        <v>59</v>
      </c>
      <c r="G67" s="2" t="s">
        <v>14</v>
      </c>
      <c r="H67" s="2" t="s">
        <v>15</v>
      </c>
      <c r="I67" s="2" t="s">
        <v>59</v>
      </c>
      <c r="J67" s="2" t="s">
        <v>17</v>
      </c>
      <c r="K67" s="2" t="s">
        <v>18</v>
      </c>
      <c r="L67" s="2" t="s">
        <v>74</v>
      </c>
    </row>
    <row r="68" spans="1:12" x14ac:dyDescent="0.35">
      <c r="A68" s="2">
        <v>67</v>
      </c>
      <c r="B68" s="2">
        <v>56589</v>
      </c>
      <c r="C68" s="2">
        <v>800006295</v>
      </c>
      <c r="D68" s="2" t="s">
        <v>120</v>
      </c>
      <c r="E68" s="2">
        <v>1046</v>
      </c>
      <c r="F68" s="2" t="s">
        <v>59</v>
      </c>
      <c r="G68" s="2" t="s">
        <v>26</v>
      </c>
      <c r="H68" s="2" t="s">
        <v>15</v>
      </c>
      <c r="I68" s="2" t="s">
        <v>59</v>
      </c>
      <c r="J68" s="2" t="s">
        <v>27</v>
      </c>
      <c r="K68" s="2" t="s">
        <v>18</v>
      </c>
      <c r="L68" s="2" t="s">
        <v>74</v>
      </c>
    </row>
    <row r="69" spans="1:12" x14ac:dyDescent="0.35">
      <c r="A69" s="2">
        <v>68</v>
      </c>
      <c r="B69" s="2">
        <v>46051</v>
      </c>
      <c r="C69" s="2">
        <v>800045091</v>
      </c>
      <c r="D69" s="2" t="s">
        <v>121</v>
      </c>
      <c r="E69" s="2">
        <v>1046</v>
      </c>
      <c r="F69" s="2" t="s">
        <v>59</v>
      </c>
      <c r="G69" s="2" t="s">
        <v>26</v>
      </c>
      <c r="H69" s="2" t="s">
        <v>15</v>
      </c>
      <c r="I69" s="2" t="s">
        <v>59</v>
      </c>
      <c r="J69" s="2" t="s">
        <v>27</v>
      </c>
      <c r="K69" s="2" t="s">
        <v>18</v>
      </c>
      <c r="L69" s="2" t="s">
        <v>74</v>
      </c>
    </row>
    <row r="70" spans="1:12" x14ac:dyDescent="0.35">
      <c r="A70" s="2">
        <v>69</v>
      </c>
      <c r="B70" s="2">
        <v>20812</v>
      </c>
      <c r="C70" s="2">
        <v>800012939</v>
      </c>
      <c r="D70" s="2" t="s">
        <v>122</v>
      </c>
      <c r="E70" s="2">
        <v>1080</v>
      </c>
      <c r="F70" s="2" t="s">
        <v>13</v>
      </c>
      <c r="G70" s="2" t="s">
        <v>133</v>
      </c>
      <c r="H70" s="2" t="s">
        <v>15</v>
      </c>
      <c r="I70" s="2" t="s">
        <v>16</v>
      </c>
      <c r="J70" s="2" t="s">
        <v>17</v>
      </c>
      <c r="L70" s="2" t="s">
        <v>28</v>
      </c>
    </row>
    <row r="71" spans="1:12" x14ac:dyDescent="0.35">
      <c r="A71" s="2">
        <v>70</v>
      </c>
      <c r="B71" s="2">
        <v>30496</v>
      </c>
      <c r="C71" s="2">
        <v>800025402</v>
      </c>
      <c r="D71" s="2" t="s">
        <v>123</v>
      </c>
      <c r="E71" s="2">
        <v>1080</v>
      </c>
      <c r="F71" s="2" t="s">
        <v>13</v>
      </c>
      <c r="G71" s="2" t="s">
        <v>133</v>
      </c>
      <c r="H71" s="2" t="s">
        <v>15</v>
      </c>
      <c r="I71" s="2" t="s">
        <v>16</v>
      </c>
      <c r="J71" s="2" t="s">
        <v>27</v>
      </c>
      <c r="L71" s="2" t="s">
        <v>74</v>
      </c>
    </row>
    <row r="72" spans="1:12" x14ac:dyDescent="0.35">
      <c r="A72" s="2">
        <v>71</v>
      </c>
      <c r="B72" s="2">
        <v>39810</v>
      </c>
      <c r="C72" s="2">
        <v>800039607</v>
      </c>
      <c r="D72" s="2" t="s">
        <v>124</v>
      </c>
      <c r="E72" s="2">
        <v>1080</v>
      </c>
      <c r="F72" s="2" t="s">
        <v>13</v>
      </c>
      <c r="G72" s="2" t="s">
        <v>133</v>
      </c>
      <c r="H72" s="2" t="s">
        <v>15</v>
      </c>
      <c r="I72" s="2" t="s">
        <v>16</v>
      </c>
      <c r="J72" s="2" t="s">
        <v>27</v>
      </c>
      <c r="L72" s="2" t="s">
        <v>74</v>
      </c>
    </row>
    <row r="73" spans="1:12" x14ac:dyDescent="0.35">
      <c r="A73" s="2">
        <v>72</v>
      </c>
      <c r="B73" s="2">
        <v>501037</v>
      </c>
      <c r="C73" s="2">
        <v>800048565</v>
      </c>
      <c r="D73" s="2" t="s">
        <v>125</v>
      </c>
      <c r="E73" s="2">
        <v>1080</v>
      </c>
      <c r="F73" s="2" t="s">
        <v>13</v>
      </c>
      <c r="G73" s="2" t="s">
        <v>133</v>
      </c>
      <c r="H73" s="2" t="s">
        <v>15</v>
      </c>
      <c r="I73" s="2" t="s">
        <v>16</v>
      </c>
      <c r="J73" s="2" t="s">
        <v>27</v>
      </c>
      <c r="K73" s="2" t="s">
        <v>18</v>
      </c>
      <c r="L73" s="2" t="s">
        <v>96</v>
      </c>
    </row>
    <row r="74" spans="1:12" x14ac:dyDescent="0.35">
      <c r="A74" s="2">
        <v>73</v>
      </c>
      <c r="B74" s="2">
        <v>23134</v>
      </c>
      <c r="C74" s="2" t="e">
        <v>#N/A</v>
      </c>
      <c r="D74" s="2" t="s">
        <v>126</v>
      </c>
      <c r="E74" s="2">
        <v>38225</v>
      </c>
      <c r="F74" s="2" t="s">
        <v>127</v>
      </c>
      <c r="G74" s="2" t="s">
        <v>133</v>
      </c>
      <c r="H74" s="2" t="s">
        <v>95</v>
      </c>
      <c r="I74" s="2" t="s">
        <v>16</v>
      </c>
      <c r="J74" s="2" t="s">
        <v>17</v>
      </c>
      <c r="K74" s="2">
        <v>136</v>
      </c>
      <c r="L74" s="2" t="s">
        <v>74</v>
      </c>
    </row>
    <row r="75" spans="1:12" x14ac:dyDescent="0.35">
      <c r="A75" s="2">
        <v>74</v>
      </c>
      <c r="B75" s="2">
        <v>41469</v>
      </c>
      <c r="C75" s="2">
        <v>800041909</v>
      </c>
      <c r="D75" s="2" t="s">
        <v>128</v>
      </c>
      <c r="E75" s="2">
        <v>1046</v>
      </c>
      <c r="F75" s="2" t="s">
        <v>59</v>
      </c>
      <c r="G75" s="2" t="s">
        <v>14</v>
      </c>
      <c r="H75" s="2" t="s">
        <v>15</v>
      </c>
      <c r="I75" s="2" t="s">
        <v>59</v>
      </c>
      <c r="J75" s="2" t="s">
        <v>17</v>
      </c>
      <c r="K75" s="2" t="s">
        <v>18</v>
      </c>
      <c r="L75" s="2" t="s">
        <v>50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6C254-5D99-4E5C-A576-8044FE43BD6C}">
  <sheetPr filterMode="1"/>
  <dimension ref="A1:V74"/>
  <sheetViews>
    <sheetView topLeftCell="A25" zoomScale="115" zoomScaleNormal="115" workbookViewId="0">
      <selection activeCell="C35" sqref="C35"/>
    </sheetView>
  </sheetViews>
  <sheetFormatPr defaultRowHeight="14.5" x14ac:dyDescent="0.35"/>
  <cols>
    <col min="1" max="1" width="7.54296875" style="2" bestFit="1" customWidth="1"/>
    <col min="2" max="2" width="19.54296875" style="2" bestFit="1" customWidth="1"/>
    <col min="3" max="3" width="29.54296875" style="2" bestFit="1" customWidth="1"/>
    <col min="4" max="4" width="22.81640625" style="2" customWidth="1"/>
    <col min="5" max="5" width="9.54296875" style="2" bestFit="1" customWidth="1"/>
    <col min="6" max="6" width="14.453125" style="2" bestFit="1" customWidth="1"/>
    <col min="7" max="7" width="18.54296875" style="2" bestFit="1" customWidth="1"/>
    <col min="8" max="8" width="8.453125" style="2" bestFit="1" customWidth="1"/>
    <col min="9" max="9" width="15.1796875" style="2" bestFit="1" customWidth="1"/>
    <col min="10" max="10" width="12.81640625" style="2" bestFit="1" customWidth="1"/>
    <col min="11" max="11" width="5.453125" style="2" bestFit="1" customWidth="1"/>
    <col min="12" max="12" width="13.26953125" style="2" bestFit="1" customWidth="1"/>
    <col min="14" max="14" width="12.7265625" bestFit="1" customWidth="1"/>
    <col min="15" max="15" width="21" bestFit="1" customWidth="1"/>
    <col min="16" max="16" width="9" bestFit="1" customWidth="1"/>
    <col min="19" max="19" width="42" bestFit="1" customWidth="1"/>
    <col min="21" max="21" width="9.1796875" bestFit="1" customWidth="1"/>
    <col min="22" max="22" width="13.6328125" bestFit="1" customWidth="1"/>
  </cols>
  <sheetData>
    <row r="1" spans="1:22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3" t="s">
        <v>129</v>
      </c>
      <c r="O1" s="3" t="s">
        <v>130</v>
      </c>
      <c r="P1" s="3" t="s">
        <v>132</v>
      </c>
      <c r="Q1" s="3" t="s">
        <v>131</v>
      </c>
      <c r="T1" s="6" t="s">
        <v>1</v>
      </c>
      <c r="U1" s="6" t="s">
        <v>134</v>
      </c>
    </row>
    <row r="2" spans="1:22" hidden="1" x14ac:dyDescent="0.35">
      <c r="A2" s="2">
        <v>40</v>
      </c>
      <c r="B2" s="2">
        <v>28920</v>
      </c>
      <c r="C2" s="2">
        <v>800023353</v>
      </c>
      <c r="D2" s="2" t="s">
        <v>22</v>
      </c>
      <c r="E2" s="2">
        <v>1080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N2">
        <f>_xlfn.XLOOKUP(B2,[1]Validate!$A:$A,[1]Validate!$A:$A,"-")</f>
        <v>28920</v>
      </c>
      <c r="O2">
        <f>_xlfn.XLOOKUP(B2,[2]Sheet1!$B:$B,[2]Sheet1!$B:$B,"-")</f>
        <v>28920</v>
      </c>
      <c r="P2" t="str">
        <f>_xlfn.XLOOKUP(B2,[3]Sheet1!$A:$A,[3]Sheet1!$A:$A,"-")</f>
        <v>-</v>
      </c>
      <c r="Q2" t="str">
        <f>_xlfn.XLOOKUP(B2,[3]Sheet1!$C:$C,[3]Sheet1!$C:$C,"-")</f>
        <v>-</v>
      </c>
      <c r="T2">
        <v>33301</v>
      </c>
      <c r="U2">
        <v>0</v>
      </c>
    </row>
    <row r="3" spans="1:22" x14ac:dyDescent="0.35">
      <c r="A3" s="2">
        <v>41</v>
      </c>
      <c r="B3" s="2">
        <v>33301</v>
      </c>
      <c r="C3" s="2">
        <v>800005918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15</v>
      </c>
      <c r="I3" s="2" t="s">
        <v>16</v>
      </c>
      <c r="J3" s="2" t="s">
        <v>27</v>
      </c>
      <c r="K3" s="2" t="s">
        <v>18</v>
      </c>
      <c r="L3" s="2" t="s">
        <v>28</v>
      </c>
      <c r="N3">
        <f>_xlfn.XLOOKUP(B3,[1]Validate!$A:$A,[1]Validate!$A:$A,"-")</f>
        <v>33301</v>
      </c>
      <c r="O3" t="str">
        <f>_xlfn.XLOOKUP(B3,[2]Sheet1!$B:$B,[2]Sheet1!$B:$B,"-")</f>
        <v>-</v>
      </c>
      <c r="P3" t="str">
        <f>_xlfn.XLOOKUP(B3,[3]Sheet1!$A:$A,[3]Sheet1!$A:$A,"-")</f>
        <v>-</v>
      </c>
      <c r="Q3" t="str">
        <f>_xlfn.XLOOKUP(B3,[3]Sheet1!$C:$C,[3]Sheet1!$C:$C,"-")</f>
        <v>-</v>
      </c>
      <c r="S3" t="str">
        <f>_xlfn.XLOOKUP(T3,B:B,D:D,"-")</f>
        <v>MARELLI HORTOLÂNDIA</v>
      </c>
      <c r="T3">
        <v>1097</v>
      </c>
      <c r="U3">
        <v>3060</v>
      </c>
      <c r="V3" t="str">
        <f>_xlfn.XLOOKUP(T3,[4]Sheet1!$D:$D,[4]Sheet1!$F:$F,"-")</f>
        <v>-</v>
      </c>
    </row>
    <row r="4" spans="1:22" hidden="1" x14ac:dyDescent="0.35">
      <c r="A4" s="2">
        <v>42</v>
      </c>
      <c r="B4" s="2">
        <v>15823</v>
      </c>
      <c r="C4" s="2">
        <v>800003820</v>
      </c>
      <c r="D4" s="2" t="s">
        <v>29</v>
      </c>
      <c r="E4" s="2">
        <v>1080</v>
      </c>
      <c r="F4" s="2" t="s">
        <v>13</v>
      </c>
      <c r="G4" s="2" t="s">
        <v>30</v>
      </c>
      <c r="H4" s="2" t="s">
        <v>15</v>
      </c>
      <c r="I4" s="2" t="s">
        <v>16</v>
      </c>
      <c r="J4" s="2" t="s">
        <v>17</v>
      </c>
      <c r="K4" s="2" t="s">
        <v>18</v>
      </c>
      <c r="L4" s="2" t="s">
        <v>19</v>
      </c>
      <c r="N4">
        <f>_xlfn.XLOOKUP(B4,[1]Validate!$A:$A,[1]Validate!$A:$A,"-")</f>
        <v>15823</v>
      </c>
      <c r="O4">
        <f>_xlfn.XLOOKUP(B4,[2]Sheet1!$B:$B,[2]Sheet1!$B:$B,"-")</f>
        <v>15823</v>
      </c>
      <c r="P4" t="str">
        <f>_xlfn.XLOOKUP(B4,[3]Sheet1!$A:$A,[3]Sheet1!$A:$A,"-")</f>
        <v>-</v>
      </c>
      <c r="Q4" t="str">
        <f>_xlfn.XLOOKUP(B4,[3]Sheet1!$C:$C,[3]Sheet1!$C:$C,"-")</f>
        <v>-</v>
      </c>
      <c r="T4">
        <v>20748</v>
      </c>
      <c r="U4">
        <v>0</v>
      </c>
    </row>
    <row r="5" spans="1:22" x14ac:dyDescent="0.35">
      <c r="A5" s="2">
        <v>43</v>
      </c>
      <c r="B5" s="2">
        <v>24229</v>
      </c>
      <c r="C5" s="2">
        <v>800016859</v>
      </c>
      <c r="D5" s="2" t="s">
        <v>31</v>
      </c>
      <c r="E5" s="2" t="s">
        <v>24</v>
      </c>
      <c r="F5" s="2" t="s">
        <v>25</v>
      </c>
      <c r="G5" s="2" t="s">
        <v>30</v>
      </c>
      <c r="H5" s="2" t="s">
        <v>15</v>
      </c>
      <c r="I5" s="2" t="s">
        <v>16</v>
      </c>
      <c r="J5" s="2" t="s">
        <v>27</v>
      </c>
      <c r="K5" s="2" t="s">
        <v>18</v>
      </c>
      <c r="L5" s="2" t="s">
        <v>19</v>
      </c>
      <c r="N5">
        <f>_xlfn.XLOOKUP(B5,[1]Validate!$A:$A,[1]Validate!$A:$A,"-")</f>
        <v>24229</v>
      </c>
      <c r="O5">
        <f>_xlfn.XLOOKUP(B5,[2]Sheet1!$B:$B,[2]Sheet1!$B:$B,"-")</f>
        <v>24229</v>
      </c>
      <c r="P5">
        <f>_xlfn.XLOOKUP(B5,[3]Sheet1!$A:$A,[3]Sheet1!$A:$A,"-")</f>
        <v>24229</v>
      </c>
      <c r="Q5">
        <f>_xlfn.XLOOKUP(B5,[3]Sheet1!$C:$C,[3]Sheet1!$C:$C,"-")</f>
        <v>24229</v>
      </c>
      <c r="S5" t="str">
        <f t="shared" ref="S5:S11" si="0">_xlfn.XLOOKUP(T5,B:B,D:D,"-")</f>
        <v>MAHLE MOGI-GUAÇU | MIBA</v>
      </c>
      <c r="T5">
        <v>15565</v>
      </c>
      <c r="U5">
        <v>570</v>
      </c>
      <c r="V5" t="str">
        <f>_xlfn.XLOOKUP(T5,[4]Sheet1!$D:$D,[4]Sheet1!$F:$F,"-")</f>
        <v>-</v>
      </c>
    </row>
    <row r="6" spans="1:22" x14ac:dyDescent="0.35">
      <c r="A6" s="2">
        <v>44</v>
      </c>
      <c r="B6" s="2">
        <v>59683</v>
      </c>
      <c r="C6" s="2">
        <v>800006335</v>
      </c>
      <c r="D6" s="2" t="s">
        <v>32</v>
      </c>
      <c r="E6" s="2">
        <v>1080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N6">
        <f>_xlfn.XLOOKUP(B6,[1]Validate!$A:$A,[1]Validate!$A:$A,"-")</f>
        <v>59683</v>
      </c>
      <c r="O6">
        <f>_xlfn.XLOOKUP(B6,[2]Sheet1!$B:$B,[2]Sheet1!$B:$B,"-")</f>
        <v>59683</v>
      </c>
      <c r="P6" t="str">
        <f>_xlfn.XLOOKUP(B6,[3]Sheet1!$A:$A,[3]Sheet1!$A:$A,"-")</f>
        <v>-</v>
      </c>
      <c r="Q6" t="str">
        <f>_xlfn.XLOOKUP(B6,[3]Sheet1!$C:$C,[3]Sheet1!$C:$C,"-")</f>
        <v>-</v>
      </c>
      <c r="S6" t="str">
        <f t="shared" si="0"/>
        <v>HBA MONTE ALTO</v>
      </c>
      <c r="T6">
        <v>23480</v>
      </c>
      <c r="U6">
        <v>10620</v>
      </c>
      <c r="V6" t="str">
        <f>_xlfn.XLOOKUP(T6,[4]Sheet1!$D:$D,[4]Sheet1!$F:$F,"-")</f>
        <v>-</v>
      </c>
    </row>
    <row r="7" spans="1:22" x14ac:dyDescent="0.35">
      <c r="A7" s="2">
        <v>48</v>
      </c>
      <c r="B7" s="2" t="s">
        <v>33</v>
      </c>
      <c r="C7" s="2" t="s">
        <v>34</v>
      </c>
      <c r="D7" s="2" t="s">
        <v>35</v>
      </c>
      <c r="E7" s="2">
        <v>1080</v>
      </c>
      <c r="F7" s="2" t="s">
        <v>13</v>
      </c>
      <c r="G7" s="2" t="s">
        <v>36</v>
      </c>
      <c r="H7" s="2" t="s">
        <v>15</v>
      </c>
      <c r="I7" s="2" t="s">
        <v>16</v>
      </c>
      <c r="J7" s="2" t="s">
        <v>17</v>
      </c>
      <c r="K7" s="2" t="s">
        <v>18</v>
      </c>
      <c r="L7" s="2" t="s">
        <v>19</v>
      </c>
      <c r="N7" t="str">
        <f>_xlfn.XLOOKUP(B7,[1]Validate!$A:$A,[1]Validate!$A:$A,"-")</f>
        <v>1094/1097</v>
      </c>
      <c r="O7" t="str">
        <f>_xlfn.XLOOKUP(B7,[2]Sheet1!$B:$B,[2]Sheet1!$B:$B,"-")</f>
        <v>1094/1097</v>
      </c>
      <c r="P7" t="str">
        <f>_xlfn.XLOOKUP(B7,[3]Sheet1!$A:$A,[3]Sheet1!$A:$A,"-")</f>
        <v>-</v>
      </c>
      <c r="Q7" t="str">
        <f>_xlfn.XLOOKUP(B7,[3]Sheet1!$C:$C,[3]Sheet1!$C:$C,"-")</f>
        <v>-</v>
      </c>
      <c r="S7" t="str">
        <f t="shared" si="0"/>
        <v>VIBRACOUSTIC/MUBEA</v>
      </c>
      <c r="T7">
        <v>50111</v>
      </c>
      <c r="U7">
        <v>18000</v>
      </c>
      <c r="V7" t="str">
        <f>_xlfn.XLOOKUP(T7,[4]Sheet1!$D:$D,[4]Sheet1!$F:$F,"-")</f>
        <v>-</v>
      </c>
    </row>
    <row r="8" spans="1:22" x14ac:dyDescent="0.35">
      <c r="A8" s="2">
        <v>62</v>
      </c>
      <c r="B8" s="2">
        <v>3111</v>
      </c>
      <c r="C8" s="2">
        <v>800000377</v>
      </c>
      <c r="D8" s="2" t="s">
        <v>12</v>
      </c>
      <c r="E8" s="2">
        <v>1080</v>
      </c>
      <c r="F8" s="2" t="s">
        <v>13</v>
      </c>
      <c r="G8" s="2" t="s">
        <v>14</v>
      </c>
      <c r="H8" s="2" t="s">
        <v>15</v>
      </c>
      <c r="I8" s="2" t="s">
        <v>16</v>
      </c>
      <c r="J8" s="2" t="s">
        <v>17</v>
      </c>
      <c r="K8" s="2" t="s">
        <v>18</v>
      </c>
      <c r="L8" s="2" t="s">
        <v>19</v>
      </c>
      <c r="N8">
        <f>_xlfn.XLOOKUP(B8,[1]Validate!$A:$A,[1]Validate!$A:$A,"-")</f>
        <v>3111</v>
      </c>
      <c r="O8">
        <f>_xlfn.XLOOKUP(B8,[2]Sheet1!$B:$B,[2]Sheet1!$B:$B,"-")</f>
        <v>3111</v>
      </c>
      <c r="P8" t="str">
        <f>_xlfn.XLOOKUP(B8,[3]Sheet1!$A:$A,[3]Sheet1!$A:$A,"-")</f>
        <v>-</v>
      </c>
      <c r="Q8" t="str">
        <f>_xlfn.XLOOKUP(B8,[3]Sheet1!$C:$C,[3]Sheet1!$C:$C,"-")</f>
        <v>-</v>
      </c>
      <c r="S8" t="str">
        <f t="shared" si="0"/>
        <v>TECKSID ALUMÍNIO</v>
      </c>
      <c r="T8">
        <v>1020</v>
      </c>
      <c r="U8">
        <v>6484</v>
      </c>
      <c r="V8" t="str">
        <f>_xlfn.XLOOKUP(T8,[4]Sheet1!$D:$D,[4]Sheet1!$F:$F,"-")</f>
        <v>-</v>
      </c>
    </row>
    <row r="9" spans="1:22" x14ac:dyDescent="0.35">
      <c r="A9" s="2">
        <v>63</v>
      </c>
      <c r="B9" s="2">
        <v>3981</v>
      </c>
      <c r="C9" s="2">
        <v>800000507</v>
      </c>
      <c r="D9" s="2" t="s">
        <v>37</v>
      </c>
      <c r="E9" s="2">
        <v>1080</v>
      </c>
      <c r="F9" s="2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2" t="s">
        <v>18</v>
      </c>
      <c r="L9" s="2" t="s">
        <v>19</v>
      </c>
      <c r="N9">
        <f>_xlfn.XLOOKUP(B9,[1]Validate!$A:$A,[1]Validate!$A:$A,"-")</f>
        <v>3981</v>
      </c>
      <c r="O9">
        <f>_xlfn.XLOOKUP(B9,[2]Sheet1!$B:$B,[2]Sheet1!$B:$B,"-")</f>
        <v>3981</v>
      </c>
      <c r="P9" t="str">
        <f>_xlfn.XLOOKUP(B9,[3]Sheet1!$A:$A,[3]Sheet1!$A:$A,"-")</f>
        <v>-</v>
      </c>
      <c r="Q9" t="str">
        <f>_xlfn.XLOOKUP(B9,[3]Sheet1!$C:$C,[3]Sheet1!$C:$C,"-")</f>
        <v>-</v>
      </c>
      <c r="S9" t="str">
        <f t="shared" si="0"/>
        <v>NEUMAYER</v>
      </c>
      <c r="T9">
        <v>30460</v>
      </c>
      <c r="U9">
        <v>37700</v>
      </c>
      <c r="V9" t="str">
        <f>_xlfn.XLOOKUP(T9,[4]Sheet1!$D:$D,[4]Sheet1!$F:$F,"-")</f>
        <v>-</v>
      </c>
    </row>
    <row r="10" spans="1:22" x14ac:dyDescent="0.35">
      <c r="A10" s="2">
        <v>64</v>
      </c>
      <c r="B10" s="2">
        <v>47348</v>
      </c>
      <c r="C10" s="2">
        <v>800047201</v>
      </c>
      <c r="D10" s="2" t="s">
        <v>38</v>
      </c>
      <c r="E10" s="2">
        <v>1080</v>
      </c>
      <c r="F10" s="2" t="s">
        <v>13</v>
      </c>
      <c r="G10" s="2" t="s">
        <v>14</v>
      </c>
      <c r="H10" s="2" t="s">
        <v>15</v>
      </c>
      <c r="I10" s="2" t="s">
        <v>16</v>
      </c>
      <c r="J10" s="2" t="s">
        <v>17</v>
      </c>
      <c r="K10" s="2" t="s">
        <v>18</v>
      </c>
      <c r="L10" s="2" t="s">
        <v>19</v>
      </c>
      <c r="N10">
        <f>_xlfn.XLOOKUP(B10,[1]Validate!$A:$A,[1]Validate!$A:$A,"-")</f>
        <v>47348</v>
      </c>
      <c r="O10">
        <f>_xlfn.XLOOKUP(B10,[2]Sheet1!$B:$B,[2]Sheet1!$B:$B,"-")</f>
        <v>47348</v>
      </c>
      <c r="P10" t="str">
        <f>_xlfn.XLOOKUP(B10,[3]Sheet1!$A:$A,[3]Sheet1!$A:$A,"-")</f>
        <v>-</v>
      </c>
      <c r="Q10" t="str">
        <f>_xlfn.XLOOKUP(B10,[3]Sheet1!$C:$C,[3]Sheet1!$C:$C,"-")</f>
        <v>-</v>
      </c>
      <c r="S10" t="str">
        <f t="shared" si="0"/>
        <v>OMR</v>
      </c>
      <c r="T10">
        <v>56589</v>
      </c>
      <c r="U10">
        <v>7100</v>
      </c>
      <c r="V10" t="str">
        <f>_xlfn.XLOOKUP(T10,[4]Sheet1!$D:$D,[4]Sheet1!$F:$F,"-")</f>
        <v>-</v>
      </c>
    </row>
    <row r="11" spans="1:22" x14ac:dyDescent="0.35">
      <c r="A11" s="2">
        <v>66</v>
      </c>
      <c r="B11" s="2">
        <v>12896</v>
      </c>
      <c r="C11" s="2">
        <v>800002863</v>
      </c>
      <c r="D11" s="2" t="s">
        <v>39</v>
      </c>
      <c r="E11" s="2">
        <v>1080</v>
      </c>
      <c r="F11" s="2" t="s">
        <v>13</v>
      </c>
      <c r="G11" s="2" t="s">
        <v>14</v>
      </c>
      <c r="H11" s="2" t="s">
        <v>15</v>
      </c>
      <c r="I11" s="2" t="s">
        <v>16</v>
      </c>
      <c r="J11" s="2" t="s">
        <v>17</v>
      </c>
      <c r="K11" s="2" t="s">
        <v>18</v>
      </c>
      <c r="L11" s="2" t="s">
        <v>19</v>
      </c>
      <c r="N11">
        <f>_xlfn.XLOOKUP(B11,[1]Validate!$A:$A,[1]Validate!$A:$A,"-")</f>
        <v>12896</v>
      </c>
      <c r="O11">
        <f>_xlfn.XLOOKUP(B11,[2]Sheet1!$B:$B,[2]Sheet1!$B:$B,"-")</f>
        <v>12896</v>
      </c>
      <c r="P11" t="str">
        <f>_xlfn.XLOOKUP(B11,[3]Sheet1!$A:$A,[3]Sheet1!$A:$A,"-")</f>
        <v>-</v>
      </c>
      <c r="Q11" t="str">
        <f>_xlfn.XLOOKUP(B11,[3]Sheet1!$C:$C,[3]Sheet1!$C:$C,"-")</f>
        <v>-</v>
      </c>
      <c r="S11" t="str">
        <f t="shared" si="0"/>
        <v>DELPHI | FEDERAL MOGUL |APTIV PARAISOPOLIS</v>
      </c>
      <c r="T11">
        <v>37866</v>
      </c>
      <c r="U11">
        <v>2360</v>
      </c>
      <c r="V11" t="str">
        <f>_xlfn.XLOOKUP(T11,[4]Sheet1!$D:$D,[4]Sheet1!$F:$F,"-")</f>
        <v>-</v>
      </c>
    </row>
    <row r="12" spans="1:22" hidden="1" x14ac:dyDescent="0.35">
      <c r="A12" s="2">
        <v>67</v>
      </c>
      <c r="B12" s="2" t="s">
        <v>40</v>
      </c>
      <c r="C12" s="2" t="s">
        <v>41</v>
      </c>
      <c r="D12" s="2" t="s">
        <v>42</v>
      </c>
      <c r="E12" s="2">
        <v>1080</v>
      </c>
      <c r="F12" s="2" t="s">
        <v>13</v>
      </c>
      <c r="G12" s="2" t="s">
        <v>30</v>
      </c>
      <c r="H12" s="2" t="s">
        <v>15</v>
      </c>
      <c r="I12" s="2" t="s">
        <v>16</v>
      </c>
      <c r="J12" s="2" t="s">
        <v>17</v>
      </c>
      <c r="K12" s="2" t="s">
        <v>18</v>
      </c>
      <c r="L12" s="2" t="s">
        <v>43</v>
      </c>
      <c r="N12" t="str">
        <f>_xlfn.XLOOKUP(B12,[1]Validate!$A:$A,[1]Validate!$A:$A,"-")</f>
        <v>15075/49000</v>
      </c>
      <c r="O12" t="str">
        <f>_xlfn.XLOOKUP(B12,[2]Sheet1!$B:$B,[2]Sheet1!$B:$B,"-")</f>
        <v>-</v>
      </c>
      <c r="P12" t="str">
        <f>_xlfn.XLOOKUP(B12,[3]Sheet1!$A:$A,[3]Sheet1!$A:$A,"-")</f>
        <v>-</v>
      </c>
      <c r="Q12" t="str">
        <f>_xlfn.XLOOKUP(B12,[3]Sheet1!$C:$C,[3]Sheet1!$C:$C,"-")</f>
        <v>-</v>
      </c>
      <c r="T12">
        <v>40870</v>
      </c>
      <c r="U12">
        <v>0</v>
      </c>
    </row>
    <row r="13" spans="1:22" x14ac:dyDescent="0.35">
      <c r="A13" s="2">
        <v>68</v>
      </c>
      <c r="B13" s="2">
        <v>15826</v>
      </c>
      <c r="C13" s="2">
        <v>800032056</v>
      </c>
      <c r="D13" s="2" t="s">
        <v>44</v>
      </c>
      <c r="E13" s="2">
        <v>1080</v>
      </c>
      <c r="F13" s="2" t="s">
        <v>13</v>
      </c>
      <c r="G13" s="2" t="s">
        <v>14</v>
      </c>
      <c r="H13" s="2" t="s">
        <v>15</v>
      </c>
      <c r="I13" s="2" t="s">
        <v>16</v>
      </c>
      <c r="J13" s="2" t="s">
        <v>17</v>
      </c>
      <c r="K13" s="2" t="s">
        <v>18</v>
      </c>
      <c r="L13" s="2" t="s">
        <v>19</v>
      </c>
      <c r="N13">
        <f>_xlfn.XLOOKUP(B13,[1]Validate!$A:$A,[1]Validate!$A:$A,"-")</f>
        <v>15826</v>
      </c>
      <c r="O13">
        <f>_xlfn.XLOOKUP(B13,[2]Sheet1!$B:$B,[2]Sheet1!$B:$B,"-")</f>
        <v>15826</v>
      </c>
      <c r="P13" t="str">
        <f>_xlfn.XLOOKUP(B13,[3]Sheet1!$A:$A,[3]Sheet1!$A:$A,"-")</f>
        <v>-</v>
      </c>
      <c r="Q13" t="str">
        <f>_xlfn.XLOOKUP(B13,[3]Sheet1!$C:$C,[3]Sheet1!$C:$C,"-")</f>
        <v>-</v>
      </c>
      <c r="S13" t="str">
        <f>_xlfn.XLOOKUP(T13,B:B,D:D,"-")</f>
        <v>TENNECO ARARAS</v>
      </c>
      <c r="T13">
        <v>28824</v>
      </c>
      <c r="U13">
        <v>1344</v>
      </c>
      <c r="V13" t="str">
        <f>_xlfn.XLOOKUP(T13,[4]Sheet1!$D:$D,[4]Sheet1!$F:$F,"-")</f>
        <v>-</v>
      </c>
    </row>
    <row r="14" spans="1:22" hidden="1" x14ac:dyDescent="0.35">
      <c r="A14" s="2">
        <v>70</v>
      </c>
      <c r="B14" s="2">
        <v>22260</v>
      </c>
      <c r="C14" s="2">
        <v>800005713</v>
      </c>
      <c r="D14" s="2" t="s">
        <v>45</v>
      </c>
      <c r="E14" s="2">
        <v>1080</v>
      </c>
      <c r="F14" s="2" t="s">
        <v>13</v>
      </c>
      <c r="G14" s="2" t="s">
        <v>14</v>
      </c>
      <c r="H14" s="2" t="s">
        <v>15</v>
      </c>
      <c r="I14" s="2" t="s">
        <v>16</v>
      </c>
      <c r="J14" s="2" t="s">
        <v>17</v>
      </c>
      <c r="K14" s="2" t="s">
        <v>18</v>
      </c>
      <c r="L14" s="2" t="s">
        <v>43</v>
      </c>
      <c r="N14">
        <f>_xlfn.XLOOKUP(B14,[1]Validate!$A:$A,[1]Validate!$A:$A,"-")</f>
        <v>22260</v>
      </c>
      <c r="O14">
        <f>_xlfn.XLOOKUP(B14,[2]Sheet1!$B:$B,[2]Sheet1!$B:$B,"-")</f>
        <v>22260</v>
      </c>
      <c r="P14" t="str">
        <f>_xlfn.XLOOKUP(B14,[3]Sheet1!$A:$A,[3]Sheet1!$A:$A,"-")</f>
        <v>-</v>
      </c>
      <c r="Q14" t="str">
        <f>_xlfn.XLOOKUP(B14,[3]Sheet1!$C:$C,[3]Sheet1!$C:$C,"-")</f>
        <v>-</v>
      </c>
      <c r="T14">
        <v>35281</v>
      </c>
      <c r="U14">
        <v>0</v>
      </c>
    </row>
    <row r="15" spans="1:22" x14ac:dyDescent="0.35">
      <c r="A15" s="2">
        <v>71</v>
      </c>
      <c r="B15" s="2" t="s">
        <v>46</v>
      </c>
      <c r="C15" s="2" t="s">
        <v>47</v>
      </c>
      <c r="D15" s="2" t="s">
        <v>48</v>
      </c>
      <c r="E15" s="2">
        <v>60444</v>
      </c>
      <c r="F15" s="2" t="s">
        <v>49</v>
      </c>
      <c r="G15" s="2" t="s">
        <v>14</v>
      </c>
      <c r="H15" s="2" t="s">
        <v>15</v>
      </c>
      <c r="I15" s="2" t="s">
        <v>16</v>
      </c>
      <c r="J15" s="2" t="s">
        <v>17</v>
      </c>
      <c r="K15" s="2" t="s">
        <v>18</v>
      </c>
      <c r="L15" s="2" t="s">
        <v>50</v>
      </c>
      <c r="N15" t="str">
        <f>_xlfn.XLOOKUP(B15,[1]Validate!$A:$A,[1]Validate!$A:$A,"-")</f>
        <v>24149/36190</v>
      </c>
      <c r="O15" t="str">
        <f>_xlfn.XLOOKUP(B15,[2]Sheet1!$B:$B,[2]Sheet1!$B:$B,"-")</f>
        <v>-</v>
      </c>
      <c r="P15" t="str">
        <f>_xlfn.XLOOKUP(B15,[3]Sheet1!$A:$A,[3]Sheet1!$A:$A,"-")</f>
        <v>-</v>
      </c>
      <c r="Q15" t="str">
        <f>_xlfn.XLOOKUP(B15,[3]Sheet1!$C:$C,[3]Sheet1!$C:$C,"-")</f>
        <v>-</v>
      </c>
    </row>
    <row r="16" spans="1:22" x14ac:dyDescent="0.35">
      <c r="A16" s="2">
        <v>74</v>
      </c>
      <c r="B16" s="2">
        <v>30864</v>
      </c>
      <c r="C16" s="2">
        <v>800027163</v>
      </c>
      <c r="D16" s="2" t="s">
        <v>51</v>
      </c>
      <c r="E16" s="2">
        <v>1080</v>
      </c>
      <c r="F16" s="2" t="s">
        <v>13</v>
      </c>
      <c r="G16" s="2" t="s">
        <v>14</v>
      </c>
      <c r="H16" s="2" t="s">
        <v>15</v>
      </c>
      <c r="I16" s="2" t="s">
        <v>16</v>
      </c>
      <c r="J16" s="2" t="s">
        <v>17</v>
      </c>
      <c r="K16" s="2" t="s">
        <v>18</v>
      </c>
      <c r="L16" s="2" t="s">
        <v>19</v>
      </c>
      <c r="N16">
        <f>_xlfn.XLOOKUP(B16,[1]Validate!$A:$A,[1]Validate!$A:$A,"-")</f>
        <v>30864</v>
      </c>
      <c r="O16" t="str">
        <f>_xlfn.XLOOKUP(B16,[2]Sheet1!$B:$B,[2]Sheet1!$B:$B,"-")</f>
        <v>-</v>
      </c>
      <c r="P16" t="str">
        <f>_xlfn.XLOOKUP(B16,[3]Sheet1!$A:$A,[3]Sheet1!$A:$A,"-")</f>
        <v>-</v>
      </c>
      <c r="Q16" t="str">
        <f>_xlfn.XLOOKUP(B16,[3]Sheet1!$C:$C,[3]Sheet1!$C:$C,"-")</f>
        <v>-</v>
      </c>
    </row>
    <row r="17" spans="1:22" x14ac:dyDescent="0.35">
      <c r="A17" s="2">
        <v>76</v>
      </c>
      <c r="B17" s="2" t="s">
        <v>20</v>
      </c>
      <c r="C17" s="2" t="s">
        <v>52</v>
      </c>
      <c r="D17" s="2" t="s">
        <v>21</v>
      </c>
      <c r="E17" s="2">
        <v>1080</v>
      </c>
      <c r="F17" s="2" t="s">
        <v>13</v>
      </c>
      <c r="G17" s="2" t="s">
        <v>14</v>
      </c>
      <c r="H17" s="2" t="s">
        <v>15</v>
      </c>
      <c r="I17" s="2" t="s">
        <v>16</v>
      </c>
      <c r="J17" s="2" t="s">
        <v>17</v>
      </c>
      <c r="K17" s="2" t="s">
        <v>18</v>
      </c>
      <c r="L17" s="2" t="s">
        <v>19</v>
      </c>
      <c r="N17" t="str">
        <f>_xlfn.XLOOKUP(B17,[1]Validate!$A:$A,[1]Validate!$A:$A,"-")</f>
        <v>32045/43513</v>
      </c>
      <c r="O17" t="str">
        <f>_xlfn.XLOOKUP(B17,[2]Sheet1!$B:$B,[2]Sheet1!$B:$B,"-")</f>
        <v>32045/43513</v>
      </c>
      <c r="P17" t="str">
        <f>_xlfn.XLOOKUP(B17,[3]Sheet1!$A:$A,[3]Sheet1!$A:$A,"-")</f>
        <v>-</v>
      </c>
      <c r="Q17" t="str">
        <f>_xlfn.XLOOKUP(B17,[3]Sheet1!$C:$C,[3]Sheet1!$C:$C,"-")</f>
        <v>-</v>
      </c>
    </row>
    <row r="18" spans="1:22" x14ac:dyDescent="0.35">
      <c r="A18" s="2">
        <v>77</v>
      </c>
      <c r="B18" s="2">
        <v>41789</v>
      </c>
      <c r="C18" s="2">
        <v>800006042</v>
      </c>
      <c r="D18" s="2" t="s">
        <v>53</v>
      </c>
      <c r="E18" s="2">
        <v>1080</v>
      </c>
      <c r="F18" s="2" t="s">
        <v>13</v>
      </c>
      <c r="G18" s="2" t="s">
        <v>36</v>
      </c>
      <c r="H18" s="2" t="s">
        <v>15</v>
      </c>
      <c r="I18" s="2" t="s">
        <v>16</v>
      </c>
      <c r="J18" s="2" t="s">
        <v>17</v>
      </c>
      <c r="K18" s="2" t="s">
        <v>18</v>
      </c>
      <c r="L18" s="2" t="s">
        <v>19</v>
      </c>
      <c r="N18">
        <f>_xlfn.XLOOKUP(B18,[1]Validate!$A:$A,[1]Validate!$A:$A,"-")</f>
        <v>41789</v>
      </c>
      <c r="O18">
        <f>_xlfn.XLOOKUP(B18,[2]Sheet1!$B:$B,[2]Sheet1!$B:$B,"-")</f>
        <v>41789</v>
      </c>
      <c r="P18" t="str">
        <f>_xlfn.XLOOKUP(B18,[3]Sheet1!$A:$A,[3]Sheet1!$A:$A,"-")</f>
        <v>-</v>
      </c>
      <c r="Q18" t="str">
        <f>_xlfn.XLOOKUP(B18,[3]Sheet1!$C:$C,[3]Sheet1!$C:$C,"-")</f>
        <v>-</v>
      </c>
    </row>
    <row r="19" spans="1:22" x14ac:dyDescent="0.35">
      <c r="A19" s="2">
        <v>79</v>
      </c>
      <c r="B19" s="2">
        <v>36845</v>
      </c>
      <c r="C19" s="2">
        <v>800035074</v>
      </c>
      <c r="D19" s="2" t="s">
        <v>54</v>
      </c>
      <c r="E19" s="2">
        <v>1080</v>
      </c>
      <c r="F19" s="2" t="s">
        <v>13</v>
      </c>
      <c r="G19" s="2" t="s">
        <v>14</v>
      </c>
      <c r="H19" s="2" t="s">
        <v>15</v>
      </c>
      <c r="I19" s="2" t="s">
        <v>16</v>
      </c>
      <c r="J19" s="2" t="s">
        <v>17</v>
      </c>
      <c r="K19" s="2" t="s">
        <v>18</v>
      </c>
      <c r="L19" s="2" t="s">
        <v>19</v>
      </c>
      <c r="N19">
        <f>_xlfn.XLOOKUP(B19,[1]Validate!$A:$A,[1]Validate!$A:$A,"-")</f>
        <v>36845</v>
      </c>
      <c r="O19" t="str">
        <f>_xlfn.XLOOKUP(B19,[2]Sheet1!$B:$B,[2]Sheet1!$B:$B,"-")</f>
        <v>-</v>
      </c>
      <c r="P19" t="str">
        <f>_xlfn.XLOOKUP(B19,[3]Sheet1!$A:$A,[3]Sheet1!$A:$A,"-")</f>
        <v>-</v>
      </c>
      <c r="Q19" t="str">
        <f>_xlfn.XLOOKUP(B19,[3]Sheet1!$C:$C,[3]Sheet1!$C:$C,"-")</f>
        <v>-</v>
      </c>
    </row>
    <row r="20" spans="1:22" x14ac:dyDescent="0.35">
      <c r="A20" s="2">
        <v>81</v>
      </c>
      <c r="B20" s="2">
        <v>38094</v>
      </c>
      <c r="C20" s="2">
        <v>800036730</v>
      </c>
      <c r="D20" s="2" t="s">
        <v>55</v>
      </c>
      <c r="E20" s="2">
        <v>60444</v>
      </c>
      <c r="F20" s="2" t="s">
        <v>49</v>
      </c>
      <c r="G20" s="2" t="s">
        <v>14</v>
      </c>
      <c r="H20" s="2" t="s">
        <v>15</v>
      </c>
      <c r="I20" s="2" t="s">
        <v>16</v>
      </c>
      <c r="J20" s="2" t="s">
        <v>17</v>
      </c>
      <c r="K20" s="2" t="s">
        <v>18</v>
      </c>
      <c r="L20" s="2" t="s">
        <v>19</v>
      </c>
      <c r="N20">
        <f>_xlfn.XLOOKUP(B20,[1]Validate!$A:$A,[1]Validate!$A:$A,"-")</f>
        <v>38094</v>
      </c>
      <c r="O20" t="str">
        <f>_xlfn.XLOOKUP(B20,[2]Sheet1!$B:$B,[2]Sheet1!$B:$B,"-")</f>
        <v>-</v>
      </c>
      <c r="P20" t="str">
        <f>_xlfn.XLOOKUP(B20,[3]Sheet1!$A:$A,[3]Sheet1!$A:$A,"-")</f>
        <v>-</v>
      </c>
      <c r="Q20" t="str">
        <f>_xlfn.XLOOKUP(B20,[3]Sheet1!$C:$C,[3]Sheet1!$C:$C,"-")</f>
        <v>-</v>
      </c>
    </row>
    <row r="21" spans="1:22" x14ac:dyDescent="0.35">
      <c r="A21" s="2">
        <v>82</v>
      </c>
      <c r="B21" s="2">
        <v>19099</v>
      </c>
      <c r="C21" s="2">
        <v>800024682</v>
      </c>
      <c r="D21" s="2" t="s">
        <v>56</v>
      </c>
      <c r="E21" s="2">
        <v>60444</v>
      </c>
      <c r="F21" s="2" t="s">
        <v>49</v>
      </c>
      <c r="G21" s="2" t="s">
        <v>14</v>
      </c>
      <c r="H21" s="2" t="s">
        <v>15</v>
      </c>
      <c r="I21" s="2" t="s">
        <v>16</v>
      </c>
      <c r="J21" s="2" t="s">
        <v>17</v>
      </c>
      <c r="K21" s="2" t="s">
        <v>18</v>
      </c>
      <c r="L21" s="2" t="s">
        <v>19</v>
      </c>
      <c r="N21">
        <f>_xlfn.XLOOKUP(B21,[1]Validate!$A:$A,[1]Validate!$A:$A,"-")</f>
        <v>19099</v>
      </c>
      <c r="O21" t="str">
        <f>_xlfn.XLOOKUP(B21,[2]Sheet1!$B:$B,[2]Sheet1!$B:$B,"-")</f>
        <v>-</v>
      </c>
      <c r="P21" t="str">
        <f>_xlfn.XLOOKUP(B21,[3]Sheet1!$A:$A,[3]Sheet1!$A:$A,"-")</f>
        <v>-</v>
      </c>
      <c r="Q21" t="str">
        <f>_xlfn.XLOOKUP(B21,[3]Sheet1!$C:$C,[3]Sheet1!$C:$C,"-")</f>
        <v>-</v>
      </c>
    </row>
    <row r="22" spans="1:22" x14ac:dyDescent="0.35">
      <c r="A22" s="2">
        <v>83</v>
      </c>
      <c r="B22" s="2">
        <v>71104</v>
      </c>
      <c r="C22" s="2">
        <v>800006523</v>
      </c>
      <c r="D22" s="2" t="s">
        <v>57</v>
      </c>
      <c r="E22" s="2">
        <v>1080</v>
      </c>
      <c r="F22" s="2" t="s">
        <v>13</v>
      </c>
      <c r="G22" s="2" t="s">
        <v>14</v>
      </c>
      <c r="H22" s="2" t="s">
        <v>15</v>
      </c>
      <c r="I22" s="2" t="s">
        <v>16</v>
      </c>
      <c r="J22" s="2" t="s">
        <v>17</v>
      </c>
      <c r="K22" s="2" t="s">
        <v>18</v>
      </c>
      <c r="L22" s="2" t="s">
        <v>19</v>
      </c>
      <c r="N22">
        <f>_xlfn.XLOOKUP(B22,[1]Validate!$A:$A,[1]Validate!$A:$A,"-")</f>
        <v>71104</v>
      </c>
      <c r="O22" t="str">
        <f>_xlfn.XLOOKUP(B22,[2]Sheet1!$B:$B,[2]Sheet1!$B:$B,"-")</f>
        <v>-</v>
      </c>
      <c r="P22" t="str">
        <f>_xlfn.XLOOKUP(B22,[3]Sheet1!$A:$A,[3]Sheet1!$A:$A,"-")</f>
        <v>-</v>
      </c>
      <c r="Q22" t="str">
        <f>_xlfn.XLOOKUP(B22,[3]Sheet1!$C:$C,[3]Sheet1!$C:$C,"-")</f>
        <v>-</v>
      </c>
      <c r="T22" s="6" t="s">
        <v>1</v>
      </c>
      <c r="U22" s="6" t="s">
        <v>134</v>
      </c>
    </row>
    <row r="23" spans="1:22" x14ac:dyDescent="0.35">
      <c r="A23" s="2">
        <v>85</v>
      </c>
      <c r="B23" s="2">
        <v>20748</v>
      </c>
      <c r="C23" s="2">
        <v>800012835</v>
      </c>
      <c r="D23" s="2" t="s">
        <v>58</v>
      </c>
      <c r="E23" s="2" t="s">
        <v>24</v>
      </c>
      <c r="F23" s="2" t="s">
        <v>25</v>
      </c>
      <c r="G23" s="2" t="s">
        <v>14</v>
      </c>
      <c r="H23" s="2" t="s">
        <v>15</v>
      </c>
      <c r="I23" s="2" t="s">
        <v>16</v>
      </c>
      <c r="J23" s="2" t="s">
        <v>17</v>
      </c>
      <c r="K23" s="2" t="s">
        <v>18</v>
      </c>
      <c r="L23" s="2" t="s">
        <v>28</v>
      </c>
      <c r="N23">
        <f>_xlfn.XLOOKUP(B23,[1]Validate!$A:$A,[1]Validate!$A:$A,"-")</f>
        <v>20748</v>
      </c>
      <c r="O23" t="str">
        <f>_xlfn.XLOOKUP(B23,[2]Sheet1!$B:$B,[2]Sheet1!$B:$B,"-")</f>
        <v>-</v>
      </c>
      <c r="P23" t="str">
        <f>_xlfn.XLOOKUP(B23,[3]Sheet1!$A:$A,[3]Sheet1!$A:$A,"-")</f>
        <v>-</v>
      </c>
      <c r="Q23" t="str">
        <f>_xlfn.XLOOKUP(B23,[3]Sheet1!$C:$C,[3]Sheet1!$C:$C,"-")</f>
        <v>-</v>
      </c>
      <c r="T23">
        <v>1097</v>
      </c>
      <c r="U23">
        <v>3060</v>
      </c>
      <c r="V23" t="s">
        <v>14</v>
      </c>
    </row>
    <row r="24" spans="1:22" x14ac:dyDescent="0.35">
      <c r="A24" s="2">
        <v>92</v>
      </c>
      <c r="B24" s="2">
        <v>1097</v>
      </c>
      <c r="C24" s="2">
        <v>800000059</v>
      </c>
      <c r="D24" s="2" t="s">
        <v>35</v>
      </c>
      <c r="E24" s="2">
        <v>1046</v>
      </c>
      <c r="F24" s="2" t="s">
        <v>59</v>
      </c>
      <c r="G24" s="2" t="s">
        <v>14</v>
      </c>
      <c r="H24" s="2" t="s">
        <v>15</v>
      </c>
      <c r="I24" s="2" t="s">
        <v>59</v>
      </c>
      <c r="J24" s="2" t="s">
        <v>17</v>
      </c>
      <c r="K24" s="2" t="s">
        <v>18</v>
      </c>
      <c r="L24" s="2" t="s">
        <v>19</v>
      </c>
      <c r="N24">
        <f>_xlfn.XLOOKUP(B24,[1]Validate!$A:$A,[1]Validate!$A:$A,"-")</f>
        <v>1097</v>
      </c>
      <c r="O24">
        <f>_xlfn.XLOOKUP(B24,[2]Sheet1!$B:$B,[2]Sheet1!$B:$B,"-")</f>
        <v>1097</v>
      </c>
      <c r="P24">
        <f>_xlfn.XLOOKUP(B24,[3]Sheet1!$A:$A,[3]Sheet1!$A:$A,"-")</f>
        <v>1097</v>
      </c>
      <c r="Q24">
        <f>_xlfn.XLOOKUP(B24,[3]Sheet1!$C:$C,[3]Sheet1!$C:$C,"-")</f>
        <v>1097</v>
      </c>
      <c r="T24">
        <v>15565</v>
      </c>
      <c r="U24">
        <v>570</v>
      </c>
      <c r="V24" t="s">
        <v>135</v>
      </c>
    </row>
    <row r="25" spans="1:22" x14ac:dyDescent="0.35">
      <c r="A25" s="2">
        <v>93</v>
      </c>
      <c r="B25" s="2">
        <v>15565</v>
      </c>
      <c r="C25" s="2" t="s">
        <v>61</v>
      </c>
      <c r="D25" s="2" t="s">
        <v>62</v>
      </c>
      <c r="E25" s="2" t="s">
        <v>24</v>
      </c>
      <c r="F25" s="2" t="s">
        <v>25</v>
      </c>
      <c r="G25" s="2" t="s">
        <v>36</v>
      </c>
      <c r="H25" s="2" t="s">
        <v>15</v>
      </c>
      <c r="I25" s="2" t="s">
        <v>59</v>
      </c>
      <c r="J25" s="2" t="s">
        <v>17</v>
      </c>
      <c r="K25" s="2" t="s">
        <v>18</v>
      </c>
      <c r="L25" s="2" t="s">
        <v>19</v>
      </c>
      <c r="N25" t="str">
        <f>_xlfn.XLOOKUP(B25,[1]Validate!$A:$A,[1]Validate!$A:$A,"-")</f>
        <v>-</v>
      </c>
      <c r="O25" t="str">
        <f>_xlfn.XLOOKUP(B25,[2]Sheet1!$B:$B,[2]Sheet1!$B:$B,"-")</f>
        <v>-</v>
      </c>
      <c r="P25">
        <f>_xlfn.XLOOKUP(B25,[3]Sheet1!$A:$A,[3]Sheet1!$A:$A,"-")</f>
        <v>15565</v>
      </c>
      <c r="Q25" t="str">
        <f>_xlfn.XLOOKUP(B25,[3]Sheet1!$C:$C,[3]Sheet1!$C:$C,"-")</f>
        <v>-</v>
      </c>
      <c r="T25">
        <v>23480</v>
      </c>
      <c r="U25">
        <v>10620</v>
      </c>
      <c r="V25" t="s">
        <v>135</v>
      </c>
    </row>
    <row r="26" spans="1:22" x14ac:dyDescent="0.35">
      <c r="A26" s="2">
        <v>94</v>
      </c>
      <c r="B26" s="2">
        <v>36019</v>
      </c>
      <c r="C26" s="2">
        <v>800033930</v>
      </c>
      <c r="D26" s="2" t="s">
        <v>63</v>
      </c>
      <c r="E26" s="2" t="s">
        <v>24</v>
      </c>
      <c r="F26" s="2" t="s">
        <v>25</v>
      </c>
      <c r="G26" s="2" t="s">
        <v>14</v>
      </c>
      <c r="H26" s="2" t="s">
        <v>15</v>
      </c>
      <c r="I26" s="2" t="s">
        <v>16</v>
      </c>
      <c r="J26" s="2" t="s">
        <v>27</v>
      </c>
      <c r="K26" s="2" t="s">
        <v>18</v>
      </c>
      <c r="L26" s="2" t="s">
        <v>43</v>
      </c>
      <c r="N26">
        <f>_xlfn.XLOOKUP(B26,[1]Validate!$A:$A,[1]Validate!$A:$A,"-")</f>
        <v>36019</v>
      </c>
      <c r="O26">
        <f>_xlfn.XLOOKUP(B26,[2]Sheet1!$B:$B,[2]Sheet1!$B:$B,"-")</f>
        <v>36019</v>
      </c>
      <c r="P26">
        <f>_xlfn.XLOOKUP(B26,[3]Sheet1!$A:$A,[3]Sheet1!$A:$A,"-")</f>
        <v>36019</v>
      </c>
      <c r="Q26">
        <f>_xlfn.XLOOKUP(B26,[3]Sheet1!$C:$C,[3]Sheet1!$C:$C,"-")</f>
        <v>36019</v>
      </c>
      <c r="T26">
        <v>50111</v>
      </c>
      <c r="U26">
        <v>18000</v>
      </c>
      <c r="V26" t="s">
        <v>135</v>
      </c>
    </row>
    <row r="27" spans="1:22" x14ac:dyDescent="0.35">
      <c r="A27" s="2">
        <v>95</v>
      </c>
      <c r="B27" s="2">
        <v>23480</v>
      </c>
      <c r="C27" s="2" t="s">
        <v>65</v>
      </c>
      <c r="D27" s="2" t="s">
        <v>37</v>
      </c>
      <c r="E27" s="2" t="s">
        <v>24</v>
      </c>
      <c r="F27" s="2" t="s">
        <v>25</v>
      </c>
      <c r="G27" s="2" t="s">
        <v>133</v>
      </c>
      <c r="H27" s="2" t="s">
        <v>15</v>
      </c>
      <c r="I27" s="2" t="s">
        <v>16</v>
      </c>
      <c r="J27" s="2" t="s">
        <v>17</v>
      </c>
      <c r="K27" s="2" t="s">
        <v>18</v>
      </c>
      <c r="L27" s="2" t="s">
        <v>19</v>
      </c>
      <c r="N27" t="str">
        <f>_xlfn.XLOOKUP(B27,[1]Validate!$A:$A,[1]Validate!$A:$A,"-")</f>
        <v>-</v>
      </c>
      <c r="O27" t="str">
        <f>_xlfn.XLOOKUP(B27,[2]Sheet1!$B:$B,[2]Sheet1!$B:$B,"-")</f>
        <v>-</v>
      </c>
      <c r="P27">
        <f>_xlfn.XLOOKUP(B27,[3]Sheet1!$A:$A,[3]Sheet1!$A:$A,"-")</f>
        <v>23480</v>
      </c>
      <c r="Q27" t="str">
        <f>_xlfn.XLOOKUP(B27,[3]Sheet1!$C:$C,[3]Sheet1!$C:$C,"-")</f>
        <v>-</v>
      </c>
      <c r="T27">
        <v>1020</v>
      </c>
      <c r="U27">
        <v>6484</v>
      </c>
      <c r="V27" t="s">
        <v>133</v>
      </c>
    </row>
    <row r="28" spans="1:22" x14ac:dyDescent="0.35">
      <c r="A28" s="2">
        <v>96</v>
      </c>
      <c r="B28" s="2">
        <v>31775</v>
      </c>
      <c r="C28" s="2">
        <v>800028458</v>
      </c>
      <c r="D28" s="2" t="s">
        <v>66</v>
      </c>
      <c r="E28" s="2" t="s">
        <v>24</v>
      </c>
      <c r="F28" s="2" t="s">
        <v>25</v>
      </c>
      <c r="G28" s="2" t="s">
        <v>14</v>
      </c>
      <c r="H28" s="2" t="s">
        <v>15</v>
      </c>
      <c r="I28" s="2" t="s">
        <v>16</v>
      </c>
      <c r="J28" s="2" t="s">
        <v>17</v>
      </c>
      <c r="K28" s="2" t="s">
        <v>18</v>
      </c>
      <c r="L28" s="2" t="s">
        <v>43</v>
      </c>
      <c r="N28">
        <f>_xlfn.XLOOKUP(B28,[1]Validate!$A:$A,[1]Validate!$A:$A,"-")</f>
        <v>31775</v>
      </c>
      <c r="O28">
        <f>_xlfn.XLOOKUP(B28,[2]Sheet1!$B:$B,[2]Sheet1!$B:$B,"-")</f>
        <v>31775</v>
      </c>
      <c r="P28">
        <f>_xlfn.XLOOKUP(B28,[3]Sheet1!$A:$A,[3]Sheet1!$A:$A,"-")</f>
        <v>31775</v>
      </c>
      <c r="Q28">
        <f>_xlfn.XLOOKUP(B28,[3]Sheet1!$C:$C,[3]Sheet1!$C:$C,"-")</f>
        <v>31775</v>
      </c>
      <c r="T28">
        <v>30460</v>
      </c>
      <c r="U28">
        <v>37700</v>
      </c>
      <c r="V28" t="s">
        <v>133</v>
      </c>
    </row>
    <row r="29" spans="1:22" x14ac:dyDescent="0.35">
      <c r="A29" s="2">
        <v>105</v>
      </c>
      <c r="B29" s="2">
        <v>14837</v>
      </c>
      <c r="C29" s="2">
        <v>800003531</v>
      </c>
      <c r="D29" s="2" t="s">
        <v>67</v>
      </c>
      <c r="E29" s="2">
        <v>1046</v>
      </c>
      <c r="F29" s="2" t="s">
        <v>59</v>
      </c>
      <c r="G29" s="2" t="s">
        <v>30</v>
      </c>
      <c r="H29" s="2" t="s">
        <v>15</v>
      </c>
      <c r="I29" s="2" t="s">
        <v>59</v>
      </c>
      <c r="J29" s="2" t="s">
        <v>17</v>
      </c>
      <c r="K29" s="2" t="s">
        <v>18</v>
      </c>
      <c r="L29" s="2" t="s">
        <v>19</v>
      </c>
      <c r="N29">
        <f>_xlfn.XLOOKUP(B29,[1]Validate!$A:$A,[1]Validate!$A:$A,"-")</f>
        <v>14837</v>
      </c>
      <c r="O29">
        <f>_xlfn.XLOOKUP(B29,[2]Sheet1!$B:$B,[2]Sheet1!$B:$B,"-")</f>
        <v>14837</v>
      </c>
      <c r="P29">
        <f>_xlfn.XLOOKUP(B29,[3]Sheet1!$A:$A,[3]Sheet1!$A:$A,"-")</f>
        <v>14837</v>
      </c>
      <c r="Q29">
        <f>_xlfn.XLOOKUP(B29,[3]Sheet1!$C:$C,[3]Sheet1!$C:$C,"-")</f>
        <v>14837</v>
      </c>
      <c r="T29">
        <v>56589</v>
      </c>
      <c r="U29">
        <v>7100</v>
      </c>
      <c r="V29" t="s">
        <v>26</v>
      </c>
    </row>
    <row r="30" spans="1:22" x14ac:dyDescent="0.35">
      <c r="A30" s="2">
        <v>108</v>
      </c>
      <c r="B30" s="2">
        <v>50111</v>
      </c>
      <c r="C30" s="2" t="s">
        <v>69</v>
      </c>
      <c r="D30" s="2" t="s">
        <v>70</v>
      </c>
      <c r="E30" s="2" t="s">
        <v>24</v>
      </c>
      <c r="F30" s="2" t="s">
        <v>25</v>
      </c>
      <c r="G30" s="2" t="s">
        <v>14</v>
      </c>
      <c r="H30" s="2" t="s">
        <v>15</v>
      </c>
      <c r="I30" s="2" t="s">
        <v>16</v>
      </c>
      <c r="J30" s="2" t="s">
        <v>27</v>
      </c>
      <c r="K30" s="2" t="s">
        <v>18</v>
      </c>
      <c r="L30" s="2" t="s">
        <v>19</v>
      </c>
      <c r="N30" t="str">
        <f>_xlfn.XLOOKUP(B30,[1]Validate!$A:$A,[1]Validate!$A:$A,"-")</f>
        <v>-</v>
      </c>
      <c r="O30" t="str">
        <f>_xlfn.XLOOKUP(B30,[2]Sheet1!$B:$B,[2]Sheet1!$B:$B,"-")</f>
        <v>-</v>
      </c>
      <c r="P30">
        <f>_xlfn.XLOOKUP(B30,[3]Sheet1!$A:$A,[3]Sheet1!$A:$A,"-")</f>
        <v>50111</v>
      </c>
      <c r="Q30" t="str">
        <f>_xlfn.XLOOKUP(B30,[3]Sheet1!$C:$C,[3]Sheet1!$C:$C,"-")</f>
        <v>-</v>
      </c>
      <c r="T30">
        <v>37866</v>
      </c>
      <c r="U30">
        <v>2360</v>
      </c>
      <c r="V30" t="s">
        <v>135</v>
      </c>
    </row>
    <row r="31" spans="1:22" s="5" customFormat="1" x14ac:dyDescent="0.35">
      <c r="A31" s="4">
        <v>112</v>
      </c>
      <c r="B31" s="4">
        <v>1020</v>
      </c>
      <c r="C31" s="4">
        <v>800000015</v>
      </c>
      <c r="D31" s="4" t="s">
        <v>71</v>
      </c>
      <c r="E31" s="4">
        <v>1046</v>
      </c>
      <c r="F31" s="4" t="s">
        <v>59</v>
      </c>
      <c r="G31" s="4" t="s">
        <v>133</v>
      </c>
      <c r="H31" s="4" t="s">
        <v>15</v>
      </c>
      <c r="I31" s="4" t="s">
        <v>72</v>
      </c>
      <c r="J31" s="4" t="s">
        <v>27</v>
      </c>
      <c r="K31" s="4" t="s">
        <v>18</v>
      </c>
      <c r="L31" s="4" t="s">
        <v>43</v>
      </c>
      <c r="N31" s="5">
        <f>_xlfn.XLOOKUP(B31,[1]Validate!$A:$A,[1]Validate!$A:$A,"-")</f>
        <v>1020</v>
      </c>
      <c r="O31" s="5">
        <f>_xlfn.XLOOKUP(B31,[2]Sheet1!$B:$B,[2]Sheet1!$B:$B,"-")</f>
        <v>1020</v>
      </c>
      <c r="P31" s="5">
        <f>_xlfn.XLOOKUP(B31,[3]Sheet1!$A:$A,[3]Sheet1!$A:$A,"-")</f>
        <v>1020</v>
      </c>
      <c r="Q31" s="5" t="str">
        <f>_xlfn.XLOOKUP(B31,[3]Sheet1!$C:$C,[3]Sheet1!$C:$C,"-")</f>
        <v>-</v>
      </c>
      <c r="T31">
        <v>28824</v>
      </c>
      <c r="U31">
        <v>1344</v>
      </c>
      <c r="V31" t="s">
        <v>133</v>
      </c>
    </row>
    <row r="32" spans="1:22" x14ac:dyDescent="0.35">
      <c r="A32" s="2">
        <v>113</v>
      </c>
      <c r="B32" s="2">
        <v>1073</v>
      </c>
      <c r="C32" s="2">
        <v>800000043</v>
      </c>
      <c r="D32" s="2" t="s">
        <v>73</v>
      </c>
      <c r="E32" s="2">
        <v>1046</v>
      </c>
      <c r="F32" s="2" t="s">
        <v>59</v>
      </c>
      <c r="G32" s="2" t="s">
        <v>14</v>
      </c>
      <c r="H32" s="2" t="s">
        <v>15</v>
      </c>
      <c r="I32" s="2" t="s">
        <v>72</v>
      </c>
      <c r="J32" s="2" t="s">
        <v>27</v>
      </c>
      <c r="K32" s="2" t="s">
        <v>18</v>
      </c>
      <c r="L32" s="2" t="s">
        <v>74</v>
      </c>
      <c r="N32">
        <f>_xlfn.XLOOKUP(B32,[1]Validate!$A:$A,[1]Validate!$A:$A,"-")</f>
        <v>1073</v>
      </c>
      <c r="O32">
        <f>_xlfn.XLOOKUP(B32,[2]Sheet1!$B:$B,[2]Sheet1!$B:$B,"-")</f>
        <v>1073</v>
      </c>
      <c r="P32">
        <f>_xlfn.XLOOKUP(B32,[3]Sheet1!$A:$A,[3]Sheet1!$A:$A,"-")</f>
        <v>1073</v>
      </c>
      <c r="Q32">
        <f>_xlfn.XLOOKUP(B32,[3]Sheet1!$C:$C,[3]Sheet1!$C:$C,"-")</f>
        <v>1073</v>
      </c>
    </row>
    <row r="33" spans="1:17" s="5" customFormat="1" x14ac:dyDescent="0.35">
      <c r="A33" s="4">
        <v>114</v>
      </c>
      <c r="B33" s="4">
        <v>30460</v>
      </c>
      <c r="C33" s="4">
        <v>800005847</v>
      </c>
      <c r="D33" s="4" t="s">
        <v>75</v>
      </c>
      <c r="E33" s="4">
        <v>1046</v>
      </c>
      <c r="F33" s="4" t="s">
        <v>59</v>
      </c>
      <c r="G33" s="4" t="s">
        <v>133</v>
      </c>
      <c r="H33" s="4" t="s">
        <v>15</v>
      </c>
      <c r="I33" s="4" t="s">
        <v>72</v>
      </c>
      <c r="J33" s="4" t="s">
        <v>27</v>
      </c>
      <c r="K33" s="4" t="s">
        <v>18</v>
      </c>
      <c r="L33" s="4" t="s">
        <v>74</v>
      </c>
      <c r="N33" s="5">
        <f>_xlfn.XLOOKUP(B33,[1]Validate!$A:$A,[1]Validate!$A:$A,"-")</f>
        <v>30460</v>
      </c>
      <c r="O33" s="5">
        <f>_xlfn.XLOOKUP(B33,[2]Sheet1!$B:$B,[2]Sheet1!$B:$B,"-")</f>
        <v>30460</v>
      </c>
      <c r="P33" s="5">
        <f>_xlfn.XLOOKUP(B33,[3]Sheet1!$A:$A,[3]Sheet1!$A:$A,"-")</f>
        <v>30460</v>
      </c>
      <c r="Q33" s="5" t="str">
        <f>_xlfn.XLOOKUP(B33,[3]Sheet1!$C:$C,[3]Sheet1!$C:$C,"-")</f>
        <v>-</v>
      </c>
    </row>
    <row r="34" spans="1:17" x14ac:dyDescent="0.35">
      <c r="A34" s="2">
        <v>116</v>
      </c>
      <c r="B34" s="2" t="s">
        <v>76</v>
      </c>
      <c r="C34" s="2" t="s">
        <v>77</v>
      </c>
      <c r="D34" s="2" t="s">
        <v>78</v>
      </c>
      <c r="E34" s="2">
        <v>1046</v>
      </c>
      <c r="F34" s="2" t="s">
        <v>59</v>
      </c>
      <c r="G34" s="2" t="s">
        <v>26</v>
      </c>
      <c r="H34" s="2" t="s">
        <v>15</v>
      </c>
      <c r="I34" s="2" t="s">
        <v>59</v>
      </c>
      <c r="J34" s="2" t="s">
        <v>27</v>
      </c>
      <c r="K34" s="2" t="s">
        <v>18</v>
      </c>
      <c r="L34" s="2" t="s">
        <v>74</v>
      </c>
      <c r="N34" t="str">
        <f>_xlfn.XLOOKUP(B34,[1]Validate!$A:$A,[1]Validate!$A:$A,"-")</f>
        <v>-</v>
      </c>
      <c r="O34" t="str">
        <f>_xlfn.XLOOKUP(B34,[2]Sheet1!$B:$B,[2]Sheet1!$B:$B,"-")</f>
        <v>-</v>
      </c>
      <c r="P34" t="str">
        <f>_xlfn.XLOOKUP(B34,[3]Sheet1!$A:$A,[3]Sheet1!$A:$A,"-")</f>
        <v>-</v>
      </c>
      <c r="Q34" t="str">
        <f>_xlfn.XLOOKUP(B34,[3]Sheet1!$C:$C,[3]Sheet1!$C:$C,"-")</f>
        <v>-</v>
      </c>
    </row>
    <row r="35" spans="1:17" x14ac:dyDescent="0.35">
      <c r="A35" s="2">
        <v>119</v>
      </c>
      <c r="B35" s="2">
        <v>72958</v>
      </c>
      <c r="C35" s="2">
        <v>800006547</v>
      </c>
      <c r="D35" s="2" t="s">
        <v>79</v>
      </c>
      <c r="E35" s="2">
        <v>1046</v>
      </c>
      <c r="F35" s="2" t="s">
        <v>59</v>
      </c>
      <c r="G35" s="2" t="s">
        <v>80</v>
      </c>
      <c r="H35" s="2" t="s">
        <v>15</v>
      </c>
      <c r="I35" s="2" t="s">
        <v>59</v>
      </c>
      <c r="J35" s="2" t="s">
        <v>27</v>
      </c>
      <c r="K35" s="2" t="s">
        <v>18</v>
      </c>
      <c r="L35" s="2" t="s">
        <v>74</v>
      </c>
      <c r="N35" t="str">
        <f>_xlfn.XLOOKUP(B35,[1]Validate!$A:$A,[1]Validate!$A:$A,"-")</f>
        <v>-</v>
      </c>
      <c r="O35" t="str">
        <f>_xlfn.XLOOKUP(B35,[2]Sheet1!$B:$B,[2]Sheet1!$B:$B,"-")</f>
        <v>-</v>
      </c>
      <c r="P35" t="str">
        <f>_xlfn.XLOOKUP(B35,[3]Sheet1!$A:$A,[3]Sheet1!$A:$A,"-")</f>
        <v>-</v>
      </c>
      <c r="Q35" t="str">
        <f>_xlfn.XLOOKUP(B35,[3]Sheet1!$C:$C,[3]Sheet1!$C:$C,"-")</f>
        <v>-</v>
      </c>
    </row>
    <row r="36" spans="1:17" x14ac:dyDescent="0.35">
      <c r="A36" s="2">
        <v>120</v>
      </c>
      <c r="B36" s="2">
        <v>37866</v>
      </c>
      <c r="C36" s="2" t="s">
        <v>81</v>
      </c>
      <c r="D36" s="2" t="s">
        <v>82</v>
      </c>
      <c r="E36" s="2">
        <v>1046</v>
      </c>
      <c r="F36" s="2" t="s">
        <v>59</v>
      </c>
      <c r="G36" s="2" t="s">
        <v>36</v>
      </c>
      <c r="H36" s="2" t="s">
        <v>15</v>
      </c>
      <c r="I36" s="2" t="s">
        <v>59</v>
      </c>
      <c r="J36" s="2" t="s">
        <v>27</v>
      </c>
      <c r="K36" s="2" t="s">
        <v>18</v>
      </c>
      <c r="L36" s="2" t="s">
        <v>74</v>
      </c>
      <c r="N36" t="str">
        <f>_xlfn.XLOOKUP(B36,[1]Validate!$A:$A,[1]Validate!$A:$A,"-")</f>
        <v>-</v>
      </c>
      <c r="O36">
        <f>_xlfn.XLOOKUP(B36,[2]Sheet1!$B:$B,[2]Sheet1!$B:$B,"-")</f>
        <v>37866</v>
      </c>
      <c r="P36">
        <f>_xlfn.XLOOKUP(B36,[3]Sheet1!$A:$A,[3]Sheet1!$A:$A,"-")</f>
        <v>37866</v>
      </c>
      <c r="Q36" t="str">
        <f>_xlfn.XLOOKUP(B36,[3]Sheet1!$C:$C,[3]Sheet1!$C:$C,"-")</f>
        <v>-</v>
      </c>
    </row>
    <row r="37" spans="1:17" x14ac:dyDescent="0.35">
      <c r="A37" s="2">
        <v>122</v>
      </c>
      <c r="B37" s="2" t="s">
        <v>83</v>
      </c>
      <c r="C37" s="2" t="s">
        <v>84</v>
      </c>
      <c r="D37" s="2" t="s">
        <v>85</v>
      </c>
      <c r="E37" s="2">
        <v>1046</v>
      </c>
      <c r="F37" s="2" t="s">
        <v>59</v>
      </c>
      <c r="G37" s="2" t="s">
        <v>14</v>
      </c>
      <c r="H37" s="2" t="s">
        <v>15</v>
      </c>
      <c r="I37" s="2" t="s">
        <v>59</v>
      </c>
      <c r="J37" s="2" t="s">
        <v>27</v>
      </c>
      <c r="K37" s="2" t="s">
        <v>18</v>
      </c>
      <c r="L37" s="2" t="s">
        <v>86</v>
      </c>
      <c r="N37" t="str">
        <f>_xlfn.XLOOKUP(B37,[1]Validate!$A:$A,[1]Validate!$A:$A,"-")</f>
        <v>-</v>
      </c>
      <c r="O37" t="str">
        <f>_xlfn.XLOOKUP(B37,[2]Sheet1!$B:$B,[2]Sheet1!$B:$B,"-")</f>
        <v>19424 / 50050 / 21342</v>
      </c>
      <c r="P37" t="str">
        <f>_xlfn.XLOOKUP(B37,[3]Sheet1!$A:$A,[3]Sheet1!$A:$A,"-")</f>
        <v>-</v>
      </c>
      <c r="Q37" t="str">
        <f>_xlfn.XLOOKUP(B37,[3]Sheet1!$C:$C,[3]Sheet1!$C:$C,"-")</f>
        <v>-</v>
      </c>
    </row>
    <row r="38" spans="1:17" x14ac:dyDescent="0.35">
      <c r="A38" s="2">
        <v>123</v>
      </c>
      <c r="B38" s="2">
        <v>19424</v>
      </c>
      <c r="C38" s="2">
        <v>800009488</v>
      </c>
      <c r="D38" s="2" t="s">
        <v>87</v>
      </c>
      <c r="E38" s="2">
        <v>1046</v>
      </c>
      <c r="F38" s="2" t="s">
        <v>59</v>
      </c>
      <c r="G38" s="2" t="s">
        <v>14</v>
      </c>
      <c r="H38" s="2" t="s">
        <v>15</v>
      </c>
      <c r="I38" s="2" t="s">
        <v>59</v>
      </c>
      <c r="J38" s="2" t="s">
        <v>27</v>
      </c>
      <c r="K38" s="2" t="s">
        <v>18</v>
      </c>
      <c r="L38" s="2" t="s">
        <v>86</v>
      </c>
      <c r="N38" t="str">
        <f>_xlfn.XLOOKUP(B38,[1]Validate!$A:$A,[1]Validate!$A:$A,"-")</f>
        <v>-</v>
      </c>
      <c r="O38" t="str">
        <f>_xlfn.XLOOKUP(B38,[2]Sheet1!$B:$B,[2]Sheet1!$B:$B,"-")</f>
        <v>-</v>
      </c>
      <c r="P38" t="str">
        <f>_xlfn.XLOOKUP(B38,[3]Sheet1!$A:$A,[3]Sheet1!$A:$A,"-")</f>
        <v>-</v>
      </c>
      <c r="Q38" t="str">
        <f>_xlfn.XLOOKUP(B38,[3]Sheet1!$C:$C,[3]Sheet1!$C:$C,"-")</f>
        <v>-</v>
      </c>
    </row>
    <row r="39" spans="1:17" x14ac:dyDescent="0.35">
      <c r="A39" s="2">
        <v>169</v>
      </c>
      <c r="B39" s="2">
        <v>50050</v>
      </c>
      <c r="C39" s="2">
        <v>800006192</v>
      </c>
      <c r="D39" s="2" t="s">
        <v>88</v>
      </c>
      <c r="E39" s="2">
        <v>1046</v>
      </c>
      <c r="F39" s="2" t="s">
        <v>59</v>
      </c>
      <c r="G39" s="2" t="s">
        <v>14</v>
      </c>
      <c r="H39" s="2" t="s">
        <v>15</v>
      </c>
      <c r="I39" s="2" t="s">
        <v>59</v>
      </c>
      <c r="J39" s="2" t="s">
        <v>27</v>
      </c>
      <c r="K39" s="2" t="s">
        <v>18</v>
      </c>
      <c r="L39" s="2" t="s">
        <v>86</v>
      </c>
      <c r="N39" t="str">
        <f>_xlfn.XLOOKUP(B39,[1]Validate!$A:$A,[1]Validate!$A:$A,"-")</f>
        <v>-</v>
      </c>
      <c r="O39">
        <f>_xlfn.XLOOKUP(B39,[2]Sheet1!$B:$B,[2]Sheet1!$B:$B,"-")</f>
        <v>50050</v>
      </c>
      <c r="P39">
        <f>_xlfn.XLOOKUP(B39,[3]Sheet1!$A:$A,[3]Sheet1!$A:$A,"-")</f>
        <v>50050</v>
      </c>
      <c r="Q39">
        <f>_xlfn.XLOOKUP(B39,[3]Sheet1!$C:$C,[3]Sheet1!$C:$C,"-")</f>
        <v>50050</v>
      </c>
    </row>
    <row r="40" spans="1:17" x14ac:dyDescent="0.35">
      <c r="A40" s="2">
        <v>124</v>
      </c>
      <c r="B40" s="2">
        <v>21342</v>
      </c>
      <c r="C40" s="2">
        <v>800017374</v>
      </c>
      <c r="D40" s="2" t="s">
        <v>89</v>
      </c>
      <c r="E40" s="2">
        <v>1046</v>
      </c>
      <c r="F40" s="2" t="s">
        <v>59</v>
      </c>
      <c r="G40" s="2" t="s">
        <v>14</v>
      </c>
      <c r="H40" s="2" t="s">
        <v>15</v>
      </c>
      <c r="I40" s="2" t="s">
        <v>59</v>
      </c>
      <c r="J40" s="2" t="s">
        <v>27</v>
      </c>
      <c r="K40" s="2" t="s">
        <v>18</v>
      </c>
      <c r="L40" s="2" t="s">
        <v>86</v>
      </c>
      <c r="N40">
        <f>_xlfn.XLOOKUP(B40,[1]Validate!$A:$A,[1]Validate!$A:$A,"-")</f>
        <v>21342</v>
      </c>
      <c r="O40">
        <f>_xlfn.XLOOKUP(B40,[2]Sheet1!$B:$B,[2]Sheet1!$B:$B,"-")</f>
        <v>21342</v>
      </c>
      <c r="P40">
        <f>_xlfn.XLOOKUP(B40,[3]Sheet1!$A:$A,[3]Sheet1!$A:$A,"-")</f>
        <v>21342</v>
      </c>
      <c r="Q40">
        <f>_xlfn.XLOOKUP(B40,[3]Sheet1!$C:$C,[3]Sheet1!$C:$C,"-")</f>
        <v>21342</v>
      </c>
    </row>
    <row r="41" spans="1:17" x14ac:dyDescent="0.35">
      <c r="A41" s="2">
        <v>132</v>
      </c>
      <c r="B41" s="2">
        <v>13287</v>
      </c>
      <c r="C41" s="2">
        <v>800002987</v>
      </c>
      <c r="D41" s="2" t="s">
        <v>90</v>
      </c>
      <c r="E41" s="2">
        <v>1080</v>
      </c>
      <c r="F41" s="2" t="s">
        <v>13</v>
      </c>
      <c r="G41" s="2" t="s">
        <v>14</v>
      </c>
      <c r="H41" s="2" t="s">
        <v>15</v>
      </c>
      <c r="I41" s="2" t="s">
        <v>16</v>
      </c>
      <c r="J41" s="2" t="s">
        <v>17</v>
      </c>
      <c r="K41" s="2" t="s">
        <v>18</v>
      </c>
      <c r="L41" s="2" t="s">
        <v>19</v>
      </c>
      <c r="N41" t="str">
        <f>_xlfn.XLOOKUP(B41,[1]Validate!$A:$A,[1]Validate!$A:$A,"-")</f>
        <v>-</v>
      </c>
      <c r="O41" t="str">
        <f>_xlfn.XLOOKUP(B41,[2]Sheet1!$B:$B,[2]Sheet1!$B:$B,"-")</f>
        <v>-</v>
      </c>
      <c r="P41" t="str">
        <f>_xlfn.XLOOKUP(B41,[3]Sheet1!$A:$A,[3]Sheet1!$A:$A,"-")</f>
        <v>-</v>
      </c>
      <c r="Q41" t="str">
        <f>_xlfn.XLOOKUP(B41,[3]Sheet1!$C:$C,[3]Sheet1!$C:$C,"-")</f>
        <v>-</v>
      </c>
    </row>
    <row r="42" spans="1:17" x14ac:dyDescent="0.35">
      <c r="A42" s="2">
        <v>133</v>
      </c>
      <c r="B42" s="2">
        <v>33518</v>
      </c>
      <c r="C42" s="2">
        <v>800030703</v>
      </c>
      <c r="D42" s="2" t="s">
        <v>91</v>
      </c>
      <c r="E42" s="2">
        <v>1046</v>
      </c>
      <c r="F42" s="2" t="s">
        <v>59</v>
      </c>
      <c r="G42" s="2" t="s">
        <v>14</v>
      </c>
      <c r="H42" s="2" t="s">
        <v>15</v>
      </c>
      <c r="I42" s="2" t="s">
        <v>59</v>
      </c>
      <c r="J42" s="2" t="s">
        <v>17</v>
      </c>
      <c r="K42" s="2" t="s">
        <v>18</v>
      </c>
      <c r="L42" s="2" t="s">
        <v>19</v>
      </c>
      <c r="N42">
        <f>_xlfn.XLOOKUP(B42,[1]Validate!$A:$A,[1]Validate!$A:$A,"-")</f>
        <v>33518</v>
      </c>
      <c r="O42">
        <f>_xlfn.XLOOKUP(B42,[2]Sheet1!$B:$B,[2]Sheet1!$B:$B,"-")</f>
        <v>33518</v>
      </c>
      <c r="P42">
        <f>_xlfn.XLOOKUP(B42,[3]Sheet1!$A:$A,[3]Sheet1!$A:$A,"-")</f>
        <v>33518</v>
      </c>
      <c r="Q42">
        <f>_xlfn.XLOOKUP(B42,[3]Sheet1!$C:$C,[3]Sheet1!$C:$C,"-")</f>
        <v>33518</v>
      </c>
    </row>
    <row r="43" spans="1:17" x14ac:dyDescent="0.35">
      <c r="A43" s="2">
        <v>134</v>
      </c>
      <c r="B43" s="2">
        <v>53800</v>
      </c>
      <c r="C43" s="2">
        <v>800006248</v>
      </c>
      <c r="D43" s="2" t="s">
        <v>92</v>
      </c>
      <c r="E43" s="2">
        <v>1080</v>
      </c>
      <c r="F43" s="2" t="s">
        <v>13</v>
      </c>
      <c r="G43" s="2" t="s">
        <v>14</v>
      </c>
      <c r="H43" s="2" t="s">
        <v>15</v>
      </c>
      <c r="I43" s="2" t="s">
        <v>16</v>
      </c>
      <c r="J43" s="2" t="s">
        <v>17</v>
      </c>
      <c r="K43" s="2" t="s">
        <v>18</v>
      </c>
      <c r="L43" s="2" t="s">
        <v>74</v>
      </c>
      <c r="N43">
        <f>_xlfn.XLOOKUP(B43,[1]Validate!$A:$A,[1]Validate!$A:$A,"-")</f>
        <v>53800</v>
      </c>
      <c r="O43" t="str">
        <f>_xlfn.XLOOKUP(B43,[2]Sheet1!$B:$B,[2]Sheet1!$B:$B,"-")</f>
        <v>-</v>
      </c>
      <c r="P43" t="str">
        <f>_xlfn.XLOOKUP(B43,[3]Sheet1!$A:$A,[3]Sheet1!$A:$A,"-")</f>
        <v>-</v>
      </c>
      <c r="Q43" t="str">
        <f>_xlfn.XLOOKUP(B43,[3]Sheet1!$C:$C,[3]Sheet1!$C:$C,"-")</f>
        <v>-</v>
      </c>
    </row>
    <row r="44" spans="1:17" x14ac:dyDescent="0.35">
      <c r="A44" s="2">
        <v>136</v>
      </c>
      <c r="B44" s="2">
        <v>5500</v>
      </c>
      <c r="C44" s="2">
        <v>800000823</v>
      </c>
      <c r="D44" s="2" t="s">
        <v>93</v>
      </c>
      <c r="E44" s="2">
        <v>16081</v>
      </c>
      <c r="F44" s="2" t="s">
        <v>94</v>
      </c>
      <c r="G44" s="2" t="s">
        <v>36</v>
      </c>
      <c r="H44" s="2" t="s">
        <v>95</v>
      </c>
      <c r="I44" s="2" t="s">
        <v>16</v>
      </c>
      <c r="J44" s="2" t="s">
        <v>17</v>
      </c>
      <c r="K44" s="2" t="s">
        <v>18</v>
      </c>
      <c r="L44" s="2" t="s">
        <v>96</v>
      </c>
      <c r="N44">
        <f>_xlfn.XLOOKUP(B44,[1]Validate!$A:$A,[1]Validate!$A:$A,"-")</f>
        <v>5500</v>
      </c>
      <c r="O44" t="str">
        <f>_xlfn.XLOOKUP(B44,[2]Sheet1!$B:$B,[2]Sheet1!$B:$B,"-")</f>
        <v>-</v>
      </c>
      <c r="P44" t="str">
        <f>_xlfn.XLOOKUP(B44,[3]Sheet1!$A:$A,[3]Sheet1!$A:$A,"-")</f>
        <v>-</v>
      </c>
      <c r="Q44" t="str">
        <f>_xlfn.XLOOKUP(B44,[3]Sheet1!$C:$C,[3]Sheet1!$C:$C,"-")</f>
        <v>-</v>
      </c>
    </row>
    <row r="45" spans="1:17" x14ac:dyDescent="0.35">
      <c r="A45" s="2">
        <v>138</v>
      </c>
      <c r="B45" s="2">
        <v>42932</v>
      </c>
      <c r="C45" s="2">
        <v>800042863</v>
      </c>
      <c r="D45" s="2" t="s">
        <v>97</v>
      </c>
      <c r="E45" s="2">
        <v>1046</v>
      </c>
      <c r="F45" s="2" t="s">
        <v>59</v>
      </c>
      <c r="G45" s="2" t="s">
        <v>14</v>
      </c>
      <c r="H45" s="2" t="s">
        <v>15</v>
      </c>
      <c r="I45" s="2" t="s">
        <v>59</v>
      </c>
      <c r="J45" s="2" t="s">
        <v>27</v>
      </c>
      <c r="K45" s="2" t="s">
        <v>18</v>
      </c>
      <c r="L45" s="2" t="s">
        <v>50</v>
      </c>
      <c r="N45">
        <f>_xlfn.XLOOKUP(B45,[1]Validate!$A:$A,[1]Validate!$A:$A,"-")</f>
        <v>42932</v>
      </c>
      <c r="O45">
        <f>_xlfn.XLOOKUP(B45,[2]Sheet1!$B:$B,[2]Sheet1!$B:$B,"-")</f>
        <v>42932</v>
      </c>
      <c r="P45">
        <f>_xlfn.XLOOKUP(B45,[3]Sheet1!$A:$A,[3]Sheet1!$A:$A,"-")</f>
        <v>42932</v>
      </c>
      <c r="Q45">
        <f>_xlfn.XLOOKUP(B45,[3]Sheet1!$C:$C,[3]Sheet1!$C:$C,"-")</f>
        <v>42932</v>
      </c>
    </row>
    <row r="46" spans="1:17" x14ac:dyDescent="0.35">
      <c r="A46" s="2">
        <v>140</v>
      </c>
      <c r="B46" s="2">
        <v>13532</v>
      </c>
      <c r="C46" s="2">
        <v>800003063</v>
      </c>
      <c r="D46" s="2" t="s">
        <v>98</v>
      </c>
      <c r="E46" s="2">
        <v>1080</v>
      </c>
      <c r="F46" s="2" t="s">
        <v>13</v>
      </c>
      <c r="G46" s="2" t="s">
        <v>14</v>
      </c>
      <c r="H46" s="2" t="s">
        <v>15</v>
      </c>
      <c r="I46" s="2" t="s">
        <v>16</v>
      </c>
      <c r="J46" s="2" t="s">
        <v>17</v>
      </c>
      <c r="K46" s="2" t="s">
        <v>18</v>
      </c>
      <c r="L46" s="2" t="s">
        <v>43</v>
      </c>
      <c r="N46">
        <f>_xlfn.XLOOKUP(B46,[1]Validate!$A:$A,[1]Validate!$A:$A,"-")</f>
        <v>13532</v>
      </c>
      <c r="O46" t="str">
        <f>_xlfn.XLOOKUP(B46,[2]Sheet1!$B:$B,[2]Sheet1!$B:$B,"-")</f>
        <v>-</v>
      </c>
      <c r="P46" t="str">
        <f>_xlfn.XLOOKUP(B46,[3]Sheet1!$A:$A,[3]Sheet1!$A:$A,"-")</f>
        <v>-</v>
      </c>
      <c r="Q46" t="str">
        <f>_xlfn.XLOOKUP(B46,[3]Sheet1!$C:$C,[3]Sheet1!$C:$C,"-")</f>
        <v>-</v>
      </c>
    </row>
    <row r="47" spans="1:17" x14ac:dyDescent="0.35">
      <c r="A47" s="2">
        <v>141</v>
      </c>
      <c r="B47" s="2">
        <v>38440</v>
      </c>
      <c r="C47" s="2">
        <v>800037100</v>
      </c>
      <c r="D47" s="2" t="s">
        <v>99</v>
      </c>
      <c r="E47" s="2">
        <v>1080</v>
      </c>
      <c r="F47" s="2" t="s">
        <v>13</v>
      </c>
      <c r="G47" s="2" t="s">
        <v>14</v>
      </c>
      <c r="H47" s="2" t="s">
        <v>15</v>
      </c>
      <c r="I47" s="2" t="s">
        <v>16</v>
      </c>
      <c r="J47" s="2" t="s">
        <v>17</v>
      </c>
      <c r="K47" s="2" t="s">
        <v>18</v>
      </c>
      <c r="L47" s="2" t="s">
        <v>43</v>
      </c>
      <c r="N47">
        <f>_xlfn.XLOOKUP(B47,[1]Validate!$A:$A,[1]Validate!$A:$A,"-")</f>
        <v>38440</v>
      </c>
      <c r="O47">
        <f>_xlfn.XLOOKUP(B47,[2]Sheet1!$B:$B,[2]Sheet1!$B:$B,"-")</f>
        <v>38440</v>
      </c>
      <c r="P47" t="str">
        <f>_xlfn.XLOOKUP(B47,[3]Sheet1!$A:$A,[3]Sheet1!$A:$A,"-")</f>
        <v>-</v>
      </c>
      <c r="Q47" t="str">
        <f>_xlfn.XLOOKUP(B47,[3]Sheet1!$C:$C,[3]Sheet1!$C:$C,"-")</f>
        <v>-</v>
      </c>
    </row>
    <row r="48" spans="1:17" x14ac:dyDescent="0.35">
      <c r="A48" s="2">
        <v>142</v>
      </c>
      <c r="B48" s="2">
        <v>64680</v>
      </c>
      <c r="C48" s="2">
        <v>800006408</v>
      </c>
      <c r="D48" s="2" t="s">
        <v>100</v>
      </c>
      <c r="E48" s="2" t="s">
        <v>24</v>
      </c>
      <c r="F48" s="2" t="s">
        <v>25</v>
      </c>
      <c r="G48" s="2" t="s">
        <v>14</v>
      </c>
      <c r="H48" s="2" t="s">
        <v>15</v>
      </c>
      <c r="I48" s="2" t="s">
        <v>16</v>
      </c>
      <c r="J48" s="2" t="s">
        <v>17</v>
      </c>
      <c r="K48" s="2" t="s">
        <v>18</v>
      </c>
      <c r="L48" s="2" t="s">
        <v>50</v>
      </c>
      <c r="N48">
        <f>_xlfn.XLOOKUP(B48,[1]Validate!$A:$A,[1]Validate!$A:$A,"-")</f>
        <v>64680</v>
      </c>
      <c r="O48">
        <f>_xlfn.XLOOKUP(B48,[2]Sheet1!$B:$B,[2]Sheet1!$B:$B,"-")</f>
        <v>64680</v>
      </c>
      <c r="P48" t="str">
        <f>_xlfn.XLOOKUP(B48,[3]Sheet1!$A:$A,[3]Sheet1!$A:$A,"-")</f>
        <v>-</v>
      </c>
      <c r="Q48" t="str">
        <f>_xlfn.XLOOKUP(B48,[3]Sheet1!$C:$C,[3]Sheet1!$C:$C,"-")</f>
        <v>-</v>
      </c>
    </row>
    <row r="49" spans="1:17" x14ac:dyDescent="0.35">
      <c r="A49" s="2">
        <v>143</v>
      </c>
      <c r="B49" s="2">
        <v>64680</v>
      </c>
      <c r="C49" s="2">
        <v>800006408</v>
      </c>
      <c r="D49" s="2" t="s">
        <v>100</v>
      </c>
      <c r="E49" s="2">
        <v>28450</v>
      </c>
      <c r="F49" s="2" t="s">
        <v>101</v>
      </c>
      <c r="G49" s="2" t="s">
        <v>14</v>
      </c>
      <c r="H49" s="2" t="s">
        <v>95</v>
      </c>
      <c r="I49" s="2" t="s">
        <v>16</v>
      </c>
      <c r="J49" s="2" t="s">
        <v>17</v>
      </c>
      <c r="K49" s="2" t="s">
        <v>18</v>
      </c>
      <c r="L49" s="2" t="s">
        <v>96</v>
      </c>
      <c r="N49">
        <f>_xlfn.XLOOKUP(B49,[1]Validate!$A:$A,[1]Validate!$A:$A,"-")</f>
        <v>64680</v>
      </c>
      <c r="O49">
        <f>_xlfn.XLOOKUP(B49,[2]Sheet1!$B:$B,[2]Sheet1!$B:$B,"-")</f>
        <v>64680</v>
      </c>
      <c r="P49" t="str">
        <f>_xlfn.XLOOKUP(B49,[3]Sheet1!$A:$A,[3]Sheet1!$A:$A,"-")</f>
        <v>-</v>
      </c>
      <c r="Q49" t="str">
        <f>_xlfn.XLOOKUP(B49,[3]Sheet1!$C:$C,[3]Sheet1!$C:$C,"-")</f>
        <v>-</v>
      </c>
    </row>
    <row r="50" spans="1:17" x14ac:dyDescent="0.35">
      <c r="A50" s="2">
        <v>144</v>
      </c>
      <c r="B50" s="2">
        <v>40870</v>
      </c>
      <c r="C50" s="2">
        <v>800041377</v>
      </c>
      <c r="D50" s="2" t="s">
        <v>102</v>
      </c>
      <c r="E50" s="2">
        <v>1046</v>
      </c>
      <c r="F50" s="2" t="s">
        <v>59</v>
      </c>
      <c r="G50" s="2" t="s">
        <v>36</v>
      </c>
      <c r="H50" s="2" t="s">
        <v>15</v>
      </c>
      <c r="I50" s="2" t="s">
        <v>59</v>
      </c>
      <c r="J50" s="2" t="s">
        <v>17</v>
      </c>
      <c r="K50" s="2" t="s">
        <v>18</v>
      </c>
      <c r="L50" s="2" t="s">
        <v>43</v>
      </c>
      <c r="N50">
        <f>_xlfn.XLOOKUP(B50,[1]Validate!$A:$A,[1]Validate!$A:$A,"-")</f>
        <v>40870</v>
      </c>
      <c r="O50" t="str">
        <f>_xlfn.XLOOKUP(B50,[2]Sheet1!$B:$B,[2]Sheet1!$B:$B,"-")</f>
        <v>-</v>
      </c>
      <c r="P50" t="str">
        <f>_xlfn.XLOOKUP(B50,[3]Sheet1!$A:$A,[3]Sheet1!$A:$A,"-")</f>
        <v>-</v>
      </c>
      <c r="Q50" t="str">
        <f>_xlfn.XLOOKUP(B50,[3]Sheet1!$C:$C,[3]Sheet1!$C:$C,"-")</f>
        <v>-</v>
      </c>
    </row>
    <row r="51" spans="1:17" x14ac:dyDescent="0.35">
      <c r="A51" s="2">
        <v>145</v>
      </c>
      <c r="B51" s="2">
        <v>45150</v>
      </c>
      <c r="C51" s="2">
        <v>800044479</v>
      </c>
      <c r="D51" s="2" t="s">
        <v>103</v>
      </c>
      <c r="E51" s="2">
        <v>1046</v>
      </c>
      <c r="F51" s="2" t="s">
        <v>59</v>
      </c>
      <c r="G51" s="2" t="s">
        <v>26</v>
      </c>
      <c r="H51" s="2" t="s">
        <v>15</v>
      </c>
      <c r="I51" s="2" t="s">
        <v>72</v>
      </c>
      <c r="J51" s="2" t="s">
        <v>27</v>
      </c>
      <c r="K51" s="2" t="s">
        <v>18</v>
      </c>
      <c r="L51" s="2" t="s">
        <v>43</v>
      </c>
      <c r="N51">
        <f>_xlfn.XLOOKUP(B51,[1]Validate!$A:$A,[1]Validate!$A:$A,"-")</f>
        <v>45150</v>
      </c>
      <c r="O51">
        <f>_xlfn.XLOOKUP(B51,[2]Sheet1!$B:$B,[2]Sheet1!$B:$B,"-")</f>
        <v>45150</v>
      </c>
      <c r="P51">
        <f>_xlfn.XLOOKUP(B51,[3]Sheet1!$A:$A,[3]Sheet1!$A:$A,"-")</f>
        <v>45150</v>
      </c>
      <c r="Q51">
        <f>_xlfn.XLOOKUP(B51,[3]Sheet1!$C:$C,[3]Sheet1!$C:$C,"-")</f>
        <v>45150</v>
      </c>
    </row>
    <row r="52" spans="1:17" x14ac:dyDescent="0.35">
      <c r="A52" s="2">
        <v>148</v>
      </c>
      <c r="B52" s="2">
        <v>28929</v>
      </c>
      <c r="C52" s="2">
        <v>800023315</v>
      </c>
      <c r="D52" s="2" t="s">
        <v>104</v>
      </c>
      <c r="E52" s="2">
        <v>1080</v>
      </c>
      <c r="F52" s="2" t="s">
        <v>13</v>
      </c>
      <c r="G52" s="2" t="s">
        <v>14</v>
      </c>
      <c r="H52" s="2" t="s">
        <v>15</v>
      </c>
      <c r="I52" s="2" t="s">
        <v>16</v>
      </c>
      <c r="J52" s="2" t="s">
        <v>17</v>
      </c>
      <c r="K52" s="2" t="s">
        <v>18</v>
      </c>
      <c r="L52" s="2" t="s">
        <v>96</v>
      </c>
      <c r="N52">
        <f>_xlfn.XLOOKUP(B52,[1]Validate!$A:$A,[1]Validate!$A:$A,"-")</f>
        <v>28929</v>
      </c>
      <c r="O52">
        <f>_xlfn.XLOOKUP(B52,[2]Sheet1!$B:$B,[2]Sheet1!$B:$B,"-")</f>
        <v>28929</v>
      </c>
      <c r="P52" t="str">
        <f>_xlfn.XLOOKUP(B52,[3]Sheet1!$A:$A,[3]Sheet1!$A:$A,"-")</f>
        <v>-</v>
      </c>
      <c r="Q52" t="str">
        <f>_xlfn.XLOOKUP(B52,[3]Sheet1!$C:$C,[3]Sheet1!$C:$C,"-")</f>
        <v>-</v>
      </c>
    </row>
    <row r="53" spans="1:17" x14ac:dyDescent="0.35">
      <c r="A53" s="2">
        <v>156</v>
      </c>
      <c r="B53" s="2">
        <v>28197</v>
      </c>
      <c r="C53" s="2">
        <v>800023936</v>
      </c>
      <c r="D53" s="2" t="s">
        <v>105</v>
      </c>
      <c r="E53" s="2">
        <v>1080</v>
      </c>
      <c r="F53" s="2" t="s">
        <v>13</v>
      </c>
      <c r="G53" s="2" t="s">
        <v>36</v>
      </c>
      <c r="H53" s="2" t="s">
        <v>15</v>
      </c>
      <c r="I53" s="2" t="s">
        <v>16</v>
      </c>
      <c r="J53" s="2" t="s">
        <v>17</v>
      </c>
      <c r="L53" s="2" t="s">
        <v>50</v>
      </c>
      <c r="N53" t="str">
        <f>_xlfn.XLOOKUP(B53,[1]Validate!$A:$A,[1]Validate!$A:$A,"-")</f>
        <v>-</v>
      </c>
      <c r="O53" t="str">
        <f>_xlfn.XLOOKUP(B53,[2]Sheet1!$B:$B,[2]Sheet1!$B:$B,"-")</f>
        <v>-</v>
      </c>
      <c r="P53" t="str">
        <f>_xlfn.XLOOKUP(B53,[3]Sheet1!$A:$A,[3]Sheet1!$A:$A,"-")</f>
        <v>-</v>
      </c>
      <c r="Q53" t="str">
        <f>_xlfn.XLOOKUP(B53,[3]Sheet1!$C:$C,[3]Sheet1!$C:$C,"-")</f>
        <v>-</v>
      </c>
    </row>
    <row r="54" spans="1:17" s="5" customFormat="1" x14ac:dyDescent="0.35">
      <c r="A54" s="4">
        <v>157</v>
      </c>
      <c r="B54" s="4">
        <v>28824</v>
      </c>
      <c r="C54" s="4">
        <v>800023200</v>
      </c>
      <c r="D54" s="4" t="s">
        <v>106</v>
      </c>
      <c r="E54" s="4">
        <v>1046</v>
      </c>
      <c r="F54" s="4" t="s">
        <v>59</v>
      </c>
      <c r="G54" s="4" t="s">
        <v>80</v>
      </c>
      <c r="H54" s="4" t="s">
        <v>15</v>
      </c>
      <c r="I54" s="4" t="s">
        <v>59</v>
      </c>
      <c r="J54" s="4" t="s">
        <v>17</v>
      </c>
      <c r="K54" s="4" t="s">
        <v>18</v>
      </c>
      <c r="L54" s="4" t="s">
        <v>50</v>
      </c>
      <c r="N54" s="5">
        <f>_xlfn.XLOOKUP(B54,[1]Validate!$A:$A,[1]Validate!$A:$A,"-")</f>
        <v>28824</v>
      </c>
      <c r="O54" s="5">
        <f>_xlfn.XLOOKUP(B54,[2]Sheet1!$B:$B,[2]Sheet1!$B:$B,"-")</f>
        <v>28824</v>
      </c>
      <c r="P54" s="5">
        <f>_xlfn.XLOOKUP(B54,[3]Sheet1!$A:$A,[3]Sheet1!$A:$A,"-")</f>
        <v>28824</v>
      </c>
      <c r="Q54" s="5" t="str">
        <f>_xlfn.XLOOKUP(B54,[3]Sheet1!$C:$C,[3]Sheet1!$C:$C,"-")</f>
        <v>-</v>
      </c>
    </row>
    <row r="55" spans="1:17" x14ac:dyDescent="0.35">
      <c r="A55" s="2">
        <v>158</v>
      </c>
      <c r="B55" s="2">
        <v>32096</v>
      </c>
      <c r="C55" s="2">
        <v>800028826</v>
      </c>
      <c r="D55" s="2" t="s">
        <v>107</v>
      </c>
      <c r="E55" s="2">
        <v>1080</v>
      </c>
      <c r="F55" s="2" t="s">
        <v>13</v>
      </c>
      <c r="G55" s="2" t="s">
        <v>14</v>
      </c>
      <c r="H55" s="2" t="s">
        <v>15</v>
      </c>
      <c r="I55" s="2" t="s">
        <v>16</v>
      </c>
      <c r="J55" s="2" t="s">
        <v>17</v>
      </c>
      <c r="K55" s="2" t="s">
        <v>18</v>
      </c>
      <c r="L55" s="2" t="s">
        <v>19</v>
      </c>
      <c r="N55">
        <f>_xlfn.XLOOKUP(B55,[1]Validate!$A:$A,[1]Validate!$A:$A,"-")</f>
        <v>32096</v>
      </c>
      <c r="O55">
        <f>_xlfn.XLOOKUP(B55,[2]Sheet1!$B:$B,[2]Sheet1!$B:$B,"-")</f>
        <v>32096</v>
      </c>
      <c r="P55" t="str">
        <f>_xlfn.XLOOKUP(B55,[3]Sheet1!$A:$A,[3]Sheet1!$A:$A,"-")</f>
        <v>-</v>
      </c>
      <c r="Q55" t="str">
        <f>_xlfn.XLOOKUP(B55,[3]Sheet1!$C:$C,[3]Sheet1!$C:$C,"-")</f>
        <v>-</v>
      </c>
    </row>
    <row r="56" spans="1:17" x14ac:dyDescent="0.35">
      <c r="A56" s="2">
        <v>159</v>
      </c>
      <c r="B56" s="2">
        <v>41251</v>
      </c>
      <c r="C56" s="2">
        <v>800041729</v>
      </c>
      <c r="D56" s="2" t="s">
        <v>108</v>
      </c>
      <c r="E56" s="2">
        <v>1080</v>
      </c>
      <c r="F56" s="2" t="s">
        <v>13</v>
      </c>
      <c r="G56" s="2" t="s">
        <v>14</v>
      </c>
      <c r="H56" s="2" t="s">
        <v>15</v>
      </c>
      <c r="I56" s="2" t="s">
        <v>16</v>
      </c>
      <c r="J56" s="2" t="s">
        <v>17</v>
      </c>
      <c r="L56" s="2" t="s">
        <v>74</v>
      </c>
      <c r="N56" t="str">
        <f>_xlfn.XLOOKUP(B56,[1]Validate!$A:$A,[1]Validate!$A:$A,"-")</f>
        <v>-</v>
      </c>
      <c r="O56" t="str">
        <f>_xlfn.XLOOKUP(B56,[2]Sheet1!$B:$B,[2]Sheet1!$B:$B,"-")</f>
        <v>-</v>
      </c>
      <c r="P56" t="str">
        <f>_xlfn.XLOOKUP(B56,[3]Sheet1!$A:$A,[3]Sheet1!$A:$A,"-")</f>
        <v>-</v>
      </c>
      <c r="Q56" t="str">
        <f>_xlfn.XLOOKUP(B56,[3]Sheet1!$C:$C,[3]Sheet1!$C:$C,"-")</f>
        <v>-</v>
      </c>
    </row>
    <row r="57" spans="1:17" x14ac:dyDescent="0.35">
      <c r="A57" s="2">
        <v>160</v>
      </c>
      <c r="B57" s="2">
        <v>35281</v>
      </c>
      <c r="C57" s="2">
        <v>800033128</v>
      </c>
      <c r="D57" s="2" t="s">
        <v>109</v>
      </c>
      <c r="E57" s="2" t="s">
        <v>24</v>
      </c>
      <c r="F57" s="2" t="s">
        <v>59</v>
      </c>
      <c r="G57" s="2" t="s">
        <v>14</v>
      </c>
      <c r="H57" s="2" t="s">
        <v>15</v>
      </c>
      <c r="I57" s="2" t="s">
        <v>16</v>
      </c>
      <c r="J57" s="2" t="s">
        <v>27</v>
      </c>
      <c r="L57" s="2" t="s">
        <v>74</v>
      </c>
      <c r="N57">
        <f>_xlfn.XLOOKUP(B57,[1]Validate!$A:$A,[1]Validate!$A:$A,"-")</f>
        <v>35281</v>
      </c>
      <c r="O57">
        <f>_xlfn.XLOOKUP(B57,[2]Sheet1!$B:$B,[2]Sheet1!$B:$B,"-")</f>
        <v>35281</v>
      </c>
      <c r="P57" t="str">
        <f>_xlfn.XLOOKUP(B57,[3]Sheet1!$A:$A,[3]Sheet1!$A:$A,"-")</f>
        <v>-</v>
      </c>
      <c r="Q57" t="str">
        <f>_xlfn.XLOOKUP(B57,[3]Sheet1!$C:$C,[3]Sheet1!$C:$C,"-")</f>
        <v>-</v>
      </c>
    </row>
    <row r="58" spans="1:17" x14ac:dyDescent="0.35">
      <c r="A58" s="2">
        <v>161</v>
      </c>
      <c r="B58" s="2">
        <v>14051</v>
      </c>
      <c r="C58" s="2">
        <v>800003241</v>
      </c>
      <c r="D58" s="2" t="s">
        <v>110</v>
      </c>
      <c r="E58" s="2">
        <v>1080</v>
      </c>
      <c r="F58" s="2" t="s">
        <v>13</v>
      </c>
      <c r="G58" s="2" t="s">
        <v>14</v>
      </c>
      <c r="H58" s="2" t="s">
        <v>15</v>
      </c>
      <c r="I58" s="2" t="s">
        <v>16</v>
      </c>
      <c r="J58" s="2" t="s">
        <v>17</v>
      </c>
      <c r="L58" s="2" t="s">
        <v>96</v>
      </c>
      <c r="N58">
        <f>_xlfn.XLOOKUP(B58,[1]Validate!$A:$A,[1]Validate!$A:$A,"-")</f>
        <v>14051</v>
      </c>
      <c r="O58" t="str">
        <f>_xlfn.XLOOKUP(B58,[2]Sheet1!$B:$B,[2]Sheet1!$B:$B,"-")</f>
        <v>-</v>
      </c>
      <c r="P58" t="str">
        <f>_xlfn.XLOOKUP(B58,[3]Sheet1!$A:$A,[3]Sheet1!$A:$A,"-")</f>
        <v>-</v>
      </c>
      <c r="Q58" t="str">
        <f>_xlfn.XLOOKUP(B58,[3]Sheet1!$C:$C,[3]Sheet1!$C:$C,"-")</f>
        <v>-</v>
      </c>
    </row>
    <row r="59" spans="1:17" x14ac:dyDescent="0.35">
      <c r="A59" s="2">
        <v>162</v>
      </c>
      <c r="B59" s="2">
        <v>45042</v>
      </c>
      <c r="C59" s="2">
        <v>800044373</v>
      </c>
      <c r="D59" s="2" t="s">
        <v>111</v>
      </c>
      <c r="E59" s="2">
        <v>1080</v>
      </c>
      <c r="F59" s="2" t="s">
        <v>13</v>
      </c>
      <c r="G59" s="2" t="s">
        <v>14</v>
      </c>
      <c r="H59" s="2" t="s">
        <v>15</v>
      </c>
      <c r="I59" s="2" t="s">
        <v>16</v>
      </c>
      <c r="J59" s="2" t="s">
        <v>17</v>
      </c>
      <c r="L59" s="2" t="s">
        <v>74</v>
      </c>
      <c r="N59">
        <f>_xlfn.XLOOKUP(B59,[1]Validate!$A:$A,[1]Validate!$A:$A,"-")</f>
        <v>45042</v>
      </c>
      <c r="O59" t="str">
        <f>_xlfn.XLOOKUP(B59,[2]Sheet1!$B:$B,[2]Sheet1!$B:$B,"-")</f>
        <v>-</v>
      </c>
      <c r="P59" t="str">
        <f>_xlfn.XLOOKUP(B59,[3]Sheet1!$A:$A,[3]Sheet1!$A:$A,"-")</f>
        <v>-</v>
      </c>
      <c r="Q59" t="str">
        <f>_xlfn.XLOOKUP(B59,[3]Sheet1!$C:$C,[3]Sheet1!$C:$C,"-")</f>
        <v>-</v>
      </c>
    </row>
    <row r="60" spans="1:17" x14ac:dyDescent="0.35">
      <c r="A60" s="2">
        <v>167</v>
      </c>
      <c r="B60" s="2">
        <v>1125</v>
      </c>
      <c r="C60" s="2">
        <v>800029167</v>
      </c>
      <c r="D60" s="2" t="s">
        <v>112</v>
      </c>
      <c r="E60" s="2">
        <v>1080</v>
      </c>
      <c r="F60" s="2" t="s">
        <v>13</v>
      </c>
      <c r="G60" s="2" t="s">
        <v>14</v>
      </c>
      <c r="H60" s="2" t="s">
        <v>15</v>
      </c>
      <c r="I60" s="2" t="s">
        <v>113</v>
      </c>
      <c r="J60" s="2" t="s">
        <v>17</v>
      </c>
      <c r="L60" s="2" t="s">
        <v>114</v>
      </c>
      <c r="N60" t="str">
        <f>_xlfn.XLOOKUP(B60,[1]Validate!$A:$A,[1]Validate!$A:$A,"-")</f>
        <v>-</v>
      </c>
      <c r="O60" t="str">
        <f>_xlfn.XLOOKUP(B60,[2]Sheet1!$B:$B,[2]Sheet1!$B:$B,"-")</f>
        <v>-</v>
      </c>
      <c r="P60" t="str">
        <f>_xlfn.XLOOKUP(B60,[3]Sheet1!$A:$A,[3]Sheet1!$A:$A,"-")</f>
        <v>-</v>
      </c>
      <c r="Q60" t="str">
        <f>_xlfn.XLOOKUP(B60,[3]Sheet1!$C:$C,[3]Sheet1!$C:$C,"-")</f>
        <v>-</v>
      </c>
    </row>
    <row r="61" spans="1:17" x14ac:dyDescent="0.35">
      <c r="A61" s="2">
        <v>173</v>
      </c>
      <c r="B61" s="2">
        <v>31255</v>
      </c>
      <c r="C61" s="2">
        <v>800005870</v>
      </c>
      <c r="D61" s="2" t="s">
        <v>115</v>
      </c>
      <c r="E61" s="2">
        <v>59683</v>
      </c>
      <c r="F61" s="2" t="s">
        <v>116</v>
      </c>
      <c r="G61" s="2" t="s">
        <v>36</v>
      </c>
      <c r="H61" s="2" t="s">
        <v>95</v>
      </c>
      <c r="I61" s="2" t="s">
        <v>16</v>
      </c>
      <c r="J61" s="2" t="s">
        <v>17</v>
      </c>
      <c r="K61" s="2" t="s">
        <v>18</v>
      </c>
      <c r="L61" s="2" t="s">
        <v>28</v>
      </c>
      <c r="N61" t="str">
        <f>_xlfn.XLOOKUP(B61,[1]Validate!$A:$A,[1]Validate!$A:$A,"-")</f>
        <v>-</v>
      </c>
      <c r="O61" t="str">
        <f>_xlfn.XLOOKUP(B61,[2]Sheet1!$B:$B,[2]Sheet1!$B:$B,"-")</f>
        <v>-</v>
      </c>
      <c r="P61" t="str">
        <f>_xlfn.XLOOKUP(B61,[3]Sheet1!$A:$A,[3]Sheet1!$A:$A,"-")</f>
        <v>-</v>
      </c>
      <c r="Q61" t="str">
        <f>_xlfn.XLOOKUP(B61,[3]Sheet1!$C:$C,[3]Sheet1!$C:$C,"-")</f>
        <v>-</v>
      </c>
    </row>
    <row r="62" spans="1:17" x14ac:dyDescent="0.35">
      <c r="A62" s="2">
        <v>174</v>
      </c>
      <c r="B62" s="2">
        <v>46829</v>
      </c>
      <c r="C62" s="2">
        <v>800046299</v>
      </c>
      <c r="D62" s="2" t="s">
        <v>117</v>
      </c>
      <c r="E62" s="2">
        <v>1080</v>
      </c>
      <c r="F62" s="2" t="s">
        <v>13</v>
      </c>
      <c r="G62" s="2" t="s">
        <v>14</v>
      </c>
      <c r="H62" s="2" t="s">
        <v>15</v>
      </c>
      <c r="I62" s="2" t="s">
        <v>16</v>
      </c>
      <c r="J62" s="2" t="s">
        <v>17</v>
      </c>
      <c r="K62" s="2" t="s">
        <v>18</v>
      </c>
      <c r="L62" s="2" t="s">
        <v>19</v>
      </c>
      <c r="N62">
        <f>_xlfn.XLOOKUP(B62,[1]Validate!$A:$A,[1]Validate!$A:$A,"-")</f>
        <v>46829</v>
      </c>
      <c r="O62">
        <f>_xlfn.XLOOKUP(B62,[2]Sheet1!$B:$B,[2]Sheet1!$B:$B,"-")</f>
        <v>46829</v>
      </c>
      <c r="P62" t="str">
        <f>_xlfn.XLOOKUP(B62,[3]Sheet1!$A:$A,[3]Sheet1!$A:$A,"-")</f>
        <v>-</v>
      </c>
      <c r="Q62" t="str">
        <f>_xlfn.XLOOKUP(B62,[3]Sheet1!$C:$C,[3]Sheet1!$C:$C,"-")</f>
        <v>-</v>
      </c>
    </row>
    <row r="63" spans="1:17" x14ac:dyDescent="0.35">
      <c r="A63" s="2">
        <v>175</v>
      </c>
      <c r="B63" s="2">
        <v>42932</v>
      </c>
      <c r="C63" s="2">
        <v>800042863</v>
      </c>
      <c r="D63" s="2" t="s">
        <v>97</v>
      </c>
      <c r="E63" s="2">
        <v>1080</v>
      </c>
      <c r="F63" s="2" t="s">
        <v>13</v>
      </c>
      <c r="G63" s="2" t="s">
        <v>14</v>
      </c>
      <c r="H63" s="2" t="s">
        <v>15</v>
      </c>
      <c r="I63" s="2" t="s">
        <v>16</v>
      </c>
      <c r="J63" s="2" t="s">
        <v>27</v>
      </c>
      <c r="K63" s="2" t="s">
        <v>18</v>
      </c>
      <c r="L63" s="2" t="s">
        <v>50</v>
      </c>
      <c r="N63">
        <f>_xlfn.XLOOKUP(B63,[1]Validate!$A:$A,[1]Validate!$A:$A,"-")</f>
        <v>42932</v>
      </c>
      <c r="O63">
        <f>_xlfn.XLOOKUP(B63,[2]Sheet1!$B:$B,[2]Sheet1!$B:$B,"-")</f>
        <v>42932</v>
      </c>
      <c r="P63">
        <f>_xlfn.XLOOKUP(B63,[3]Sheet1!$A:$A,[3]Sheet1!$A:$A,"-")</f>
        <v>42932</v>
      </c>
      <c r="Q63">
        <f>_xlfn.XLOOKUP(B63,[3]Sheet1!$C:$C,[3]Sheet1!$C:$C,"-")</f>
        <v>42932</v>
      </c>
    </row>
    <row r="64" spans="1:17" x14ac:dyDescent="0.35">
      <c r="A64" s="2">
        <v>176</v>
      </c>
      <c r="B64" s="2">
        <v>42932</v>
      </c>
      <c r="C64" s="2">
        <v>800042863</v>
      </c>
      <c r="D64" s="2" t="s">
        <v>97</v>
      </c>
      <c r="E64" s="2" t="s">
        <v>24</v>
      </c>
      <c r="F64" s="2" t="s">
        <v>25</v>
      </c>
      <c r="G64" s="2" t="s">
        <v>14</v>
      </c>
      <c r="H64" s="2" t="s">
        <v>15</v>
      </c>
      <c r="I64" s="2" t="s">
        <v>16</v>
      </c>
      <c r="J64" s="2" t="s">
        <v>27</v>
      </c>
      <c r="K64" s="2" t="s">
        <v>18</v>
      </c>
      <c r="L64" s="2" t="s">
        <v>50</v>
      </c>
      <c r="N64">
        <f>_xlfn.XLOOKUP(B64,[1]Validate!$A:$A,[1]Validate!$A:$A,"-")</f>
        <v>42932</v>
      </c>
      <c r="O64">
        <f>_xlfn.XLOOKUP(B64,[2]Sheet1!$B:$B,[2]Sheet1!$B:$B,"-")</f>
        <v>42932</v>
      </c>
      <c r="P64">
        <f>_xlfn.XLOOKUP(B64,[3]Sheet1!$A:$A,[3]Sheet1!$A:$A,"-")</f>
        <v>42932</v>
      </c>
      <c r="Q64">
        <f>_xlfn.XLOOKUP(B64,[3]Sheet1!$C:$C,[3]Sheet1!$C:$C,"-")</f>
        <v>42932</v>
      </c>
    </row>
    <row r="65" spans="1:17" x14ac:dyDescent="0.35">
      <c r="A65" s="2">
        <v>177</v>
      </c>
      <c r="B65" s="2">
        <v>42316</v>
      </c>
      <c r="C65" s="2">
        <v>800042520</v>
      </c>
      <c r="D65" s="2" t="s">
        <v>118</v>
      </c>
      <c r="E65" s="2">
        <v>1080</v>
      </c>
      <c r="F65" s="2" t="s">
        <v>13</v>
      </c>
      <c r="G65" s="2" t="s">
        <v>14</v>
      </c>
      <c r="H65" s="2" t="s">
        <v>15</v>
      </c>
      <c r="I65" s="2" t="s">
        <v>16</v>
      </c>
      <c r="J65" s="2" t="s">
        <v>17</v>
      </c>
      <c r="K65" s="2" t="s">
        <v>18</v>
      </c>
      <c r="L65" s="2" t="s">
        <v>74</v>
      </c>
      <c r="N65">
        <f>_xlfn.XLOOKUP(B65,[1]Validate!$A:$A,[1]Validate!$A:$A,"-")</f>
        <v>42316</v>
      </c>
      <c r="O65" t="str">
        <f>_xlfn.XLOOKUP(B65,[2]Sheet1!$B:$B,[2]Sheet1!$B:$B,"-")</f>
        <v>-</v>
      </c>
      <c r="P65" t="str">
        <f>_xlfn.XLOOKUP(B65,[3]Sheet1!$A:$A,[3]Sheet1!$A:$A,"-")</f>
        <v>-</v>
      </c>
      <c r="Q65" t="str">
        <f>_xlfn.XLOOKUP(B65,[3]Sheet1!$C:$C,[3]Sheet1!$C:$C,"-")</f>
        <v>-</v>
      </c>
    </row>
    <row r="66" spans="1:17" x14ac:dyDescent="0.35">
      <c r="A66" s="2">
        <v>181</v>
      </c>
      <c r="B66" s="2">
        <v>14928</v>
      </c>
      <c r="C66" s="2">
        <v>800003573</v>
      </c>
      <c r="D66" s="2" t="s">
        <v>119</v>
      </c>
      <c r="E66" s="2">
        <v>1046</v>
      </c>
      <c r="F66" s="2" t="s">
        <v>59</v>
      </c>
      <c r="G66" s="2" t="s">
        <v>14</v>
      </c>
      <c r="H66" s="2" t="s">
        <v>15</v>
      </c>
      <c r="I66" s="2" t="s">
        <v>59</v>
      </c>
      <c r="J66" s="2" t="s">
        <v>17</v>
      </c>
      <c r="K66" s="2" t="s">
        <v>18</v>
      </c>
      <c r="L66" s="2" t="s">
        <v>74</v>
      </c>
      <c r="N66">
        <f>_xlfn.XLOOKUP(B66,[1]Validate!$A:$A,[1]Validate!$A:$A,"-")</f>
        <v>14928</v>
      </c>
      <c r="O66">
        <f>_xlfn.XLOOKUP(B66,[2]Sheet1!$B:$B,[2]Sheet1!$B:$B,"-")</f>
        <v>14928</v>
      </c>
      <c r="P66">
        <f>_xlfn.XLOOKUP(B66,[3]Sheet1!$A:$A,[3]Sheet1!$A:$A,"-")</f>
        <v>14928</v>
      </c>
      <c r="Q66">
        <f>_xlfn.XLOOKUP(B66,[3]Sheet1!$C:$C,[3]Sheet1!$C:$C,"-")</f>
        <v>14928</v>
      </c>
    </row>
    <row r="67" spans="1:17" x14ac:dyDescent="0.35">
      <c r="A67" s="2">
        <v>182</v>
      </c>
      <c r="B67" s="2">
        <v>56589</v>
      </c>
      <c r="C67" s="2">
        <v>800006295</v>
      </c>
      <c r="D67" s="2" t="s">
        <v>120</v>
      </c>
      <c r="E67" s="2">
        <v>1046</v>
      </c>
      <c r="F67" s="2" t="s">
        <v>59</v>
      </c>
      <c r="G67" s="2" t="s">
        <v>26</v>
      </c>
      <c r="H67" s="2" t="s">
        <v>15</v>
      </c>
      <c r="I67" s="2" t="s">
        <v>59</v>
      </c>
      <c r="J67" s="2" t="s">
        <v>27</v>
      </c>
      <c r="K67" s="2" t="s">
        <v>18</v>
      </c>
      <c r="L67" s="2" t="s">
        <v>74</v>
      </c>
      <c r="N67" t="str">
        <f>_xlfn.XLOOKUP(B67,[1]Validate!$A:$A,[1]Validate!$A:$A,"-")</f>
        <v>-</v>
      </c>
      <c r="O67">
        <f>_xlfn.XLOOKUP(B67,[2]Sheet1!$B:$B,[2]Sheet1!$B:$B,"-")</f>
        <v>56589</v>
      </c>
      <c r="P67">
        <f>_xlfn.XLOOKUP(B67,[3]Sheet1!$A:$A,[3]Sheet1!$A:$A,"-")</f>
        <v>56589</v>
      </c>
      <c r="Q67">
        <f>_xlfn.XLOOKUP(B67,[3]Sheet1!$C:$C,[3]Sheet1!$C:$C,"-")</f>
        <v>56589</v>
      </c>
    </row>
    <row r="68" spans="1:17" x14ac:dyDescent="0.35">
      <c r="A68" s="2">
        <v>183</v>
      </c>
      <c r="B68" s="2">
        <v>46051</v>
      </c>
      <c r="C68" s="2">
        <v>800045091</v>
      </c>
      <c r="D68" s="2" t="s">
        <v>121</v>
      </c>
      <c r="E68" s="2">
        <v>1046</v>
      </c>
      <c r="F68" s="2" t="s">
        <v>59</v>
      </c>
      <c r="G68" s="2" t="s">
        <v>26</v>
      </c>
      <c r="H68" s="2" t="s">
        <v>15</v>
      </c>
      <c r="I68" s="2" t="s">
        <v>59</v>
      </c>
      <c r="J68" s="2" t="s">
        <v>27</v>
      </c>
      <c r="K68" s="2" t="s">
        <v>18</v>
      </c>
      <c r="L68" s="2" t="s">
        <v>74</v>
      </c>
      <c r="N68" t="str">
        <f>_xlfn.XLOOKUP(B68,[1]Validate!$A:$A,[1]Validate!$A:$A,"-")</f>
        <v>-</v>
      </c>
      <c r="O68">
        <f>_xlfn.XLOOKUP(B68,[2]Sheet1!$B:$B,[2]Sheet1!$B:$B,"-")</f>
        <v>46051</v>
      </c>
      <c r="P68">
        <f>_xlfn.XLOOKUP(B68,[3]Sheet1!$A:$A,[3]Sheet1!$A:$A,"-")</f>
        <v>46051</v>
      </c>
      <c r="Q68">
        <f>_xlfn.XLOOKUP(B68,[3]Sheet1!$C:$C,[3]Sheet1!$C:$C,"-")</f>
        <v>46051</v>
      </c>
    </row>
    <row r="69" spans="1:17" x14ac:dyDescent="0.35">
      <c r="A69" s="2">
        <v>185</v>
      </c>
      <c r="B69" s="2">
        <v>20812</v>
      </c>
      <c r="C69" s="2">
        <v>800012939</v>
      </c>
      <c r="D69" s="2" t="s">
        <v>122</v>
      </c>
      <c r="E69" s="2">
        <v>1080</v>
      </c>
      <c r="F69" s="2" t="s">
        <v>13</v>
      </c>
      <c r="G69" s="2" t="s">
        <v>36</v>
      </c>
      <c r="H69" s="2" t="s">
        <v>15</v>
      </c>
      <c r="I69" s="2" t="s">
        <v>16</v>
      </c>
      <c r="J69" s="2" t="s">
        <v>17</v>
      </c>
      <c r="L69" s="2" t="s">
        <v>28</v>
      </c>
      <c r="N69">
        <f>_xlfn.XLOOKUP(B69,[1]Validate!$A:$A,[1]Validate!$A:$A,"-")</f>
        <v>20812</v>
      </c>
      <c r="O69">
        <f>_xlfn.XLOOKUP(B69,[2]Sheet1!$B:$B,[2]Sheet1!$B:$B,"-")</f>
        <v>20812</v>
      </c>
      <c r="P69" t="str">
        <f>_xlfn.XLOOKUP(B69,[3]Sheet1!$A:$A,[3]Sheet1!$A:$A,"-")</f>
        <v>-</v>
      </c>
      <c r="Q69" t="str">
        <f>_xlfn.XLOOKUP(B69,[3]Sheet1!$C:$C,[3]Sheet1!$C:$C,"-")</f>
        <v>-</v>
      </c>
    </row>
    <row r="70" spans="1:17" x14ac:dyDescent="0.35">
      <c r="A70" s="2">
        <v>186</v>
      </c>
      <c r="B70" s="2">
        <v>30496</v>
      </c>
      <c r="C70" s="2">
        <v>800025402</v>
      </c>
      <c r="D70" s="2" t="s">
        <v>123</v>
      </c>
      <c r="E70" s="2">
        <v>1080</v>
      </c>
      <c r="F70" s="2" t="s">
        <v>13</v>
      </c>
      <c r="G70" s="2" t="s">
        <v>36</v>
      </c>
      <c r="H70" s="2" t="s">
        <v>15</v>
      </c>
      <c r="I70" s="2" t="s">
        <v>16</v>
      </c>
      <c r="J70" s="2" t="s">
        <v>27</v>
      </c>
      <c r="L70" s="2" t="s">
        <v>74</v>
      </c>
      <c r="N70">
        <f>_xlfn.XLOOKUP(B70,[1]Validate!$A:$A,[1]Validate!$A:$A,"-")</f>
        <v>30496</v>
      </c>
      <c r="O70">
        <f>_xlfn.XLOOKUP(B70,[2]Sheet1!$B:$B,[2]Sheet1!$B:$B,"-")</f>
        <v>30496</v>
      </c>
      <c r="P70" t="str">
        <f>_xlfn.XLOOKUP(B70,[3]Sheet1!$A:$A,[3]Sheet1!$A:$A,"-")</f>
        <v>-</v>
      </c>
      <c r="Q70" t="str">
        <f>_xlfn.XLOOKUP(B70,[3]Sheet1!$C:$C,[3]Sheet1!$C:$C,"-")</f>
        <v>-</v>
      </c>
    </row>
    <row r="71" spans="1:17" x14ac:dyDescent="0.35">
      <c r="A71" s="2">
        <v>187</v>
      </c>
      <c r="B71" s="2">
        <v>39810</v>
      </c>
      <c r="C71" s="2">
        <v>800039607</v>
      </c>
      <c r="D71" s="2" t="s">
        <v>124</v>
      </c>
      <c r="E71" s="2">
        <v>1080</v>
      </c>
      <c r="F71" s="2" t="s">
        <v>13</v>
      </c>
      <c r="G71" s="2" t="s">
        <v>36</v>
      </c>
      <c r="H71" s="2" t="s">
        <v>15</v>
      </c>
      <c r="I71" s="2" t="s">
        <v>16</v>
      </c>
      <c r="J71" s="2" t="s">
        <v>27</v>
      </c>
      <c r="L71" s="2" t="s">
        <v>74</v>
      </c>
      <c r="N71">
        <f>_xlfn.XLOOKUP(B71,[1]Validate!$A:$A,[1]Validate!$A:$A,"-")</f>
        <v>39810</v>
      </c>
      <c r="O71">
        <f>_xlfn.XLOOKUP(B71,[2]Sheet1!$B:$B,[2]Sheet1!$B:$B,"-")</f>
        <v>39810</v>
      </c>
      <c r="P71" t="str">
        <f>_xlfn.XLOOKUP(B71,[3]Sheet1!$A:$A,[3]Sheet1!$A:$A,"-")</f>
        <v>-</v>
      </c>
      <c r="Q71" t="str">
        <f>_xlfn.XLOOKUP(B71,[3]Sheet1!$C:$C,[3]Sheet1!$C:$C,"-")</f>
        <v>-</v>
      </c>
    </row>
    <row r="72" spans="1:17" x14ac:dyDescent="0.35">
      <c r="A72" s="2">
        <v>188</v>
      </c>
      <c r="B72" s="2">
        <v>501037</v>
      </c>
      <c r="C72" s="2">
        <v>800048565</v>
      </c>
      <c r="D72" s="2" t="s">
        <v>125</v>
      </c>
      <c r="E72" s="2">
        <v>1080</v>
      </c>
      <c r="F72" s="2" t="s">
        <v>13</v>
      </c>
      <c r="G72" s="2" t="s">
        <v>36</v>
      </c>
      <c r="H72" s="2" t="s">
        <v>15</v>
      </c>
      <c r="I72" s="2" t="s">
        <v>16</v>
      </c>
      <c r="J72" s="2" t="s">
        <v>27</v>
      </c>
      <c r="K72" s="2" t="s">
        <v>18</v>
      </c>
      <c r="L72" s="2" t="s">
        <v>96</v>
      </c>
      <c r="N72">
        <f>_xlfn.XLOOKUP(B72,[1]Validate!$A:$A,[1]Validate!$A:$A,"-")</f>
        <v>501037</v>
      </c>
      <c r="O72" t="str">
        <f>_xlfn.XLOOKUP(B72,[2]Sheet1!$B:$B,[2]Sheet1!$B:$B,"-")</f>
        <v>-</v>
      </c>
      <c r="P72" t="str">
        <f>_xlfn.XLOOKUP(B72,[3]Sheet1!$A:$A,[3]Sheet1!$A:$A,"-")</f>
        <v>-</v>
      </c>
      <c r="Q72" t="str">
        <f>_xlfn.XLOOKUP(B72,[3]Sheet1!$C:$C,[3]Sheet1!$C:$C,"-")</f>
        <v>-</v>
      </c>
    </row>
    <row r="73" spans="1:17" x14ac:dyDescent="0.35">
      <c r="A73" s="2">
        <v>190</v>
      </c>
      <c r="B73" s="2">
        <v>23134</v>
      </c>
      <c r="C73" s="2" t="e">
        <v>#N/A</v>
      </c>
      <c r="D73" s="2" t="s">
        <v>126</v>
      </c>
      <c r="E73" s="2">
        <v>38225</v>
      </c>
      <c r="F73" s="2" t="s">
        <v>127</v>
      </c>
      <c r="G73" s="2" t="s">
        <v>36</v>
      </c>
      <c r="H73" s="2" t="s">
        <v>95</v>
      </c>
      <c r="I73" s="2" t="s">
        <v>16</v>
      </c>
      <c r="J73" s="2" t="s">
        <v>17</v>
      </c>
      <c r="K73" s="2">
        <v>136</v>
      </c>
      <c r="L73" s="2" t="s">
        <v>74</v>
      </c>
      <c r="N73">
        <f>_xlfn.XLOOKUP(B73,[1]Validate!$A:$A,[1]Validate!$A:$A,"-")</f>
        <v>23134</v>
      </c>
      <c r="O73" t="str">
        <f>_xlfn.XLOOKUP(B73,[2]Sheet1!$B:$B,[2]Sheet1!$B:$B,"-")</f>
        <v>-</v>
      </c>
      <c r="P73" t="str">
        <f>_xlfn.XLOOKUP(B73,[3]Sheet1!$A:$A,[3]Sheet1!$A:$A,"-")</f>
        <v>-</v>
      </c>
      <c r="Q73" t="str">
        <f>_xlfn.XLOOKUP(B73,[3]Sheet1!$C:$C,[3]Sheet1!$C:$C,"-")</f>
        <v>-</v>
      </c>
    </row>
    <row r="74" spans="1:17" x14ac:dyDescent="0.35">
      <c r="A74" s="2">
        <v>191</v>
      </c>
      <c r="B74" s="2">
        <v>41469</v>
      </c>
      <c r="C74" s="2">
        <v>800041909</v>
      </c>
      <c r="D74" s="2" t="s">
        <v>128</v>
      </c>
      <c r="E74" s="2">
        <v>1046</v>
      </c>
      <c r="F74" s="2" t="s">
        <v>59</v>
      </c>
      <c r="G74" s="2" t="s">
        <v>14</v>
      </c>
      <c r="H74" s="2" t="s">
        <v>15</v>
      </c>
      <c r="I74" s="2" t="s">
        <v>59</v>
      </c>
      <c r="J74" s="2" t="s">
        <v>17</v>
      </c>
      <c r="K74" s="2" t="s">
        <v>18</v>
      </c>
      <c r="L74" s="2" t="s">
        <v>50</v>
      </c>
      <c r="N74">
        <f>_xlfn.XLOOKUP(B74,[1]Validate!$A:$A,[1]Validate!$A:$A,"-")</f>
        <v>41469</v>
      </c>
      <c r="O74">
        <f>_xlfn.XLOOKUP(B74,[2]Sheet1!$B:$B,[2]Sheet1!$B:$B,"-")</f>
        <v>41469</v>
      </c>
      <c r="P74">
        <f>_xlfn.XLOOKUP(B74,[3]Sheet1!$A:$A,[3]Sheet1!$A:$A,"-")</f>
        <v>41469</v>
      </c>
      <c r="Q74">
        <f>_xlfn.XLOOKUP(B74,[3]Sheet1!$C:$C,[3]Sheet1!$C:$C,"-")</f>
        <v>41469</v>
      </c>
    </row>
  </sheetData>
  <autoFilter ref="T1:U14" xr:uid="{0AB6C254-5D99-4E5C-A576-8044FE43BD6C}">
    <filterColumn colId="1">
      <filters>
        <filter val="10620"/>
        <filter val="1344"/>
        <filter val="18000"/>
        <filter val="2360"/>
        <filter val="3060"/>
        <filter val="37700"/>
        <filter val="570"/>
        <filter val="6484"/>
        <filter val="7100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16D62-2E6A-4C22-B0A4-ADF2D3573E4B}">
  <dimension ref="A2:A21"/>
  <sheetViews>
    <sheetView workbookViewId="0"/>
  </sheetViews>
  <sheetFormatPr defaultRowHeight="14.5" x14ac:dyDescent="0.35"/>
  <sheetData>
    <row r="2" spans="1:1" x14ac:dyDescent="0.35">
      <c r="A2">
        <v>24229</v>
      </c>
    </row>
    <row r="3" spans="1:1" x14ac:dyDescent="0.35">
      <c r="A3">
        <v>1097</v>
      </c>
    </row>
    <row r="4" spans="1:1" x14ac:dyDescent="0.35">
      <c r="A4">
        <v>36019</v>
      </c>
    </row>
    <row r="5" spans="1:1" x14ac:dyDescent="0.35">
      <c r="A5">
        <v>31775</v>
      </c>
    </row>
    <row r="6" spans="1:1" x14ac:dyDescent="0.35">
      <c r="A6">
        <v>14837</v>
      </c>
    </row>
    <row r="7" spans="1:1" x14ac:dyDescent="0.35">
      <c r="A7">
        <v>1020</v>
      </c>
    </row>
    <row r="8" spans="1:1" x14ac:dyDescent="0.35">
      <c r="A8">
        <v>1073</v>
      </c>
    </row>
    <row r="9" spans="1:1" x14ac:dyDescent="0.35">
      <c r="A9">
        <v>30460</v>
      </c>
    </row>
    <row r="10" spans="1:1" x14ac:dyDescent="0.35">
      <c r="A10">
        <v>50050</v>
      </c>
    </row>
    <row r="11" spans="1:1" x14ac:dyDescent="0.35">
      <c r="A11">
        <v>21342</v>
      </c>
    </row>
    <row r="12" spans="1:1" x14ac:dyDescent="0.35">
      <c r="A12">
        <v>33518</v>
      </c>
    </row>
    <row r="13" spans="1:1" x14ac:dyDescent="0.35">
      <c r="A13">
        <v>42932</v>
      </c>
    </row>
    <row r="14" spans="1:1" x14ac:dyDescent="0.35">
      <c r="A14">
        <v>45150</v>
      </c>
    </row>
    <row r="15" spans="1:1" x14ac:dyDescent="0.35">
      <c r="A15">
        <v>28824</v>
      </c>
    </row>
    <row r="16" spans="1:1" x14ac:dyDescent="0.35">
      <c r="A16">
        <v>42932</v>
      </c>
    </row>
    <row r="17" spans="1:1" x14ac:dyDescent="0.35">
      <c r="A17">
        <v>42932</v>
      </c>
    </row>
    <row r="18" spans="1:1" x14ac:dyDescent="0.35">
      <c r="A18">
        <v>14928</v>
      </c>
    </row>
    <row r="19" spans="1:1" x14ac:dyDescent="0.35">
      <c r="A19">
        <v>56589</v>
      </c>
    </row>
    <row r="20" spans="1:1" x14ac:dyDescent="0.35">
      <c r="A20">
        <v>46051</v>
      </c>
    </row>
    <row r="21" spans="1:1" x14ac:dyDescent="0.35">
      <c r="A21">
        <v>41469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BACB8A3A373446B3C4E81719696A6D" ma:contentTypeVersion="6" ma:contentTypeDescription="Create a new document." ma:contentTypeScope="" ma:versionID="c78b59f0a5ad98733ee3d44b687ff79c">
  <xsd:schema xmlns:xsd="http://www.w3.org/2001/XMLSchema" xmlns:xs="http://www.w3.org/2001/XMLSchema" xmlns:p="http://schemas.microsoft.com/office/2006/metadata/properties" xmlns:ns2="c6faf1e3-fad2-4b7f-802b-6446964297b1" targetNamespace="http://schemas.microsoft.com/office/2006/metadata/properties" ma:root="true" ma:fieldsID="656519865aabc744e1bf8a2feb4297ea" ns2:_="">
    <xsd:import namespace="c6faf1e3-fad2-4b7f-802b-6446964297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af1e3-fad2-4b7f-802b-6446964297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7E8D18-356A-4351-A68A-7BF740426B3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556E7F5-C45A-4E16-9173-D469B9535B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faf1e3-fad2-4b7f-802b-6446964297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6FFD4B-9CFD-4AF8-90F8-BB6015CE16E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FLUXOS</vt:lpstr>
      <vt:lpstr>FLUXOS  FOR TEST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Pernarh (DHL Supply Chain)</dc:creator>
  <cp:lastModifiedBy>VINCENT PERNARH (EXTERNAL)</cp:lastModifiedBy>
  <dcterms:created xsi:type="dcterms:W3CDTF">2025-09-17T12:42:12Z</dcterms:created>
  <dcterms:modified xsi:type="dcterms:W3CDTF">2026-02-03T13:45:49Z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0x01010095BACB8A3A373446B3C4E81719696A6D</vt:lpwstr>
  </property>
</Properties>
</file>