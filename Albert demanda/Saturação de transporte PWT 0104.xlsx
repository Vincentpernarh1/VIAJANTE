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C:\Users\perna\Desktop\STALLANTIS\VIAJANTE\Viajante\Demandas\"/>
    </mc:Choice>
  </mc:AlternateContent>
  <xr:revisionPtr revIDLastSave="0" documentId="13_ncr:1_{33432F2C-8DDF-4C89-ACE0-5FE0B8E91F68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QUINTA-FEIRA 17-07 " sheetId="27" state="hidden" r:id="rId1"/>
    <sheet name="18-02 QUA" sheetId="32" state="hidden" r:id="rId2"/>
    <sheet name="Geral" sheetId="1" r:id="rId3"/>
    <sheet name="SABADO" sheetId="24" r:id="rId4"/>
    <sheet name="DOMINGO" sheetId="29" r:id="rId5"/>
    <sheet name="16-02 SEG" sheetId="30" state="hidden" r:id="rId6"/>
    <sheet name="17-02 TER" sheetId="31" state="hidden" r:id="rId7"/>
    <sheet name="06-01-2026 Terça feira" sheetId="28" state="hidden" r:id="rId8"/>
  </sheets>
  <externalReferences>
    <externalReference r:id="rId9"/>
  </externalReferences>
  <definedNames>
    <definedName name="_xlnm._FilterDatabase" localSheetId="7" hidden="1">'06-01-2026 Terça feira'!$A$3:$N$3</definedName>
    <definedName name="_xlnm._FilterDatabase" localSheetId="5" hidden="1">'16-02 SEG'!$A$3:$N$720</definedName>
    <definedName name="_xlnm._FilterDatabase" localSheetId="6" hidden="1">'17-02 TER'!$A$3:$N$720</definedName>
    <definedName name="_xlnm._FilterDatabase" localSheetId="1" hidden="1">'18-02 QUA'!$A$3:$N$720</definedName>
    <definedName name="_xlnm._FilterDatabase" localSheetId="4" hidden="1">DOMINGO!$A$3:$N$3</definedName>
    <definedName name="_xlnm._FilterDatabase" localSheetId="2" hidden="1">Geral!$A$3:$N$715</definedName>
    <definedName name="_xlnm._FilterDatabase" localSheetId="0" hidden="1">'QUINTA-FEIRA 17-07 '!$A$3:$N$3</definedName>
    <definedName name="_xlnm._FilterDatabase" localSheetId="3" hidden="1">SABADO!$A$3:$N$3</definedName>
    <definedName name="Z_544F455A_10DD_4FAF_B7F9_68E46C7F5D61_.wvu.FilterData" localSheetId="7" hidden="1">'06-01-2026 Terça feira'!$A$3:$K$722</definedName>
    <definedName name="Z_544F455A_10DD_4FAF_B7F9_68E46C7F5D61_.wvu.FilterData" localSheetId="5" hidden="1">'16-02 SEG'!$A$3:$K$723</definedName>
    <definedName name="Z_544F455A_10DD_4FAF_B7F9_68E46C7F5D61_.wvu.FilterData" localSheetId="6" hidden="1">'17-02 TER'!$A$3:$K$723</definedName>
    <definedName name="Z_544F455A_10DD_4FAF_B7F9_68E46C7F5D61_.wvu.FilterData" localSheetId="1" hidden="1">'18-02 QUA'!$A$3:$K$723</definedName>
    <definedName name="Z_544F455A_10DD_4FAF_B7F9_68E46C7F5D61_.wvu.FilterData" localSheetId="4" hidden="1">DOMINGO!$A$3:$K$718</definedName>
    <definedName name="Z_544F455A_10DD_4FAF_B7F9_68E46C7F5D61_.wvu.FilterData" localSheetId="2" hidden="1">Geral!$A$3:$K$718</definedName>
    <definedName name="Z_544F455A_10DD_4FAF_B7F9_68E46C7F5D61_.wvu.FilterData" localSheetId="0" hidden="1">'QUINTA-FEIRA 17-07 '!$A$3:$K$720</definedName>
    <definedName name="Z_544F455A_10DD_4FAF_B7F9_68E46C7F5D61_.wvu.FilterData" localSheetId="3" hidden="1">SABADO!$A$3:$K$718</definedName>
    <definedName name="Z_D25FEBD1_23BD_4BE5_8296_EB6AEF0FB55E_.wvu.FilterData" localSheetId="7" hidden="1">'06-01-2026 Terça feira'!$A$1:$K$722</definedName>
    <definedName name="Z_D25FEBD1_23BD_4BE5_8296_EB6AEF0FB55E_.wvu.FilterData" localSheetId="5" hidden="1">'16-02 SEG'!$A$1:$K$723</definedName>
    <definedName name="Z_D25FEBD1_23BD_4BE5_8296_EB6AEF0FB55E_.wvu.FilterData" localSheetId="6" hidden="1">'17-02 TER'!$A$1:$K$723</definedName>
    <definedName name="Z_D25FEBD1_23BD_4BE5_8296_EB6AEF0FB55E_.wvu.FilterData" localSheetId="1" hidden="1">'18-02 QUA'!$A$1:$K$723</definedName>
    <definedName name="Z_D25FEBD1_23BD_4BE5_8296_EB6AEF0FB55E_.wvu.FilterData" localSheetId="4" hidden="1">DOMINGO!$A$1:$K$718</definedName>
    <definedName name="Z_D25FEBD1_23BD_4BE5_8296_EB6AEF0FB55E_.wvu.FilterData" localSheetId="2" hidden="1">Geral!$A$1:$K$718</definedName>
    <definedName name="Z_D25FEBD1_23BD_4BE5_8296_EB6AEF0FB55E_.wvu.FilterData" localSheetId="0" hidden="1">'QUINTA-FEIRA 17-07 '!$A$1:$K$720</definedName>
    <definedName name="Z_D25FEBD1_23BD_4BE5_8296_EB6AEF0FB55E_.wvu.FilterData" localSheetId="3" hidden="1">SABADO!$A$1:$K$718</definedName>
    <definedName name="Z_E076FD90_174D_4707_A50F_01FDF8003311_.wvu.FilterData" localSheetId="7" hidden="1">'06-01-2026 Terça feira'!$A$1:$K$722</definedName>
    <definedName name="Z_E076FD90_174D_4707_A50F_01FDF8003311_.wvu.FilterData" localSheetId="5" hidden="1">'16-02 SEG'!$A$1:$K$723</definedName>
    <definedName name="Z_E076FD90_174D_4707_A50F_01FDF8003311_.wvu.FilterData" localSheetId="6" hidden="1">'17-02 TER'!$A$1:$K$723</definedName>
    <definedName name="Z_E076FD90_174D_4707_A50F_01FDF8003311_.wvu.FilterData" localSheetId="1" hidden="1">'18-02 QUA'!$A$1:$K$723</definedName>
    <definedName name="Z_E076FD90_174D_4707_A50F_01FDF8003311_.wvu.FilterData" localSheetId="4" hidden="1">DOMINGO!$A$1:$K$718</definedName>
    <definedName name="Z_E076FD90_174D_4707_A50F_01FDF8003311_.wvu.FilterData" localSheetId="2" hidden="1">Geral!$A$1:$K$718</definedName>
    <definedName name="Z_E076FD90_174D_4707_A50F_01FDF8003311_.wvu.FilterData" localSheetId="0" hidden="1">'QUINTA-FEIRA 17-07 '!$A$1:$K$720</definedName>
    <definedName name="Z_E076FD90_174D_4707_A50F_01FDF8003311_.wvu.FilterData" localSheetId="3" hidden="1">SABADO!$A$1:$K$718</definedName>
  </definedNames>
  <calcPr calcId="191028"/>
  <customWorkbookViews>
    <customWorkbookView name="Filtro 1" guid="{544F455A-10DD-4FAF-B7F9-68E46C7F5D61}" maximized="1" windowWidth="0" windowHeight="0" activeSheetId="0"/>
    <customWorkbookView name="Filtro 2" guid="{D25FEBD1-23BD-4BE5-8296-EB6AEF0FB55E}" maximized="1" windowWidth="0" windowHeight="0" activeSheetId="0"/>
    <customWorkbookView name="Filtro 3" guid="{E076FD90-174D-4707-A50F-01FDF8003311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G543" i="24" l="1"/>
  <c r="G543" i="1"/>
  <c r="J243" i="29"/>
  <c r="H243" i="29"/>
  <c r="J243" i="24"/>
  <c r="H243" i="24"/>
  <c r="J243" i="1"/>
  <c r="H243" i="1"/>
  <c r="J106" i="29"/>
  <c r="H106" i="29"/>
  <c r="J106" i="24"/>
  <c r="H106" i="24"/>
  <c r="J106" i="1"/>
  <c r="H106" i="1"/>
  <c r="G506" i="24"/>
  <c r="G502" i="24"/>
  <c r="G577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J499" i="1"/>
  <c r="G542" i="24"/>
  <c r="G551" i="24"/>
  <c r="G554" i="24"/>
  <c r="G556" i="24"/>
  <c r="G567" i="24"/>
  <c r="G534" i="24"/>
  <c r="H720" i="32"/>
  <c r="H719" i="32"/>
  <c r="H718" i="32"/>
  <c r="H717" i="32"/>
  <c r="H716" i="32"/>
  <c r="H715" i="32"/>
  <c r="H714" i="32"/>
  <c r="H713" i="32"/>
  <c r="H712" i="32"/>
  <c r="H711" i="32"/>
  <c r="H710" i="32"/>
  <c r="H709" i="32"/>
  <c r="H708" i="32"/>
  <c r="H707" i="32"/>
  <c r="H706" i="32"/>
  <c r="H705" i="32"/>
  <c r="H704" i="32"/>
  <c r="H703" i="32"/>
  <c r="H702" i="32"/>
  <c r="H701" i="32"/>
  <c r="H700" i="32"/>
  <c r="H699" i="32"/>
  <c r="H698" i="32"/>
  <c r="H697" i="32"/>
  <c r="H696" i="32"/>
  <c r="H695" i="32"/>
  <c r="H694" i="32"/>
  <c r="H693" i="32"/>
  <c r="H692" i="32"/>
  <c r="H691" i="32"/>
  <c r="H690" i="32"/>
  <c r="H689" i="32"/>
  <c r="H688" i="32"/>
  <c r="H687" i="32"/>
  <c r="H686" i="32"/>
  <c r="H685" i="32"/>
  <c r="H684" i="32"/>
  <c r="H683" i="32"/>
  <c r="H682" i="32"/>
  <c r="H681" i="32"/>
  <c r="H680" i="32"/>
  <c r="H679" i="32"/>
  <c r="H678" i="32"/>
  <c r="H677" i="32"/>
  <c r="H676" i="32"/>
  <c r="H675" i="32"/>
  <c r="H674" i="32"/>
  <c r="H673" i="32"/>
  <c r="H672" i="32"/>
  <c r="H671" i="32"/>
  <c r="H670" i="32"/>
  <c r="H669" i="32"/>
  <c r="H668" i="32"/>
  <c r="H667" i="32"/>
  <c r="H666" i="32"/>
  <c r="H665" i="32"/>
  <c r="H664" i="32"/>
  <c r="H663" i="32"/>
  <c r="H662" i="32"/>
  <c r="H661" i="32"/>
  <c r="H660" i="32"/>
  <c r="H659" i="32"/>
  <c r="H658" i="32"/>
  <c r="H657" i="32"/>
  <c r="H656" i="32"/>
  <c r="H655" i="32"/>
  <c r="H654" i="32"/>
  <c r="H653" i="32"/>
  <c r="H652" i="32"/>
  <c r="H651" i="32"/>
  <c r="H650" i="32"/>
  <c r="H649" i="32"/>
  <c r="H648" i="32"/>
  <c r="H647" i="32"/>
  <c r="H646" i="32"/>
  <c r="H645" i="32"/>
  <c r="H644" i="32"/>
  <c r="H643" i="32"/>
  <c r="H642" i="32"/>
  <c r="H641" i="32"/>
  <c r="H640" i="32"/>
  <c r="H639" i="32"/>
  <c r="H638" i="32"/>
  <c r="H637" i="32"/>
  <c r="H636" i="32"/>
  <c r="H635" i="32"/>
  <c r="H634" i="32"/>
  <c r="H633" i="32"/>
  <c r="H632" i="32"/>
  <c r="H631" i="32"/>
  <c r="H630" i="32"/>
  <c r="H629" i="32"/>
  <c r="H628" i="32"/>
  <c r="H627" i="32"/>
  <c r="H626" i="32"/>
  <c r="H625" i="32"/>
  <c r="H624" i="32"/>
  <c r="H623" i="32"/>
  <c r="H622" i="32"/>
  <c r="H621" i="32"/>
  <c r="H620" i="32"/>
  <c r="H619" i="32"/>
  <c r="H618" i="32"/>
  <c r="H617" i="32"/>
  <c r="H616" i="32"/>
  <c r="H615" i="32"/>
  <c r="H614" i="32"/>
  <c r="H613" i="32"/>
  <c r="H612" i="32"/>
  <c r="H611" i="32"/>
  <c r="H610" i="32"/>
  <c r="H609" i="32"/>
  <c r="H608" i="32"/>
  <c r="H607" i="32"/>
  <c r="H606" i="32"/>
  <c r="H605" i="32"/>
  <c r="H604" i="32"/>
  <c r="H603" i="32"/>
  <c r="H602" i="32"/>
  <c r="H601" i="32"/>
  <c r="H600" i="32"/>
  <c r="H599" i="32"/>
  <c r="H598" i="32"/>
  <c r="H597" i="32"/>
  <c r="H596" i="32"/>
  <c r="H595" i="32"/>
  <c r="H594" i="32"/>
  <c r="H593" i="32"/>
  <c r="H592" i="32"/>
  <c r="H591" i="32"/>
  <c r="H590" i="32"/>
  <c r="H589" i="32"/>
  <c r="H588" i="32"/>
  <c r="H587" i="32"/>
  <c r="H586" i="32"/>
  <c r="H585" i="32"/>
  <c r="H584" i="32"/>
  <c r="H583" i="32"/>
  <c r="H582" i="32"/>
  <c r="H581" i="32"/>
  <c r="H580" i="32"/>
  <c r="H579" i="32"/>
  <c r="H578" i="32"/>
  <c r="H577" i="32"/>
  <c r="H576" i="32"/>
  <c r="H575" i="32"/>
  <c r="H574" i="32"/>
  <c r="H573" i="32"/>
  <c r="H572" i="32"/>
  <c r="H571" i="32"/>
  <c r="H570" i="32"/>
  <c r="H569" i="32"/>
  <c r="H568" i="32"/>
  <c r="H567" i="32"/>
  <c r="H566" i="32"/>
  <c r="H565" i="32"/>
  <c r="H564" i="32"/>
  <c r="H563" i="32"/>
  <c r="H562" i="32"/>
  <c r="H561" i="32"/>
  <c r="H560" i="32"/>
  <c r="H559" i="32"/>
  <c r="H558" i="32"/>
  <c r="H557" i="32"/>
  <c r="H556" i="32"/>
  <c r="H555" i="32"/>
  <c r="H554" i="32"/>
  <c r="H553" i="32"/>
  <c r="H552" i="32"/>
  <c r="H551" i="32"/>
  <c r="H550" i="32"/>
  <c r="H549" i="32"/>
  <c r="H548" i="32"/>
  <c r="H547" i="32"/>
  <c r="H546" i="32"/>
  <c r="H545" i="32"/>
  <c r="H544" i="32"/>
  <c r="H543" i="32"/>
  <c r="H542" i="32"/>
  <c r="H541" i="32"/>
  <c r="H540" i="32"/>
  <c r="H539" i="32"/>
  <c r="H538" i="32"/>
  <c r="H537" i="32"/>
  <c r="H536" i="32"/>
  <c r="H535" i="32"/>
  <c r="H534" i="32"/>
  <c r="H533" i="32"/>
  <c r="H532" i="32"/>
  <c r="H531" i="32"/>
  <c r="H530" i="32"/>
  <c r="H529" i="32"/>
  <c r="H528" i="32"/>
  <c r="H527" i="32"/>
  <c r="H526" i="32"/>
  <c r="H525" i="32"/>
  <c r="H524" i="32"/>
  <c r="H523" i="32"/>
  <c r="H522" i="32"/>
  <c r="H521" i="32"/>
  <c r="H520" i="32"/>
  <c r="H519" i="32"/>
  <c r="H518" i="32"/>
  <c r="H517" i="32"/>
  <c r="H516" i="32"/>
  <c r="H515" i="32"/>
  <c r="H514" i="32"/>
  <c r="H513" i="32"/>
  <c r="H512" i="32"/>
  <c r="H511" i="32"/>
  <c r="H510" i="32"/>
  <c r="H509" i="32"/>
  <c r="H508" i="32"/>
  <c r="H507" i="32"/>
  <c r="H506" i="32"/>
  <c r="H505" i="32"/>
  <c r="H504" i="32"/>
  <c r="H503" i="32"/>
  <c r="H502" i="32"/>
  <c r="H501" i="32"/>
  <c r="H500" i="32"/>
  <c r="H499" i="32"/>
  <c r="H498" i="32"/>
  <c r="H497" i="32"/>
  <c r="H496" i="32"/>
  <c r="H495" i="32"/>
  <c r="H494" i="32"/>
  <c r="H493" i="32"/>
  <c r="H492" i="32"/>
  <c r="H491" i="32"/>
  <c r="H490" i="32"/>
  <c r="H489" i="32"/>
  <c r="H488" i="32"/>
  <c r="H487" i="32"/>
  <c r="H486" i="32"/>
  <c r="H485" i="32"/>
  <c r="H484" i="32"/>
  <c r="H483" i="32"/>
  <c r="H482" i="32"/>
  <c r="H481" i="32"/>
  <c r="H480" i="32"/>
  <c r="H479" i="32"/>
  <c r="H478" i="32"/>
  <c r="H477" i="32"/>
  <c r="H476" i="32"/>
  <c r="H475" i="32"/>
  <c r="H474" i="32"/>
  <c r="H473" i="32"/>
  <c r="H472" i="32"/>
  <c r="H471" i="32"/>
  <c r="H470" i="32"/>
  <c r="H469" i="32"/>
  <c r="H468" i="32"/>
  <c r="H467" i="32"/>
  <c r="H466" i="32"/>
  <c r="H465" i="32"/>
  <c r="H464" i="32"/>
  <c r="H463" i="32"/>
  <c r="H462" i="32"/>
  <c r="H461" i="32"/>
  <c r="H460" i="32"/>
  <c r="H459" i="32"/>
  <c r="H458" i="32"/>
  <c r="H457" i="32"/>
  <c r="H456" i="32"/>
  <c r="H455" i="32"/>
  <c r="H454" i="32"/>
  <c r="H453" i="32"/>
  <c r="H452" i="32"/>
  <c r="H451" i="32"/>
  <c r="H450" i="32"/>
  <c r="H449" i="32"/>
  <c r="H448" i="32"/>
  <c r="H447" i="32"/>
  <c r="H446" i="32"/>
  <c r="H445" i="32"/>
  <c r="H444" i="32"/>
  <c r="H443" i="32"/>
  <c r="H442" i="32"/>
  <c r="H441" i="32"/>
  <c r="H440" i="32"/>
  <c r="H439" i="32"/>
  <c r="H438" i="32"/>
  <c r="H437" i="32"/>
  <c r="H436" i="32"/>
  <c r="H435" i="32"/>
  <c r="H434" i="32"/>
  <c r="H433" i="32"/>
  <c r="H432" i="32"/>
  <c r="H431" i="32"/>
  <c r="H430" i="32"/>
  <c r="H429" i="32"/>
  <c r="H428" i="32"/>
  <c r="H427" i="32"/>
  <c r="H426" i="32"/>
  <c r="H425" i="32"/>
  <c r="H424" i="32"/>
  <c r="H423" i="32"/>
  <c r="H422" i="32"/>
  <c r="H421" i="32"/>
  <c r="H420" i="32"/>
  <c r="H419" i="32"/>
  <c r="H418" i="32"/>
  <c r="H417" i="32"/>
  <c r="H416" i="32"/>
  <c r="H415" i="32"/>
  <c r="H414" i="32"/>
  <c r="H413" i="32"/>
  <c r="H412" i="32"/>
  <c r="H411" i="32"/>
  <c r="H410" i="32"/>
  <c r="H409" i="32"/>
  <c r="H408" i="32"/>
  <c r="H407" i="32"/>
  <c r="H406" i="32"/>
  <c r="H405" i="32"/>
  <c r="H404" i="32"/>
  <c r="H403" i="32"/>
  <c r="H402" i="32"/>
  <c r="H401" i="32"/>
  <c r="H400" i="32"/>
  <c r="H399" i="32"/>
  <c r="H398" i="32"/>
  <c r="H397" i="32"/>
  <c r="H396" i="32"/>
  <c r="H395" i="32"/>
  <c r="H394" i="32"/>
  <c r="H393" i="32"/>
  <c r="H392" i="32"/>
  <c r="H391" i="32"/>
  <c r="H390" i="32"/>
  <c r="H389" i="32"/>
  <c r="H388" i="32"/>
  <c r="H387" i="32"/>
  <c r="H386" i="32"/>
  <c r="H385" i="32"/>
  <c r="H384" i="32"/>
  <c r="H383" i="32"/>
  <c r="H382" i="32"/>
  <c r="H381" i="32"/>
  <c r="H380" i="32"/>
  <c r="H379" i="32"/>
  <c r="H378" i="32"/>
  <c r="H377" i="32"/>
  <c r="H376" i="32"/>
  <c r="H375" i="32"/>
  <c r="H374" i="32"/>
  <c r="H373" i="32"/>
  <c r="H372" i="32"/>
  <c r="H371" i="32"/>
  <c r="H370" i="32"/>
  <c r="H369" i="32"/>
  <c r="H368" i="32"/>
  <c r="H367" i="32"/>
  <c r="H366" i="32"/>
  <c r="H365" i="32"/>
  <c r="H364" i="32"/>
  <c r="H363" i="32"/>
  <c r="H362" i="32"/>
  <c r="H361" i="32"/>
  <c r="H360" i="32"/>
  <c r="H359" i="32"/>
  <c r="H358" i="32"/>
  <c r="H357" i="32"/>
  <c r="H356" i="32"/>
  <c r="H355" i="32"/>
  <c r="H354" i="32"/>
  <c r="H353" i="32"/>
  <c r="H352" i="32"/>
  <c r="H351" i="32"/>
  <c r="H350" i="32"/>
  <c r="H349" i="32"/>
  <c r="H348" i="32"/>
  <c r="H347" i="32"/>
  <c r="H346" i="32"/>
  <c r="H345" i="32"/>
  <c r="H344" i="32"/>
  <c r="H343" i="32"/>
  <c r="H342" i="32"/>
  <c r="H341" i="32"/>
  <c r="H340" i="32"/>
  <c r="H339" i="32"/>
  <c r="H338" i="32"/>
  <c r="H337" i="32"/>
  <c r="H336" i="32"/>
  <c r="H335" i="32"/>
  <c r="H334" i="32"/>
  <c r="H333" i="32"/>
  <c r="H332" i="32"/>
  <c r="H331" i="32"/>
  <c r="H330" i="32"/>
  <c r="H329" i="32"/>
  <c r="H328" i="32"/>
  <c r="H327" i="32"/>
  <c r="H326" i="32"/>
  <c r="H325" i="32"/>
  <c r="H324" i="32"/>
  <c r="H323" i="32"/>
  <c r="H322" i="32"/>
  <c r="H321" i="32"/>
  <c r="H320" i="32"/>
  <c r="H319" i="32"/>
  <c r="H318" i="32"/>
  <c r="H317" i="32"/>
  <c r="H316" i="32"/>
  <c r="H315" i="32"/>
  <c r="H314" i="32"/>
  <c r="H313" i="32"/>
  <c r="H312" i="32"/>
  <c r="H311" i="32"/>
  <c r="H310" i="32"/>
  <c r="H309" i="32"/>
  <c r="H308" i="32"/>
  <c r="H307" i="32"/>
  <c r="H306" i="32"/>
  <c r="H305" i="32"/>
  <c r="H304" i="32"/>
  <c r="H303" i="32"/>
  <c r="H302" i="32"/>
  <c r="H301" i="32"/>
  <c r="H300" i="32"/>
  <c r="H299" i="32"/>
  <c r="H298" i="32"/>
  <c r="H297" i="32"/>
  <c r="H296" i="32"/>
  <c r="H295" i="32"/>
  <c r="H294" i="32"/>
  <c r="H293" i="32"/>
  <c r="H292" i="32"/>
  <c r="H291" i="32"/>
  <c r="H290" i="32"/>
  <c r="H289" i="32"/>
  <c r="H288" i="32"/>
  <c r="H287" i="32"/>
  <c r="H286" i="32"/>
  <c r="H285" i="32"/>
  <c r="H284" i="32"/>
  <c r="H283" i="32"/>
  <c r="H282" i="32"/>
  <c r="H281" i="32"/>
  <c r="H280" i="32"/>
  <c r="H279" i="32"/>
  <c r="H278" i="32"/>
  <c r="H277" i="32"/>
  <c r="H276" i="32"/>
  <c r="H275" i="32"/>
  <c r="H274" i="32"/>
  <c r="H273" i="32"/>
  <c r="H272" i="32"/>
  <c r="H271" i="32"/>
  <c r="H270" i="32"/>
  <c r="H269" i="32"/>
  <c r="H268" i="32"/>
  <c r="H267" i="32"/>
  <c r="H266" i="32"/>
  <c r="H265" i="32"/>
  <c r="H264" i="32"/>
  <c r="H263" i="32"/>
  <c r="H262" i="32"/>
  <c r="H261" i="32"/>
  <c r="H260" i="32"/>
  <c r="H259" i="32"/>
  <c r="H258" i="32"/>
  <c r="H257" i="32"/>
  <c r="H256" i="32"/>
  <c r="H255" i="32"/>
  <c r="H254" i="32"/>
  <c r="H253" i="32"/>
  <c r="H252" i="32"/>
  <c r="H251" i="32"/>
  <c r="H250" i="32"/>
  <c r="H249" i="32"/>
  <c r="H248" i="32"/>
  <c r="H247" i="32"/>
  <c r="H246" i="32"/>
  <c r="H245" i="32"/>
  <c r="H244" i="32"/>
  <c r="H243" i="32"/>
  <c r="H242" i="32"/>
  <c r="H241" i="32"/>
  <c r="H240" i="32"/>
  <c r="H239" i="32"/>
  <c r="H238" i="32"/>
  <c r="H237" i="32"/>
  <c r="H236" i="32"/>
  <c r="H235" i="32"/>
  <c r="H234" i="32"/>
  <c r="H233" i="32"/>
  <c r="H232" i="32"/>
  <c r="H231" i="32"/>
  <c r="H230" i="32"/>
  <c r="H229" i="32"/>
  <c r="H228" i="32"/>
  <c r="H227" i="32"/>
  <c r="H226" i="32"/>
  <c r="H225" i="32"/>
  <c r="H224" i="32"/>
  <c r="H223" i="32"/>
  <c r="H222" i="32"/>
  <c r="H221" i="32"/>
  <c r="H220" i="32"/>
  <c r="H219" i="32"/>
  <c r="H218" i="32"/>
  <c r="H217" i="32"/>
  <c r="H216" i="32"/>
  <c r="H215" i="32"/>
  <c r="H214" i="32"/>
  <c r="H213" i="32"/>
  <c r="H212" i="32"/>
  <c r="H211" i="32"/>
  <c r="H210" i="32"/>
  <c r="H209" i="32"/>
  <c r="H208" i="32"/>
  <c r="H207" i="32"/>
  <c r="H206" i="32"/>
  <c r="H205" i="32"/>
  <c r="H204" i="32"/>
  <c r="H203" i="32"/>
  <c r="H202" i="32"/>
  <c r="H201" i="32"/>
  <c r="H200" i="32"/>
  <c r="H199" i="32"/>
  <c r="H198" i="32"/>
  <c r="H197" i="32"/>
  <c r="H196" i="32"/>
  <c r="H195" i="32"/>
  <c r="H194" i="32"/>
  <c r="H193" i="32"/>
  <c r="H192" i="32"/>
  <c r="H191" i="32"/>
  <c r="H190" i="32"/>
  <c r="H189" i="32"/>
  <c r="H188" i="32"/>
  <c r="H187" i="32"/>
  <c r="H186" i="32"/>
  <c r="H184" i="32"/>
  <c r="H183" i="32"/>
  <c r="H182" i="32"/>
  <c r="H181" i="32"/>
  <c r="H180" i="32"/>
  <c r="H179" i="32"/>
  <c r="H178" i="32"/>
  <c r="H177" i="32"/>
  <c r="H176" i="32"/>
  <c r="H175" i="32"/>
  <c r="H174" i="32"/>
  <c r="H173" i="32"/>
  <c r="H172" i="32"/>
  <c r="H171" i="32"/>
  <c r="H170" i="32"/>
  <c r="H169" i="32"/>
  <c r="H168" i="32"/>
  <c r="H167" i="32"/>
  <c r="H166" i="32"/>
  <c r="H165" i="32"/>
  <c r="H164" i="32"/>
  <c r="H163" i="32"/>
  <c r="H162" i="32"/>
  <c r="H161" i="32"/>
  <c r="H160" i="32"/>
  <c r="H159" i="32"/>
  <c r="H158" i="32"/>
  <c r="H157" i="32"/>
  <c r="H156" i="32"/>
  <c r="H155" i="32"/>
  <c r="H154" i="32"/>
  <c r="H153" i="32"/>
  <c r="H152" i="32"/>
  <c r="H151" i="32"/>
  <c r="H150" i="32"/>
  <c r="H149" i="32"/>
  <c r="H148" i="32"/>
  <c r="H147" i="32"/>
  <c r="H146" i="32"/>
  <c r="H145" i="32"/>
  <c r="H144" i="32"/>
  <c r="H143" i="32"/>
  <c r="H142" i="32"/>
  <c r="H141" i="32"/>
  <c r="H140" i="32"/>
  <c r="H139" i="32"/>
  <c r="H138" i="32"/>
  <c r="H137" i="32"/>
  <c r="H136" i="32"/>
  <c r="H135" i="32"/>
  <c r="H134" i="32"/>
  <c r="H133" i="32"/>
  <c r="H132" i="32"/>
  <c r="H131" i="32"/>
  <c r="H130" i="32"/>
  <c r="H129" i="32"/>
  <c r="H128" i="32"/>
  <c r="H127" i="32"/>
  <c r="H126" i="32"/>
  <c r="H125" i="32"/>
  <c r="H124" i="32"/>
  <c r="H123" i="32"/>
  <c r="H122" i="32"/>
  <c r="H121" i="32"/>
  <c r="H120" i="32"/>
  <c r="H119" i="32"/>
  <c r="H118" i="32"/>
  <c r="H117" i="32"/>
  <c r="H116" i="32"/>
  <c r="H115" i="32"/>
  <c r="H114" i="32"/>
  <c r="H113" i="32"/>
  <c r="H112" i="32"/>
  <c r="H111" i="32"/>
  <c r="H110" i="32"/>
  <c r="H109" i="32"/>
  <c r="H108" i="32"/>
  <c r="H107" i="32"/>
  <c r="H106" i="32"/>
  <c r="H105" i="32"/>
  <c r="H104" i="32"/>
  <c r="H103" i="32"/>
  <c r="H102" i="32"/>
  <c r="H101" i="32"/>
  <c r="H100" i="32"/>
  <c r="H99" i="32"/>
  <c r="H98" i="32"/>
  <c r="H97" i="32"/>
  <c r="H96" i="32"/>
  <c r="H95" i="32"/>
  <c r="H94" i="32"/>
  <c r="H93" i="32"/>
  <c r="H92" i="32"/>
  <c r="H91" i="32"/>
  <c r="H90" i="32"/>
  <c r="H89" i="32"/>
  <c r="H88" i="32"/>
  <c r="H87" i="32"/>
  <c r="H86" i="32"/>
  <c r="H85" i="32"/>
  <c r="H84" i="32"/>
  <c r="H83" i="32"/>
  <c r="H82" i="32"/>
  <c r="H81" i="32"/>
  <c r="H80" i="32"/>
  <c r="H79" i="32"/>
  <c r="H78" i="32"/>
  <c r="H77" i="32"/>
  <c r="H76" i="32"/>
  <c r="H75" i="32"/>
  <c r="H74" i="32"/>
  <c r="H73" i="32"/>
  <c r="H72" i="32"/>
  <c r="H71" i="32"/>
  <c r="H70" i="32"/>
  <c r="H69" i="32"/>
  <c r="H68" i="32"/>
  <c r="H67" i="32"/>
  <c r="H66" i="32"/>
  <c r="H65" i="32"/>
  <c r="H64" i="32"/>
  <c r="H63" i="32"/>
  <c r="H62" i="32"/>
  <c r="H61" i="32"/>
  <c r="H60" i="32"/>
  <c r="H59" i="32"/>
  <c r="H58" i="32"/>
  <c r="H57" i="32"/>
  <c r="H56" i="32"/>
  <c r="H55" i="32"/>
  <c r="H54" i="32"/>
  <c r="H53" i="32"/>
  <c r="H52" i="32"/>
  <c r="H51" i="32"/>
  <c r="H50" i="32"/>
  <c r="H49" i="32"/>
  <c r="H48" i="32"/>
  <c r="H47" i="32"/>
  <c r="H46" i="32"/>
  <c r="H45" i="32"/>
  <c r="H44" i="32"/>
  <c r="H43" i="32"/>
  <c r="H42" i="32"/>
  <c r="H41" i="32"/>
  <c r="H40" i="32"/>
  <c r="H39" i="32"/>
  <c r="H38" i="32"/>
  <c r="H37" i="32"/>
  <c r="H36" i="32"/>
  <c r="H35" i="32"/>
  <c r="H34" i="32"/>
  <c r="H33" i="32"/>
  <c r="H32" i="32"/>
  <c r="H31" i="32"/>
  <c r="H30" i="32"/>
  <c r="H29" i="32"/>
  <c r="H28" i="32"/>
  <c r="H27" i="32"/>
  <c r="H26" i="32"/>
  <c r="H25" i="32"/>
  <c r="H24" i="32"/>
  <c r="H23" i="32"/>
  <c r="H22" i="32"/>
  <c r="H21" i="32"/>
  <c r="H20" i="32"/>
  <c r="H19" i="32"/>
  <c r="H18" i="32"/>
  <c r="H17" i="32"/>
  <c r="H16" i="32"/>
  <c r="H15" i="32"/>
  <c r="H14" i="32"/>
  <c r="H13" i="32"/>
  <c r="H12" i="32"/>
  <c r="H11" i="32"/>
  <c r="H10" i="32"/>
  <c r="H9" i="32"/>
  <c r="H8" i="32"/>
  <c r="H7" i="32"/>
  <c r="H6" i="32"/>
  <c r="H5" i="32"/>
  <c r="H4" i="32"/>
  <c r="H720" i="31"/>
  <c r="H719" i="31"/>
  <c r="H718" i="31"/>
  <c r="H717" i="31"/>
  <c r="H716" i="31"/>
  <c r="H715" i="31"/>
  <c r="H714" i="31"/>
  <c r="H713" i="31"/>
  <c r="H712" i="31"/>
  <c r="H711" i="31"/>
  <c r="H710" i="31"/>
  <c r="H709" i="31"/>
  <c r="H708" i="31"/>
  <c r="H707" i="31"/>
  <c r="H706" i="31"/>
  <c r="H705" i="31"/>
  <c r="H704" i="31"/>
  <c r="H703" i="31"/>
  <c r="H702" i="31"/>
  <c r="H701" i="31"/>
  <c r="H700" i="31"/>
  <c r="H699" i="31"/>
  <c r="H698" i="31"/>
  <c r="H697" i="31"/>
  <c r="H696" i="31"/>
  <c r="H695" i="31"/>
  <c r="H694" i="31"/>
  <c r="H693" i="31"/>
  <c r="H692" i="31"/>
  <c r="H691" i="31"/>
  <c r="H690" i="31"/>
  <c r="H689" i="31"/>
  <c r="H688" i="31"/>
  <c r="H687" i="31"/>
  <c r="H686" i="31"/>
  <c r="H685" i="31"/>
  <c r="H684" i="31"/>
  <c r="H683" i="31"/>
  <c r="H682" i="31"/>
  <c r="H681" i="31"/>
  <c r="H680" i="31"/>
  <c r="H679" i="31"/>
  <c r="H678" i="31"/>
  <c r="H677" i="31"/>
  <c r="H676" i="31"/>
  <c r="H675" i="31"/>
  <c r="H674" i="31"/>
  <c r="H673" i="31"/>
  <c r="H672" i="31"/>
  <c r="H671" i="31"/>
  <c r="H670" i="31"/>
  <c r="H669" i="31"/>
  <c r="H668" i="31"/>
  <c r="H667" i="31"/>
  <c r="H666" i="31"/>
  <c r="H665" i="31"/>
  <c r="H664" i="31"/>
  <c r="H663" i="31"/>
  <c r="H662" i="31"/>
  <c r="H661" i="31"/>
  <c r="H660" i="31"/>
  <c r="H659" i="31"/>
  <c r="H658" i="31"/>
  <c r="H657" i="31"/>
  <c r="H656" i="31"/>
  <c r="H655" i="31"/>
  <c r="H654" i="31"/>
  <c r="H653" i="31"/>
  <c r="H652" i="31"/>
  <c r="H651" i="31"/>
  <c r="H650" i="31"/>
  <c r="H649" i="31"/>
  <c r="H648" i="31"/>
  <c r="H647" i="31"/>
  <c r="H646" i="31"/>
  <c r="H645" i="31"/>
  <c r="H644" i="31"/>
  <c r="H643" i="31"/>
  <c r="H642" i="31"/>
  <c r="H641" i="31"/>
  <c r="H640" i="31"/>
  <c r="H639" i="31"/>
  <c r="H638" i="31"/>
  <c r="H637" i="31"/>
  <c r="H636" i="31"/>
  <c r="H635" i="31"/>
  <c r="H634" i="31"/>
  <c r="H633" i="31"/>
  <c r="H632" i="31"/>
  <c r="H631" i="31"/>
  <c r="H630" i="31"/>
  <c r="H629" i="31"/>
  <c r="H628" i="31"/>
  <c r="H627" i="31"/>
  <c r="H626" i="31"/>
  <c r="H625" i="31"/>
  <c r="H624" i="31"/>
  <c r="H623" i="31"/>
  <c r="H622" i="31"/>
  <c r="H621" i="31"/>
  <c r="H620" i="31"/>
  <c r="H619" i="31"/>
  <c r="H618" i="31"/>
  <c r="H617" i="31"/>
  <c r="H616" i="31"/>
  <c r="H615" i="31"/>
  <c r="H614" i="31"/>
  <c r="H613" i="31"/>
  <c r="H612" i="31"/>
  <c r="H611" i="31"/>
  <c r="H610" i="31"/>
  <c r="H609" i="31"/>
  <c r="H608" i="31"/>
  <c r="H607" i="31"/>
  <c r="H606" i="31"/>
  <c r="H605" i="31"/>
  <c r="H604" i="31"/>
  <c r="H603" i="31"/>
  <c r="H602" i="31"/>
  <c r="H601" i="31"/>
  <c r="H600" i="31"/>
  <c r="H599" i="31"/>
  <c r="H598" i="31"/>
  <c r="H597" i="31"/>
  <c r="H596" i="31"/>
  <c r="H595" i="31"/>
  <c r="H594" i="31"/>
  <c r="H593" i="31"/>
  <c r="H592" i="31"/>
  <c r="H591" i="31"/>
  <c r="H590" i="31"/>
  <c r="H589" i="31"/>
  <c r="H588" i="31"/>
  <c r="H587" i="31"/>
  <c r="H586" i="31"/>
  <c r="H585" i="31"/>
  <c r="H584" i="31"/>
  <c r="H583" i="31"/>
  <c r="H582" i="31"/>
  <c r="H581" i="31"/>
  <c r="H580" i="31"/>
  <c r="H579" i="31"/>
  <c r="H578" i="31"/>
  <c r="H577" i="31"/>
  <c r="H576" i="31"/>
  <c r="H575" i="31"/>
  <c r="H574" i="31"/>
  <c r="H573" i="31"/>
  <c r="H572" i="31"/>
  <c r="H571" i="31"/>
  <c r="H570" i="31"/>
  <c r="H569" i="31"/>
  <c r="H568" i="31"/>
  <c r="H567" i="31"/>
  <c r="H566" i="31"/>
  <c r="H565" i="31"/>
  <c r="H564" i="31"/>
  <c r="H563" i="31"/>
  <c r="H562" i="31"/>
  <c r="H561" i="31"/>
  <c r="H560" i="31"/>
  <c r="H559" i="31"/>
  <c r="H558" i="31"/>
  <c r="H557" i="31"/>
  <c r="H556" i="31"/>
  <c r="H555" i="31"/>
  <c r="H554" i="31"/>
  <c r="H553" i="31"/>
  <c r="H552" i="31"/>
  <c r="H551" i="31"/>
  <c r="H550" i="31"/>
  <c r="H549" i="31"/>
  <c r="H548" i="31"/>
  <c r="H547" i="31"/>
  <c r="H546" i="31"/>
  <c r="H545" i="31"/>
  <c r="H544" i="31"/>
  <c r="H543" i="31"/>
  <c r="H542" i="31"/>
  <c r="H541" i="31"/>
  <c r="H540" i="31"/>
  <c r="H539" i="31"/>
  <c r="H538" i="31"/>
  <c r="H537" i="31"/>
  <c r="H536" i="31"/>
  <c r="H535" i="31"/>
  <c r="H534" i="31"/>
  <c r="H533" i="31"/>
  <c r="H532" i="31"/>
  <c r="H531" i="31"/>
  <c r="H530" i="31"/>
  <c r="H529" i="31"/>
  <c r="H528" i="31"/>
  <c r="H527" i="31"/>
  <c r="H526" i="31"/>
  <c r="H525" i="31"/>
  <c r="H524" i="31"/>
  <c r="H523" i="31"/>
  <c r="H522" i="31"/>
  <c r="H521" i="31"/>
  <c r="H520" i="31"/>
  <c r="H519" i="31"/>
  <c r="H518" i="31"/>
  <c r="H517" i="31"/>
  <c r="H516" i="31"/>
  <c r="H515" i="31"/>
  <c r="H514" i="31"/>
  <c r="H513" i="31"/>
  <c r="H512" i="31"/>
  <c r="H511" i="31"/>
  <c r="H510" i="31"/>
  <c r="H509" i="31"/>
  <c r="H508" i="31"/>
  <c r="H507" i="31"/>
  <c r="H506" i="31"/>
  <c r="H505" i="31"/>
  <c r="H504" i="31"/>
  <c r="H503" i="31"/>
  <c r="H502" i="31"/>
  <c r="H501" i="31"/>
  <c r="H500" i="31"/>
  <c r="H499" i="31"/>
  <c r="H498" i="31"/>
  <c r="H497" i="31"/>
  <c r="H496" i="31"/>
  <c r="H495" i="31"/>
  <c r="H494" i="31"/>
  <c r="H493" i="31"/>
  <c r="H492" i="31"/>
  <c r="H491" i="31"/>
  <c r="H490" i="31"/>
  <c r="H489" i="31"/>
  <c r="H488" i="31"/>
  <c r="H487" i="31"/>
  <c r="H486" i="31"/>
  <c r="H485" i="31"/>
  <c r="H484" i="31"/>
  <c r="H483" i="31"/>
  <c r="H482" i="31"/>
  <c r="H481" i="31"/>
  <c r="H480" i="31"/>
  <c r="H479" i="31"/>
  <c r="H478" i="31"/>
  <c r="H477" i="31"/>
  <c r="H476" i="31"/>
  <c r="H475" i="31"/>
  <c r="H474" i="31"/>
  <c r="H473" i="31"/>
  <c r="H472" i="31"/>
  <c r="H471" i="31"/>
  <c r="H470" i="31"/>
  <c r="H469" i="31"/>
  <c r="H468" i="31"/>
  <c r="H467" i="31"/>
  <c r="H466" i="31"/>
  <c r="H465" i="31"/>
  <c r="H464" i="31"/>
  <c r="H463" i="31"/>
  <c r="H462" i="31"/>
  <c r="H461" i="31"/>
  <c r="H460" i="31"/>
  <c r="H459" i="31"/>
  <c r="H458" i="31"/>
  <c r="H457" i="31"/>
  <c r="H456" i="31"/>
  <c r="H455" i="31"/>
  <c r="H454" i="31"/>
  <c r="H453" i="31"/>
  <c r="H452" i="31"/>
  <c r="H451" i="31"/>
  <c r="H450" i="31"/>
  <c r="H449" i="31"/>
  <c r="H448" i="31"/>
  <c r="H447" i="31"/>
  <c r="H446" i="31"/>
  <c r="H445" i="31"/>
  <c r="H444" i="31"/>
  <c r="H443" i="31"/>
  <c r="H442" i="31"/>
  <c r="H441" i="31"/>
  <c r="H440" i="31"/>
  <c r="H439" i="31"/>
  <c r="H438" i="31"/>
  <c r="H437" i="31"/>
  <c r="H436" i="31"/>
  <c r="H435" i="31"/>
  <c r="H434" i="31"/>
  <c r="H433" i="31"/>
  <c r="H432" i="31"/>
  <c r="H431" i="31"/>
  <c r="H430" i="31"/>
  <c r="H429" i="31"/>
  <c r="H428" i="31"/>
  <c r="H427" i="31"/>
  <c r="H426" i="31"/>
  <c r="H425" i="31"/>
  <c r="H424" i="31"/>
  <c r="H423" i="31"/>
  <c r="H422" i="31"/>
  <c r="H421" i="31"/>
  <c r="H420" i="31"/>
  <c r="H419" i="31"/>
  <c r="H418" i="31"/>
  <c r="H417" i="31"/>
  <c r="H416" i="31"/>
  <c r="H415" i="31"/>
  <c r="H414" i="31"/>
  <c r="H413" i="31"/>
  <c r="H412" i="31"/>
  <c r="H411" i="31"/>
  <c r="H410" i="31"/>
  <c r="H409" i="31"/>
  <c r="H408" i="31"/>
  <c r="H407" i="31"/>
  <c r="H406" i="31"/>
  <c r="H405" i="31"/>
  <c r="H404" i="31"/>
  <c r="H403" i="31"/>
  <c r="H402" i="31"/>
  <c r="H401" i="31"/>
  <c r="H400" i="31"/>
  <c r="H399" i="31"/>
  <c r="H398" i="31"/>
  <c r="H397" i="31"/>
  <c r="H396" i="31"/>
  <c r="H395" i="31"/>
  <c r="H394" i="31"/>
  <c r="H393" i="31"/>
  <c r="H392" i="31"/>
  <c r="H391" i="31"/>
  <c r="H390" i="31"/>
  <c r="H389" i="31"/>
  <c r="H388" i="31"/>
  <c r="H387" i="31"/>
  <c r="H386" i="31"/>
  <c r="H385" i="31"/>
  <c r="H384" i="31"/>
  <c r="H383" i="31"/>
  <c r="H382" i="31"/>
  <c r="H381" i="31"/>
  <c r="H380" i="31"/>
  <c r="H379" i="31"/>
  <c r="H378" i="31"/>
  <c r="H377" i="31"/>
  <c r="H376" i="31"/>
  <c r="H375" i="31"/>
  <c r="H374" i="31"/>
  <c r="H373" i="31"/>
  <c r="H372" i="31"/>
  <c r="H371" i="31"/>
  <c r="H370" i="31"/>
  <c r="H369" i="31"/>
  <c r="H368" i="31"/>
  <c r="H367" i="31"/>
  <c r="H366" i="31"/>
  <c r="H365" i="31"/>
  <c r="H364" i="31"/>
  <c r="H363" i="31"/>
  <c r="H362" i="31"/>
  <c r="H361" i="31"/>
  <c r="H360" i="31"/>
  <c r="H359" i="31"/>
  <c r="H358" i="31"/>
  <c r="H357" i="31"/>
  <c r="H356" i="31"/>
  <c r="H355" i="31"/>
  <c r="H354" i="31"/>
  <c r="H353" i="31"/>
  <c r="H352" i="31"/>
  <c r="H351" i="31"/>
  <c r="H350" i="31"/>
  <c r="H349" i="31"/>
  <c r="H348" i="31"/>
  <c r="H347" i="31"/>
  <c r="H346" i="31"/>
  <c r="H345" i="31"/>
  <c r="H344" i="31"/>
  <c r="H343" i="31"/>
  <c r="H342" i="31"/>
  <c r="H341" i="31"/>
  <c r="H340" i="31"/>
  <c r="H339" i="31"/>
  <c r="H338" i="31"/>
  <c r="H337" i="31"/>
  <c r="H336" i="31"/>
  <c r="H335" i="31"/>
  <c r="H334" i="31"/>
  <c r="H333" i="31"/>
  <c r="H332" i="31"/>
  <c r="H331" i="31"/>
  <c r="H330" i="31"/>
  <c r="H329" i="31"/>
  <c r="H328" i="31"/>
  <c r="H327" i="31"/>
  <c r="H326" i="31"/>
  <c r="H325" i="31"/>
  <c r="H324" i="31"/>
  <c r="H323" i="31"/>
  <c r="H322" i="31"/>
  <c r="H321" i="31"/>
  <c r="H320" i="31"/>
  <c r="H319" i="31"/>
  <c r="H318" i="31"/>
  <c r="H317" i="31"/>
  <c r="H316" i="31"/>
  <c r="H315" i="31"/>
  <c r="H314" i="31"/>
  <c r="H313" i="31"/>
  <c r="H312" i="31"/>
  <c r="H311" i="31"/>
  <c r="H310" i="31"/>
  <c r="H309" i="31"/>
  <c r="H308" i="31"/>
  <c r="H307" i="31"/>
  <c r="H306" i="31"/>
  <c r="H305" i="31"/>
  <c r="H304" i="31"/>
  <c r="H303" i="31"/>
  <c r="H302" i="31"/>
  <c r="H301" i="31"/>
  <c r="H300" i="31"/>
  <c r="H299" i="31"/>
  <c r="H298" i="31"/>
  <c r="H297" i="31"/>
  <c r="H296" i="31"/>
  <c r="H295" i="31"/>
  <c r="H294" i="31"/>
  <c r="H293" i="31"/>
  <c r="H292" i="31"/>
  <c r="H291" i="31"/>
  <c r="H290" i="31"/>
  <c r="H289" i="31"/>
  <c r="H288" i="31"/>
  <c r="H287" i="31"/>
  <c r="H286" i="31"/>
  <c r="H285" i="31"/>
  <c r="H284" i="31"/>
  <c r="H283" i="31"/>
  <c r="H282" i="31"/>
  <c r="H281" i="31"/>
  <c r="H280" i="31"/>
  <c r="H279" i="31"/>
  <c r="H278" i="31"/>
  <c r="H277" i="31"/>
  <c r="H276" i="31"/>
  <c r="H275" i="31"/>
  <c r="H274" i="31"/>
  <c r="H273" i="31"/>
  <c r="H272" i="31"/>
  <c r="H271" i="31"/>
  <c r="H270" i="31"/>
  <c r="H269" i="31"/>
  <c r="H268" i="31"/>
  <c r="H267" i="31"/>
  <c r="H266" i="31"/>
  <c r="H265" i="31"/>
  <c r="H264" i="31"/>
  <c r="H263" i="31"/>
  <c r="H262" i="31"/>
  <c r="H261" i="31"/>
  <c r="H260" i="31"/>
  <c r="H259" i="31"/>
  <c r="H258" i="31"/>
  <c r="H257" i="31"/>
  <c r="H256" i="31"/>
  <c r="H255" i="31"/>
  <c r="H254" i="31"/>
  <c r="H253" i="31"/>
  <c r="H252" i="31"/>
  <c r="H251" i="31"/>
  <c r="H250" i="31"/>
  <c r="H249" i="31"/>
  <c r="H248" i="31"/>
  <c r="H247" i="31"/>
  <c r="H246" i="31"/>
  <c r="H245" i="31"/>
  <c r="H244" i="31"/>
  <c r="H243" i="31"/>
  <c r="H242" i="31"/>
  <c r="H241" i="31"/>
  <c r="H240" i="31"/>
  <c r="H239" i="31"/>
  <c r="H238" i="31"/>
  <c r="H237" i="31"/>
  <c r="H236" i="31"/>
  <c r="H235" i="31"/>
  <c r="H234" i="31"/>
  <c r="H233" i="31"/>
  <c r="H232" i="31"/>
  <c r="H231" i="31"/>
  <c r="H230" i="31"/>
  <c r="H229" i="31"/>
  <c r="H228" i="31"/>
  <c r="H227" i="31"/>
  <c r="H226" i="31"/>
  <c r="H225" i="31"/>
  <c r="H224" i="31"/>
  <c r="H223" i="31"/>
  <c r="H222" i="31"/>
  <c r="H221" i="31"/>
  <c r="H220" i="31"/>
  <c r="H219" i="31"/>
  <c r="H218" i="31"/>
  <c r="H217" i="31"/>
  <c r="H216" i="31"/>
  <c r="H215" i="31"/>
  <c r="H214" i="31"/>
  <c r="H213" i="31"/>
  <c r="H212" i="31"/>
  <c r="H211" i="31"/>
  <c r="H210" i="31"/>
  <c r="H209" i="31"/>
  <c r="H208" i="31"/>
  <c r="H207" i="31"/>
  <c r="H206" i="31"/>
  <c r="H205" i="31"/>
  <c r="H204" i="31"/>
  <c r="H203" i="31"/>
  <c r="H202" i="31"/>
  <c r="H201" i="31"/>
  <c r="H200" i="31"/>
  <c r="H199" i="31"/>
  <c r="H198" i="31"/>
  <c r="H197" i="31"/>
  <c r="H196" i="31"/>
  <c r="H195" i="31"/>
  <c r="H194" i="31"/>
  <c r="H193" i="31"/>
  <c r="H192" i="31"/>
  <c r="H191" i="31"/>
  <c r="H190" i="31"/>
  <c r="H189" i="31"/>
  <c r="H188" i="31"/>
  <c r="H187" i="31"/>
  <c r="H186" i="31"/>
  <c r="H184" i="31"/>
  <c r="H183" i="31"/>
  <c r="H182" i="31"/>
  <c r="H181" i="31"/>
  <c r="H180" i="31"/>
  <c r="H179" i="31"/>
  <c r="H178" i="31"/>
  <c r="H177" i="31"/>
  <c r="H176" i="31"/>
  <c r="H175" i="31"/>
  <c r="H174" i="31"/>
  <c r="H173" i="31"/>
  <c r="H172" i="31"/>
  <c r="H171" i="31"/>
  <c r="H170" i="31"/>
  <c r="H169" i="31"/>
  <c r="H168" i="31"/>
  <c r="H167" i="31"/>
  <c r="H166" i="31"/>
  <c r="H165" i="31"/>
  <c r="H164" i="31"/>
  <c r="H163" i="31"/>
  <c r="H162" i="31"/>
  <c r="H161" i="31"/>
  <c r="H160" i="31"/>
  <c r="H159" i="31"/>
  <c r="H158" i="31"/>
  <c r="H157" i="31"/>
  <c r="H156" i="31"/>
  <c r="H155" i="31"/>
  <c r="H154" i="31"/>
  <c r="H153" i="31"/>
  <c r="H152" i="31"/>
  <c r="H151" i="31"/>
  <c r="H150" i="31"/>
  <c r="H149" i="31"/>
  <c r="H148" i="31"/>
  <c r="H147" i="31"/>
  <c r="H146" i="31"/>
  <c r="H145" i="31"/>
  <c r="H144" i="31"/>
  <c r="H143" i="31"/>
  <c r="H142" i="31"/>
  <c r="H141" i="31"/>
  <c r="H140" i="31"/>
  <c r="H139" i="31"/>
  <c r="H138" i="31"/>
  <c r="H137" i="31"/>
  <c r="H136" i="31"/>
  <c r="H135" i="31"/>
  <c r="H134" i="31"/>
  <c r="H133" i="31"/>
  <c r="H132" i="31"/>
  <c r="H131" i="31"/>
  <c r="H130" i="31"/>
  <c r="H129" i="31"/>
  <c r="H128" i="31"/>
  <c r="H127" i="31"/>
  <c r="H126" i="31"/>
  <c r="H125" i="31"/>
  <c r="H124" i="31"/>
  <c r="H123" i="31"/>
  <c r="H122" i="31"/>
  <c r="H121" i="31"/>
  <c r="H120" i="31"/>
  <c r="H119" i="31"/>
  <c r="H118" i="31"/>
  <c r="H117" i="31"/>
  <c r="H116" i="31"/>
  <c r="H115" i="31"/>
  <c r="H114" i="31"/>
  <c r="H113" i="31"/>
  <c r="H112" i="31"/>
  <c r="H111" i="31"/>
  <c r="H110" i="31"/>
  <c r="H109" i="31"/>
  <c r="H108" i="31"/>
  <c r="H107" i="31"/>
  <c r="H106" i="31"/>
  <c r="H105" i="31"/>
  <c r="H104" i="31"/>
  <c r="H103" i="31"/>
  <c r="H102" i="31"/>
  <c r="H101" i="31"/>
  <c r="H100" i="31"/>
  <c r="H99" i="31"/>
  <c r="H98" i="31"/>
  <c r="H97" i="31"/>
  <c r="H96" i="31"/>
  <c r="H95" i="31"/>
  <c r="H94" i="31"/>
  <c r="H93" i="31"/>
  <c r="H92" i="31"/>
  <c r="H91" i="31"/>
  <c r="H90" i="31"/>
  <c r="H89" i="31"/>
  <c r="H88" i="31"/>
  <c r="H87" i="31"/>
  <c r="H86" i="31"/>
  <c r="H85" i="31"/>
  <c r="H84" i="31"/>
  <c r="H83" i="31"/>
  <c r="H82" i="31"/>
  <c r="H81" i="31"/>
  <c r="H80" i="31"/>
  <c r="H79" i="31"/>
  <c r="H78" i="31"/>
  <c r="H77" i="31"/>
  <c r="H76" i="31"/>
  <c r="H75" i="31"/>
  <c r="H74" i="31"/>
  <c r="H73" i="31"/>
  <c r="H72" i="31"/>
  <c r="H71" i="31"/>
  <c r="H70" i="31"/>
  <c r="H69" i="31"/>
  <c r="H68" i="31"/>
  <c r="H67" i="31"/>
  <c r="H66" i="31"/>
  <c r="H65" i="31"/>
  <c r="H64" i="31"/>
  <c r="H63" i="31"/>
  <c r="H62" i="31"/>
  <c r="H61" i="31"/>
  <c r="H60" i="31"/>
  <c r="H59" i="31"/>
  <c r="H58" i="31"/>
  <c r="H57" i="31"/>
  <c r="H56" i="31"/>
  <c r="H55" i="31"/>
  <c r="H54" i="31"/>
  <c r="H53" i="31"/>
  <c r="H52" i="31"/>
  <c r="H51" i="31"/>
  <c r="H50" i="31"/>
  <c r="H49" i="31"/>
  <c r="H48" i="31"/>
  <c r="H47" i="31"/>
  <c r="H46" i="31"/>
  <c r="H45" i="31"/>
  <c r="H44" i="31"/>
  <c r="H43" i="31"/>
  <c r="H42" i="31"/>
  <c r="H41" i="31"/>
  <c r="H40" i="31"/>
  <c r="H39" i="31"/>
  <c r="H38" i="31"/>
  <c r="H37" i="31"/>
  <c r="H36" i="31"/>
  <c r="H35" i="31"/>
  <c r="H34" i="31"/>
  <c r="H33" i="31"/>
  <c r="H32" i="31"/>
  <c r="H31" i="31"/>
  <c r="H30" i="31"/>
  <c r="H29" i="31"/>
  <c r="H28" i="31"/>
  <c r="H27" i="31"/>
  <c r="H26" i="31"/>
  <c r="H25" i="31"/>
  <c r="H24" i="31"/>
  <c r="H23" i="31"/>
  <c r="H22" i="31"/>
  <c r="H21" i="31"/>
  <c r="H20" i="31"/>
  <c r="H19" i="31"/>
  <c r="H18" i="31"/>
  <c r="H17" i="31"/>
  <c r="H16" i="31"/>
  <c r="H15" i="31"/>
  <c r="H14" i="31"/>
  <c r="H13" i="31"/>
  <c r="H12" i="31"/>
  <c r="H11" i="31"/>
  <c r="H10" i="31"/>
  <c r="H9" i="31"/>
  <c r="H8" i="31"/>
  <c r="H7" i="31"/>
  <c r="H6" i="31"/>
  <c r="H5" i="31"/>
  <c r="H4" i="31"/>
  <c r="H720" i="30"/>
  <c r="H719" i="30"/>
  <c r="H718" i="30"/>
  <c r="H717" i="30"/>
  <c r="H716" i="30"/>
  <c r="H715" i="30"/>
  <c r="H714" i="30"/>
  <c r="H713" i="30"/>
  <c r="H712" i="30"/>
  <c r="H711" i="30"/>
  <c r="H710" i="30"/>
  <c r="H709" i="30"/>
  <c r="H708" i="30"/>
  <c r="H707" i="30"/>
  <c r="H706" i="30"/>
  <c r="H705" i="30"/>
  <c r="H704" i="30"/>
  <c r="H703" i="30"/>
  <c r="H702" i="30"/>
  <c r="H701" i="30"/>
  <c r="H700" i="30"/>
  <c r="H699" i="30"/>
  <c r="H698" i="30"/>
  <c r="H697" i="30"/>
  <c r="H696" i="30"/>
  <c r="H695" i="30"/>
  <c r="H694" i="30"/>
  <c r="H693" i="30"/>
  <c r="H692" i="30"/>
  <c r="H691" i="30"/>
  <c r="H690" i="30"/>
  <c r="H689" i="30"/>
  <c r="H688" i="30"/>
  <c r="H687" i="30"/>
  <c r="H686" i="30"/>
  <c r="H685" i="30"/>
  <c r="H684" i="30"/>
  <c r="H683" i="30"/>
  <c r="H682" i="30"/>
  <c r="H681" i="30"/>
  <c r="H680" i="30"/>
  <c r="H679" i="30"/>
  <c r="H678" i="30"/>
  <c r="H677" i="30"/>
  <c r="H676" i="30"/>
  <c r="H675" i="30"/>
  <c r="H674" i="30"/>
  <c r="H673" i="30"/>
  <c r="H672" i="30"/>
  <c r="H671" i="30"/>
  <c r="H670" i="30"/>
  <c r="H669" i="30"/>
  <c r="H668" i="30"/>
  <c r="H667" i="30"/>
  <c r="H666" i="30"/>
  <c r="H665" i="30"/>
  <c r="H664" i="30"/>
  <c r="H663" i="30"/>
  <c r="H662" i="30"/>
  <c r="H661" i="30"/>
  <c r="H660" i="30"/>
  <c r="H659" i="30"/>
  <c r="H658" i="30"/>
  <c r="H657" i="30"/>
  <c r="H656" i="30"/>
  <c r="H655" i="30"/>
  <c r="H654" i="30"/>
  <c r="H653" i="30"/>
  <c r="H652" i="30"/>
  <c r="H651" i="30"/>
  <c r="H650" i="30"/>
  <c r="H649" i="30"/>
  <c r="H648" i="30"/>
  <c r="H647" i="30"/>
  <c r="H646" i="30"/>
  <c r="H645" i="30"/>
  <c r="H644" i="30"/>
  <c r="H643" i="30"/>
  <c r="H642" i="30"/>
  <c r="H641" i="30"/>
  <c r="H640" i="30"/>
  <c r="H639" i="30"/>
  <c r="H638" i="30"/>
  <c r="H637" i="30"/>
  <c r="H636" i="30"/>
  <c r="H635" i="30"/>
  <c r="H634" i="30"/>
  <c r="H633" i="30"/>
  <c r="H632" i="30"/>
  <c r="H631" i="30"/>
  <c r="H630" i="30"/>
  <c r="H629" i="30"/>
  <c r="H628" i="30"/>
  <c r="H627" i="30"/>
  <c r="H626" i="30"/>
  <c r="H625" i="30"/>
  <c r="H624" i="30"/>
  <c r="H623" i="30"/>
  <c r="H622" i="30"/>
  <c r="H621" i="30"/>
  <c r="H620" i="30"/>
  <c r="H619" i="30"/>
  <c r="H618" i="30"/>
  <c r="H617" i="30"/>
  <c r="H616" i="30"/>
  <c r="H615" i="30"/>
  <c r="H614" i="30"/>
  <c r="H613" i="30"/>
  <c r="H612" i="30"/>
  <c r="H611" i="30"/>
  <c r="H610" i="30"/>
  <c r="H609" i="30"/>
  <c r="H608" i="30"/>
  <c r="H607" i="30"/>
  <c r="H606" i="30"/>
  <c r="H605" i="30"/>
  <c r="H604" i="30"/>
  <c r="H603" i="30"/>
  <c r="H602" i="30"/>
  <c r="H601" i="30"/>
  <c r="H600" i="30"/>
  <c r="H599" i="30"/>
  <c r="H598" i="30"/>
  <c r="H597" i="30"/>
  <c r="H596" i="30"/>
  <c r="H595" i="30"/>
  <c r="H594" i="30"/>
  <c r="H593" i="30"/>
  <c r="H592" i="30"/>
  <c r="H591" i="30"/>
  <c r="H590" i="30"/>
  <c r="H589" i="30"/>
  <c r="H588" i="30"/>
  <c r="H587" i="30"/>
  <c r="H586" i="30"/>
  <c r="H585" i="30"/>
  <c r="H584" i="30"/>
  <c r="H583" i="30"/>
  <c r="H582" i="30"/>
  <c r="H581" i="30"/>
  <c r="H580" i="30"/>
  <c r="H579" i="30"/>
  <c r="H578" i="30"/>
  <c r="H577" i="30"/>
  <c r="H576" i="30"/>
  <c r="H575" i="30"/>
  <c r="H574" i="30"/>
  <c r="H573" i="30"/>
  <c r="H572" i="30"/>
  <c r="H571" i="30"/>
  <c r="H570" i="30"/>
  <c r="H569" i="30"/>
  <c r="H568" i="30"/>
  <c r="H567" i="30"/>
  <c r="H566" i="30"/>
  <c r="H565" i="30"/>
  <c r="H564" i="30"/>
  <c r="H563" i="30"/>
  <c r="H562" i="30"/>
  <c r="H561" i="30"/>
  <c r="H560" i="30"/>
  <c r="H559" i="30"/>
  <c r="H558" i="30"/>
  <c r="H557" i="30"/>
  <c r="H556" i="30"/>
  <c r="H555" i="30"/>
  <c r="H554" i="30"/>
  <c r="H553" i="30"/>
  <c r="H552" i="30"/>
  <c r="H551" i="30"/>
  <c r="H550" i="30"/>
  <c r="H549" i="30"/>
  <c r="H548" i="30"/>
  <c r="H547" i="30"/>
  <c r="H546" i="30"/>
  <c r="H545" i="30"/>
  <c r="H544" i="30"/>
  <c r="H543" i="30"/>
  <c r="H542" i="30"/>
  <c r="H541" i="30"/>
  <c r="H540" i="30"/>
  <c r="H539" i="30"/>
  <c r="H538" i="30"/>
  <c r="H537" i="30"/>
  <c r="H536" i="30"/>
  <c r="H535" i="30"/>
  <c r="H534" i="30"/>
  <c r="H533" i="30"/>
  <c r="H532" i="30"/>
  <c r="H531" i="30"/>
  <c r="H530" i="30"/>
  <c r="H529" i="30"/>
  <c r="H528" i="30"/>
  <c r="H527" i="30"/>
  <c r="H526" i="30"/>
  <c r="H525" i="30"/>
  <c r="H524" i="30"/>
  <c r="H523" i="30"/>
  <c r="H522" i="30"/>
  <c r="H521" i="30"/>
  <c r="H520" i="30"/>
  <c r="H519" i="30"/>
  <c r="H518" i="30"/>
  <c r="H517" i="30"/>
  <c r="H516" i="30"/>
  <c r="H515" i="30"/>
  <c r="H514" i="30"/>
  <c r="H513" i="30"/>
  <c r="H512" i="30"/>
  <c r="H511" i="30"/>
  <c r="H510" i="30"/>
  <c r="H509" i="30"/>
  <c r="H508" i="30"/>
  <c r="H507" i="30"/>
  <c r="H506" i="30"/>
  <c r="H505" i="30"/>
  <c r="H504" i="30"/>
  <c r="H503" i="30"/>
  <c r="H502" i="30"/>
  <c r="H501" i="30"/>
  <c r="H500" i="30"/>
  <c r="H499" i="30"/>
  <c r="H498" i="30"/>
  <c r="H497" i="30"/>
  <c r="H496" i="30"/>
  <c r="H495" i="30"/>
  <c r="H494" i="30"/>
  <c r="H493" i="30"/>
  <c r="H492" i="30"/>
  <c r="H491" i="30"/>
  <c r="H490" i="30"/>
  <c r="H489" i="30"/>
  <c r="H488" i="30"/>
  <c r="H487" i="30"/>
  <c r="H486" i="30"/>
  <c r="H485" i="30"/>
  <c r="H484" i="30"/>
  <c r="H483" i="30"/>
  <c r="H482" i="30"/>
  <c r="H481" i="30"/>
  <c r="H480" i="30"/>
  <c r="H479" i="30"/>
  <c r="H478" i="30"/>
  <c r="H477" i="30"/>
  <c r="H476" i="30"/>
  <c r="H475" i="30"/>
  <c r="H474" i="30"/>
  <c r="H473" i="30"/>
  <c r="H472" i="30"/>
  <c r="H471" i="30"/>
  <c r="H470" i="30"/>
  <c r="H469" i="30"/>
  <c r="H468" i="30"/>
  <c r="H467" i="30"/>
  <c r="H466" i="30"/>
  <c r="H465" i="30"/>
  <c r="H464" i="30"/>
  <c r="H463" i="30"/>
  <c r="H462" i="30"/>
  <c r="H461" i="30"/>
  <c r="H460" i="30"/>
  <c r="H459" i="30"/>
  <c r="H458" i="30"/>
  <c r="H457" i="30"/>
  <c r="H456" i="30"/>
  <c r="H455" i="30"/>
  <c r="H454" i="30"/>
  <c r="H453" i="30"/>
  <c r="H452" i="30"/>
  <c r="H451" i="30"/>
  <c r="H450" i="30"/>
  <c r="H449" i="30"/>
  <c r="H448" i="30"/>
  <c r="H447" i="30"/>
  <c r="H446" i="30"/>
  <c r="H445" i="30"/>
  <c r="H444" i="30"/>
  <c r="H443" i="30"/>
  <c r="H442" i="30"/>
  <c r="H441" i="30"/>
  <c r="H440" i="30"/>
  <c r="H439" i="30"/>
  <c r="H438" i="30"/>
  <c r="H437" i="30"/>
  <c r="H436" i="30"/>
  <c r="H435" i="30"/>
  <c r="H434" i="30"/>
  <c r="H433" i="30"/>
  <c r="H432" i="30"/>
  <c r="H431" i="30"/>
  <c r="H430" i="30"/>
  <c r="H429" i="30"/>
  <c r="H428" i="30"/>
  <c r="H427" i="30"/>
  <c r="H426" i="30"/>
  <c r="H425" i="30"/>
  <c r="H424" i="30"/>
  <c r="H423" i="30"/>
  <c r="H422" i="30"/>
  <c r="H421" i="30"/>
  <c r="H420" i="30"/>
  <c r="H419" i="30"/>
  <c r="H418" i="30"/>
  <c r="H417" i="30"/>
  <c r="H416" i="30"/>
  <c r="H415" i="30"/>
  <c r="H414" i="30"/>
  <c r="H413" i="30"/>
  <c r="H412" i="30"/>
  <c r="H411" i="30"/>
  <c r="H410" i="30"/>
  <c r="H409" i="30"/>
  <c r="H408" i="30"/>
  <c r="H407" i="30"/>
  <c r="H406" i="30"/>
  <c r="H405" i="30"/>
  <c r="H404" i="30"/>
  <c r="H403" i="30"/>
  <c r="H402" i="30"/>
  <c r="H401" i="30"/>
  <c r="H400" i="30"/>
  <c r="H399" i="30"/>
  <c r="H398" i="30"/>
  <c r="H397" i="30"/>
  <c r="H396" i="30"/>
  <c r="H395" i="30"/>
  <c r="H394" i="30"/>
  <c r="H393" i="30"/>
  <c r="H392" i="30"/>
  <c r="H391" i="30"/>
  <c r="H390" i="30"/>
  <c r="H389" i="30"/>
  <c r="H388" i="30"/>
  <c r="H387" i="30"/>
  <c r="H386" i="30"/>
  <c r="H385" i="30"/>
  <c r="H384" i="30"/>
  <c r="H383" i="30"/>
  <c r="H382" i="30"/>
  <c r="H381" i="30"/>
  <c r="H380" i="30"/>
  <c r="H379" i="30"/>
  <c r="H378" i="30"/>
  <c r="H377" i="30"/>
  <c r="H376" i="30"/>
  <c r="H375" i="30"/>
  <c r="H374" i="30"/>
  <c r="H373" i="30"/>
  <c r="H372" i="30"/>
  <c r="H371" i="30"/>
  <c r="H370" i="30"/>
  <c r="H369" i="30"/>
  <c r="H368" i="30"/>
  <c r="H367" i="30"/>
  <c r="H366" i="30"/>
  <c r="H365" i="30"/>
  <c r="H364" i="30"/>
  <c r="H363" i="30"/>
  <c r="H362" i="30"/>
  <c r="H361" i="30"/>
  <c r="H360" i="30"/>
  <c r="H359" i="30"/>
  <c r="H358" i="30"/>
  <c r="H357" i="30"/>
  <c r="H356" i="30"/>
  <c r="H355" i="30"/>
  <c r="H354" i="30"/>
  <c r="H353" i="30"/>
  <c r="H352" i="30"/>
  <c r="H351" i="30"/>
  <c r="H350" i="30"/>
  <c r="H349" i="30"/>
  <c r="H348" i="30"/>
  <c r="H347" i="30"/>
  <c r="H346" i="30"/>
  <c r="H345" i="30"/>
  <c r="H344" i="30"/>
  <c r="H343" i="30"/>
  <c r="H342" i="30"/>
  <c r="H341" i="30"/>
  <c r="H340" i="30"/>
  <c r="H339" i="30"/>
  <c r="H338" i="30"/>
  <c r="H337" i="30"/>
  <c r="H336" i="30"/>
  <c r="H335" i="30"/>
  <c r="H334" i="30"/>
  <c r="H333" i="30"/>
  <c r="H332" i="30"/>
  <c r="H331" i="30"/>
  <c r="H330" i="30"/>
  <c r="H329" i="30"/>
  <c r="H328" i="30"/>
  <c r="H327" i="30"/>
  <c r="H326" i="30"/>
  <c r="H325" i="30"/>
  <c r="H324" i="30"/>
  <c r="H323" i="30"/>
  <c r="H322" i="30"/>
  <c r="H321" i="30"/>
  <c r="H320" i="30"/>
  <c r="H319" i="30"/>
  <c r="H318" i="30"/>
  <c r="H317" i="30"/>
  <c r="H316" i="30"/>
  <c r="H315" i="30"/>
  <c r="H314" i="30"/>
  <c r="H313" i="30"/>
  <c r="H312" i="30"/>
  <c r="H311" i="30"/>
  <c r="H310" i="30"/>
  <c r="H309" i="30"/>
  <c r="H308" i="30"/>
  <c r="H307" i="30"/>
  <c r="H306" i="30"/>
  <c r="H305" i="30"/>
  <c r="H304" i="30"/>
  <c r="H303" i="30"/>
  <c r="H302" i="30"/>
  <c r="H301" i="30"/>
  <c r="H300" i="30"/>
  <c r="H299" i="30"/>
  <c r="H298" i="30"/>
  <c r="H297" i="30"/>
  <c r="H296" i="30"/>
  <c r="H295" i="30"/>
  <c r="H294" i="30"/>
  <c r="H293" i="30"/>
  <c r="H292" i="30"/>
  <c r="H291" i="30"/>
  <c r="H290" i="30"/>
  <c r="H289" i="30"/>
  <c r="H288" i="30"/>
  <c r="H287" i="30"/>
  <c r="H286" i="30"/>
  <c r="H285" i="30"/>
  <c r="H284" i="30"/>
  <c r="H283" i="30"/>
  <c r="H282" i="30"/>
  <c r="H281" i="30"/>
  <c r="H280" i="30"/>
  <c r="H279" i="30"/>
  <c r="H278" i="30"/>
  <c r="H277" i="30"/>
  <c r="H276" i="30"/>
  <c r="H275" i="30"/>
  <c r="H274" i="30"/>
  <c r="H273" i="30"/>
  <c r="H272" i="30"/>
  <c r="H271" i="30"/>
  <c r="H270" i="30"/>
  <c r="H269" i="30"/>
  <c r="H268" i="30"/>
  <c r="H267" i="30"/>
  <c r="H266" i="30"/>
  <c r="H265" i="30"/>
  <c r="H264" i="30"/>
  <c r="H263" i="30"/>
  <c r="H262" i="30"/>
  <c r="H261" i="30"/>
  <c r="H260" i="30"/>
  <c r="H259" i="30"/>
  <c r="H258" i="30"/>
  <c r="H257" i="30"/>
  <c r="H256" i="30"/>
  <c r="H255" i="30"/>
  <c r="H254" i="30"/>
  <c r="H253" i="30"/>
  <c r="H252" i="30"/>
  <c r="H251" i="30"/>
  <c r="H250" i="30"/>
  <c r="H249" i="30"/>
  <c r="H248" i="30"/>
  <c r="H247" i="30"/>
  <c r="H246" i="30"/>
  <c r="H245" i="30"/>
  <c r="H244" i="30"/>
  <c r="H243" i="30"/>
  <c r="H242" i="30"/>
  <c r="H241" i="30"/>
  <c r="H240" i="30"/>
  <c r="H239" i="30"/>
  <c r="H238" i="30"/>
  <c r="H237" i="30"/>
  <c r="H236" i="30"/>
  <c r="H235" i="30"/>
  <c r="H234" i="30"/>
  <c r="H233" i="30"/>
  <c r="H232" i="30"/>
  <c r="H231" i="30"/>
  <c r="H230" i="30"/>
  <c r="H229" i="30"/>
  <c r="H228" i="30"/>
  <c r="H227" i="30"/>
  <c r="H226" i="30"/>
  <c r="H225" i="30"/>
  <c r="H224" i="30"/>
  <c r="H223" i="30"/>
  <c r="H222" i="30"/>
  <c r="H221" i="30"/>
  <c r="H220" i="30"/>
  <c r="H219" i="30"/>
  <c r="H218" i="30"/>
  <c r="H217" i="30"/>
  <c r="H216" i="30"/>
  <c r="H215" i="30"/>
  <c r="H214" i="30"/>
  <c r="H213" i="30"/>
  <c r="H212" i="30"/>
  <c r="H211" i="30"/>
  <c r="H210" i="30"/>
  <c r="H209" i="30"/>
  <c r="H208" i="30"/>
  <c r="H207" i="30"/>
  <c r="H206" i="30"/>
  <c r="H205" i="30"/>
  <c r="H204" i="30"/>
  <c r="H203" i="30"/>
  <c r="H202" i="30"/>
  <c r="H201" i="30"/>
  <c r="H200" i="30"/>
  <c r="H199" i="30"/>
  <c r="H198" i="30"/>
  <c r="H197" i="30"/>
  <c r="H196" i="30"/>
  <c r="H195" i="30"/>
  <c r="H194" i="30"/>
  <c r="H193" i="30"/>
  <c r="H192" i="30"/>
  <c r="H191" i="30"/>
  <c r="H190" i="30"/>
  <c r="H189" i="30"/>
  <c r="H188" i="30"/>
  <c r="H187" i="30"/>
  <c r="H186" i="30"/>
  <c r="H184" i="30"/>
  <c r="H183" i="30"/>
  <c r="H182" i="30"/>
  <c r="H181" i="30"/>
  <c r="H180" i="30"/>
  <c r="H179" i="30"/>
  <c r="H178" i="30"/>
  <c r="H177" i="30"/>
  <c r="H176" i="30"/>
  <c r="H175" i="30"/>
  <c r="H174" i="30"/>
  <c r="H173" i="30"/>
  <c r="H172" i="30"/>
  <c r="H171" i="30"/>
  <c r="H170" i="30"/>
  <c r="H169" i="30"/>
  <c r="H168" i="30"/>
  <c r="H167" i="30"/>
  <c r="H166" i="30"/>
  <c r="H165" i="30"/>
  <c r="H164" i="30"/>
  <c r="H163" i="30"/>
  <c r="H162" i="30"/>
  <c r="H161" i="30"/>
  <c r="H160" i="30"/>
  <c r="H159" i="30"/>
  <c r="H158" i="30"/>
  <c r="H157" i="30"/>
  <c r="H156" i="30"/>
  <c r="H155" i="30"/>
  <c r="H154" i="30"/>
  <c r="H153" i="30"/>
  <c r="H152" i="30"/>
  <c r="H151" i="30"/>
  <c r="H150" i="30"/>
  <c r="H149" i="30"/>
  <c r="H148" i="30"/>
  <c r="H147" i="30"/>
  <c r="H146" i="30"/>
  <c r="H145" i="30"/>
  <c r="H144" i="30"/>
  <c r="H143" i="30"/>
  <c r="H142" i="30"/>
  <c r="H141" i="30"/>
  <c r="H140" i="30"/>
  <c r="H139" i="30"/>
  <c r="H138" i="30"/>
  <c r="H137" i="30"/>
  <c r="H136" i="30"/>
  <c r="H135" i="30"/>
  <c r="H134" i="30"/>
  <c r="H133" i="30"/>
  <c r="H132" i="30"/>
  <c r="H131" i="30"/>
  <c r="H130" i="30"/>
  <c r="H129" i="30"/>
  <c r="H128" i="30"/>
  <c r="H127" i="30"/>
  <c r="H126" i="30"/>
  <c r="H125" i="30"/>
  <c r="H124" i="30"/>
  <c r="H123" i="30"/>
  <c r="H122" i="30"/>
  <c r="H121" i="30"/>
  <c r="H120" i="30"/>
  <c r="H119" i="30"/>
  <c r="H118" i="30"/>
  <c r="H117" i="30"/>
  <c r="H116" i="30"/>
  <c r="H115" i="30"/>
  <c r="H114" i="30"/>
  <c r="H113" i="30"/>
  <c r="H112" i="30"/>
  <c r="H111" i="30"/>
  <c r="H110" i="30"/>
  <c r="H109" i="30"/>
  <c r="H108" i="30"/>
  <c r="H107" i="30"/>
  <c r="H106" i="30"/>
  <c r="H105" i="30"/>
  <c r="H104" i="30"/>
  <c r="H103" i="30"/>
  <c r="H102" i="30"/>
  <c r="H101" i="30"/>
  <c r="H100" i="30"/>
  <c r="H99" i="30"/>
  <c r="H98" i="30"/>
  <c r="H97" i="30"/>
  <c r="H96" i="30"/>
  <c r="H95" i="30"/>
  <c r="H94" i="30"/>
  <c r="H93" i="30"/>
  <c r="H92" i="30"/>
  <c r="H91" i="30"/>
  <c r="H90" i="30"/>
  <c r="H89" i="30"/>
  <c r="H88" i="30"/>
  <c r="H87" i="30"/>
  <c r="H86" i="30"/>
  <c r="H85" i="30"/>
  <c r="H84" i="30"/>
  <c r="H83" i="30"/>
  <c r="H82" i="30"/>
  <c r="H81" i="30"/>
  <c r="H80" i="30"/>
  <c r="H79" i="30"/>
  <c r="H78" i="30"/>
  <c r="H77" i="30"/>
  <c r="H76" i="30"/>
  <c r="H75" i="30"/>
  <c r="H74" i="30"/>
  <c r="H73" i="30"/>
  <c r="H72" i="30"/>
  <c r="H71" i="30"/>
  <c r="H70" i="30"/>
  <c r="H69" i="30"/>
  <c r="H68" i="30"/>
  <c r="H67" i="30"/>
  <c r="H66" i="30"/>
  <c r="H65" i="30"/>
  <c r="H64" i="30"/>
  <c r="H63" i="30"/>
  <c r="H62" i="30"/>
  <c r="H61" i="30"/>
  <c r="H60" i="30"/>
  <c r="H59" i="30"/>
  <c r="H58" i="30"/>
  <c r="H57" i="30"/>
  <c r="H56" i="30"/>
  <c r="H55" i="30"/>
  <c r="H54" i="30"/>
  <c r="H53" i="30"/>
  <c r="H52" i="30"/>
  <c r="H51" i="30"/>
  <c r="H50" i="30"/>
  <c r="H49" i="30"/>
  <c r="H48" i="30"/>
  <c r="H47" i="30"/>
  <c r="H46" i="30"/>
  <c r="H45" i="30"/>
  <c r="H44" i="30"/>
  <c r="H43" i="30"/>
  <c r="H42" i="30"/>
  <c r="H41" i="30"/>
  <c r="H40" i="30"/>
  <c r="H39" i="30"/>
  <c r="H38" i="30"/>
  <c r="H37" i="30"/>
  <c r="H36" i="30"/>
  <c r="H35" i="30"/>
  <c r="H34" i="30"/>
  <c r="H33" i="30"/>
  <c r="H32" i="30"/>
  <c r="H31" i="30"/>
  <c r="H30" i="30"/>
  <c r="H29" i="30"/>
  <c r="H28" i="30"/>
  <c r="H27" i="30"/>
  <c r="H26" i="30"/>
  <c r="H25" i="30"/>
  <c r="H24" i="30"/>
  <c r="H23" i="30"/>
  <c r="H22" i="30"/>
  <c r="H21" i="30"/>
  <c r="H20" i="30"/>
  <c r="H19" i="30"/>
  <c r="H18" i="30"/>
  <c r="H17" i="30"/>
  <c r="H16" i="30"/>
  <c r="H15" i="30"/>
  <c r="H14" i="30"/>
  <c r="H13" i="30"/>
  <c r="H12" i="30"/>
  <c r="H11" i="30"/>
  <c r="H10" i="30"/>
  <c r="H9" i="30"/>
  <c r="H8" i="30"/>
  <c r="H7" i="30"/>
  <c r="H6" i="30"/>
  <c r="H5" i="30"/>
  <c r="H4" i="30"/>
  <c r="G501" i="1"/>
  <c r="G501" i="24"/>
  <c r="G502" i="1"/>
  <c r="G503" i="1"/>
  <c r="G503" i="24"/>
  <c r="G504" i="1"/>
  <c r="G505" i="1"/>
  <c r="G505" i="24"/>
  <c r="G506" i="1"/>
  <c r="G507" i="1"/>
  <c r="G507" i="24"/>
  <c r="G508" i="1"/>
  <c r="G508" i="24"/>
  <c r="G509" i="1"/>
  <c r="G509" i="24"/>
  <c r="G510" i="1"/>
  <c r="G510" i="24"/>
  <c r="G511" i="1"/>
  <c r="G511" i="24"/>
  <c r="G512" i="1"/>
  <c r="G513" i="1"/>
  <c r="G513" i="24"/>
  <c r="G514" i="1"/>
  <c r="G514" i="24"/>
  <c r="G515" i="1"/>
  <c r="G515" i="24"/>
  <c r="G516" i="1"/>
  <c r="G516" i="24"/>
  <c r="G517" i="1"/>
  <c r="G517" i="24"/>
  <c r="G518" i="1"/>
  <c r="G518" i="24"/>
  <c r="G519" i="1"/>
  <c r="G519" i="24"/>
  <c r="G520" i="1"/>
  <c r="G520" i="24"/>
  <c r="G521" i="1"/>
  <c r="G522" i="1"/>
  <c r="G522" i="24"/>
  <c r="G523" i="1"/>
  <c r="G523" i="24"/>
  <c r="G524" i="1"/>
  <c r="G524" i="24"/>
  <c r="G525" i="1"/>
  <c r="G525" i="24"/>
  <c r="G526" i="1"/>
  <c r="G526" i="24"/>
  <c r="G527" i="1"/>
  <c r="G527" i="24"/>
  <c r="G528" i="1"/>
  <c r="G528" i="24"/>
  <c r="G529" i="1"/>
  <c r="G529" i="24"/>
  <c r="G530" i="1"/>
  <c r="G530" i="24"/>
  <c r="G531" i="1"/>
  <c r="G531" i="24"/>
  <c r="G532" i="1"/>
  <c r="G532" i="24"/>
  <c r="G533" i="1"/>
  <c r="G535" i="1"/>
  <c r="G536" i="1"/>
  <c r="G536" i="24"/>
  <c r="G537" i="1"/>
  <c r="G537" i="24"/>
  <c r="G538" i="1"/>
  <c r="G538" i="24"/>
  <c r="G541" i="1"/>
  <c r="G541" i="24"/>
  <c r="G544" i="1"/>
  <c r="G544" i="24"/>
  <c r="G545" i="1"/>
  <c r="G545" i="24"/>
  <c r="G546" i="1"/>
  <c r="G546" i="24"/>
  <c r="G547" i="1"/>
  <c r="G547" i="24"/>
  <c r="G548" i="1"/>
  <c r="G548" i="24"/>
  <c r="G549" i="1"/>
  <c r="G549" i="24"/>
  <c r="G550" i="1"/>
  <c r="G550" i="24"/>
  <c r="G552" i="1"/>
  <c r="G552" i="24"/>
  <c r="G553" i="1"/>
  <c r="G553" i="24"/>
  <c r="G555" i="1"/>
  <c r="G555" i="24"/>
  <c r="G557" i="1"/>
  <c r="G557" i="24"/>
  <c r="G558" i="1"/>
  <c r="G558" i="24"/>
  <c r="G559" i="1"/>
  <c r="G559" i="24"/>
  <c r="G560" i="1"/>
  <c r="G560" i="24"/>
  <c r="G561" i="1"/>
  <c r="G561" i="24"/>
  <c r="G562" i="1"/>
  <c r="G562" i="24"/>
  <c r="G563" i="1"/>
  <c r="G563" i="24"/>
  <c r="G564" i="1"/>
  <c r="G564" i="24"/>
  <c r="G565" i="1"/>
  <c r="G565" i="24"/>
  <c r="G566" i="1"/>
  <c r="G566" i="24"/>
  <c r="G568" i="1"/>
  <c r="G568" i="24"/>
  <c r="G569" i="1"/>
  <c r="G569" i="24"/>
  <c r="G570" i="1"/>
  <c r="G570" i="24"/>
  <c r="G571" i="1"/>
  <c r="G571" i="24"/>
  <c r="G572" i="1"/>
  <c r="G572" i="24"/>
  <c r="G573" i="1"/>
  <c r="G573" i="24"/>
  <c r="G574" i="1"/>
  <c r="G574" i="24"/>
  <c r="G575" i="1"/>
  <c r="G575" i="24"/>
  <c r="G576" i="1"/>
  <c r="G576" i="24"/>
  <c r="G578" i="1"/>
  <c r="G578" i="24"/>
  <c r="G579" i="1"/>
  <c r="G579" i="24"/>
  <c r="G580" i="1"/>
  <c r="G580" i="24"/>
  <c r="J128" i="29"/>
  <c r="H128" i="29"/>
  <c r="J128" i="24"/>
  <c r="H128" i="24"/>
  <c r="J128" i="1"/>
  <c r="H128" i="1"/>
  <c r="G500" i="1"/>
  <c r="J715" i="29"/>
  <c r="H715" i="29"/>
  <c r="J714" i="29"/>
  <c r="H714" i="29"/>
  <c r="J713" i="29"/>
  <c r="H713" i="29"/>
  <c r="J712" i="29"/>
  <c r="H712" i="29"/>
  <c r="J711" i="29"/>
  <c r="H711" i="29"/>
  <c r="J710" i="29"/>
  <c r="H710" i="29"/>
  <c r="J709" i="29"/>
  <c r="H709" i="29"/>
  <c r="J708" i="29"/>
  <c r="H708" i="29"/>
  <c r="J707" i="29"/>
  <c r="H707" i="29"/>
  <c r="J706" i="29"/>
  <c r="H706" i="29"/>
  <c r="J705" i="29"/>
  <c r="H705" i="29"/>
  <c r="J704" i="29"/>
  <c r="H704" i="29"/>
  <c r="J703" i="29"/>
  <c r="H703" i="29"/>
  <c r="J702" i="29"/>
  <c r="H702" i="29"/>
  <c r="J701" i="29"/>
  <c r="H701" i="29"/>
  <c r="J700" i="29"/>
  <c r="H700" i="29"/>
  <c r="J699" i="29"/>
  <c r="H699" i="29"/>
  <c r="J698" i="29"/>
  <c r="H698" i="29"/>
  <c r="J697" i="29"/>
  <c r="H697" i="29"/>
  <c r="J696" i="29"/>
  <c r="H696" i="29"/>
  <c r="J695" i="29"/>
  <c r="H695" i="29"/>
  <c r="J694" i="29"/>
  <c r="H694" i="29"/>
  <c r="J693" i="29"/>
  <c r="H693" i="29"/>
  <c r="J692" i="29"/>
  <c r="H692" i="29"/>
  <c r="J691" i="29"/>
  <c r="H691" i="29"/>
  <c r="J690" i="29"/>
  <c r="H690" i="29"/>
  <c r="J689" i="29"/>
  <c r="H689" i="29"/>
  <c r="J688" i="29"/>
  <c r="H688" i="29"/>
  <c r="J687" i="29"/>
  <c r="H687" i="29"/>
  <c r="J686" i="29"/>
  <c r="H686" i="29"/>
  <c r="J685" i="29"/>
  <c r="H685" i="29"/>
  <c r="J684" i="29"/>
  <c r="H684" i="29"/>
  <c r="J683" i="29"/>
  <c r="H683" i="29"/>
  <c r="J682" i="29"/>
  <c r="H682" i="29"/>
  <c r="J681" i="29"/>
  <c r="H681" i="29"/>
  <c r="J680" i="29"/>
  <c r="H680" i="29"/>
  <c r="J679" i="29"/>
  <c r="H679" i="29"/>
  <c r="J678" i="29"/>
  <c r="H678" i="29"/>
  <c r="J677" i="29"/>
  <c r="H677" i="29"/>
  <c r="J676" i="29"/>
  <c r="H676" i="29"/>
  <c r="J675" i="29"/>
  <c r="H675" i="29"/>
  <c r="J674" i="29"/>
  <c r="H674" i="29"/>
  <c r="J673" i="29"/>
  <c r="H673" i="29"/>
  <c r="J672" i="29"/>
  <c r="H672" i="29"/>
  <c r="J671" i="29"/>
  <c r="H671" i="29"/>
  <c r="J670" i="29"/>
  <c r="H670" i="29"/>
  <c r="J669" i="29"/>
  <c r="H669" i="29"/>
  <c r="J668" i="29"/>
  <c r="H668" i="29"/>
  <c r="J667" i="29"/>
  <c r="H667" i="29"/>
  <c r="J666" i="29"/>
  <c r="H666" i="29"/>
  <c r="J665" i="29"/>
  <c r="H665" i="29"/>
  <c r="J664" i="29"/>
  <c r="H664" i="29"/>
  <c r="J663" i="29"/>
  <c r="H663" i="29"/>
  <c r="J662" i="29"/>
  <c r="H662" i="29"/>
  <c r="J661" i="29"/>
  <c r="H661" i="29"/>
  <c r="J660" i="29"/>
  <c r="H660" i="29"/>
  <c r="J659" i="29"/>
  <c r="H659" i="29"/>
  <c r="J658" i="29"/>
  <c r="H658" i="29"/>
  <c r="J657" i="29"/>
  <c r="H657" i="29"/>
  <c r="J656" i="29"/>
  <c r="H656" i="29"/>
  <c r="J655" i="29"/>
  <c r="H655" i="29"/>
  <c r="J654" i="29"/>
  <c r="H654" i="29"/>
  <c r="J653" i="29"/>
  <c r="H653" i="29"/>
  <c r="J652" i="29"/>
  <c r="H652" i="29"/>
  <c r="J651" i="29"/>
  <c r="H651" i="29"/>
  <c r="J650" i="29"/>
  <c r="H650" i="29"/>
  <c r="J649" i="29"/>
  <c r="H649" i="29"/>
  <c r="J648" i="29"/>
  <c r="H648" i="29"/>
  <c r="J647" i="29"/>
  <c r="H647" i="29"/>
  <c r="J646" i="29"/>
  <c r="H646" i="29"/>
  <c r="J645" i="29"/>
  <c r="H645" i="29"/>
  <c r="J644" i="29"/>
  <c r="H644" i="29"/>
  <c r="J643" i="29"/>
  <c r="H643" i="29"/>
  <c r="J642" i="29"/>
  <c r="H642" i="29"/>
  <c r="J641" i="29"/>
  <c r="H641" i="29"/>
  <c r="J640" i="29"/>
  <c r="H640" i="29"/>
  <c r="J639" i="29"/>
  <c r="H639" i="29"/>
  <c r="J638" i="29"/>
  <c r="H638" i="29"/>
  <c r="J637" i="29"/>
  <c r="H637" i="29"/>
  <c r="J636" i="29"/>
  <c r="H636" i="29"/>
  <c r="J635" i="29"/>
  <c r="H635" i="29"/>
  <c r="J634" i="29"/>
  <c r="H634" i="29"/>
  <c r="J633" i="29"/>
  <c r="H633" i="29"/>
  <c r="J632" i="29"/>
  <c r="H632" i="29"/>
  <c r="J631" i="29"/>
  <c r="H631" i="29"/>
  <c r="J630" i="29"/>
  <c r="H630" i="29"/>
  <c r="J629" i="29"/>
  <c r="H629" i="29"/>
  <c r="J628" i="29"/>
  <c r="H628" i="29"/>
  <c r="J627" i="29"/>
  <c r="H627" i="29"/>
  <c r="J626" i="29"/>
  <c r="H626" i="29"/>
  <c r="J625" i="29"/>
  <c r="H625" i="29"/>
  <c r="J624" i="29"/>
  <c r="H624" i="29"/>
  <c r="J623" i="29"/>
  <c r="H623" i="29"/>
  <c r="J622" i="29"/>
  <c r="H622" i="29"/>
  <c r="J621" i="29"/>
  <c r="H621" i="29"/>
  <c r="J620" i="29"/>
  <c r="H620" i="29"/>
  <c r="J619" i="29"/>
  <c r="H619" i="29"/>
  <c r="J618" i="29"/>
  <c r="H618" i="29"/>
  <c r="J617" i="29"/>
  <c r="H617" i="29"/>
  <c r="J616" i="29"/>
  <c r="H616" i="29"/>
  <c r="J615" i="29"/>
  <c r="H615" i="29"/>
  <c r="J614" i="29"/>
  <c r="H614" i="29"/>
  <c r="J613" i="29"/>
  <c r="H613" i="29"/>
  <c r="J612" i="29"/>
  <c r="H612" i="29"/>
  <c r="J611" i="29"/>
  <c r="H611" i="29"/>
  <c r="J610" i="29"/>
  <c r="H610" i="29"/>
  <c r="J609" i="29"/>
  <c r="H609" i="29"/>
  <c r="J608" i="29"/>
  <c r="H608" i="29"/>
  <c r="J607" i="29"/>
  <c r="H607" i="29"/>
  <c r="J606" i="29"/>
  <c r="H606" i="29"/>
  <c r="J605" i="29"/>
  <c r="H605" i="29"/>
  <c r="J604" i="29"/>
  <c r="H604" i="29"/>
  <c r="J603" i="29"/>
  <c r="H603" i="29"/>
  <c r="J602" i="29"/>
  <c r="H602" i="29"/>
  <c r="J601" i="29"/>
  <c r="H601" i="29"/>
  <c r="J600" i="29"/>
  <c r="H600" i="29"/>
  <c r="J599" i="29"/>
  <c r="H599" i="29"/>
  <c r="J598" i="29"/>
  <c r="H598" i="29"/>
  <c r="J597" i="29"/>
  <c r="H597" i="29"/>
  <c r="J596" i="29"/>
  <c r="H596" i="29"/>
  <c r="J595" i="29"/>
  <c r="H595" i="29"/>
  <c r="J594" i="29"/>
  <c r="H594" i="29"/>
  <c r="J593" i="29"/>
  <c r="H593" i="29"/>
  <c r="J592" i="29"/>
  <c r="H592" i="29"/>
  <c r="J591" i="29"/>
  <c r="H591" i="29"/>
  <c r="J590" i="29"/>
  <c r="H590" i="29"/>
  <c r="J589" i="29"/>
  <c r="H589" i="29"/>
  <c r="J588" i="29"/>
  <c r="H588" i="29"/>
  <c r="J587" i="29"/>
  <c r="H587" i="29"/>
  <c r="J586" i="29"/>
  <c r="H586" i="29"/>
  <c r="J585" i="29"/>
  <c r="H585" i="29"/>
  <c r="J584" i="29"/>
  <c r="H584" i="29"/>
  <c r="J583" i="29"/>
  <c r="H583" i="29"/>
  <c r="J582" i="29"/>
  <c r="H582" i="29"/>
  <c r="J581" i="29"/>
  <c r="H581" i="29"/>
  <c r="J580" i="29"/>
  <c r="H580" i="29"/>
  <c r="J579" i="29"/>
  <c r="H579" i="29"/>
  <c r="J578" i="29"/>
  <c r="H578" i="29"/>
  <c r="J577" i="29"/>
  <c r="H577" i="29"/>
  <c r="J576" i="29"/>
  <c r="H576" i="29"/>
  <c r="J575" i="29"/>
  <c r="H575" i="29"/>
  <c r="J574" i="29"/>
  <c r="H574" i="29"/>
  <c r="J573" i="29"/>
  <c r="H573" i="29"/>
  <c r="J572" i="29"/>
  <c r="H572" i="29"/>
  <c r="J571" i="29"/>
  <c r="H571" i="29"/>
  <c r="J570" i="29"/>
  <c r="H570" i="29"/>
  <c r="J569" i="29"/>
  <c r="H569" i="29"/>
  <c r="J568" i="29"/>
  <c r="H568" i="29"/>
  <c r="J567" i="29"/>
  <c r="H567" i="29"/>
  <c r="J566" i="29"/>
  <c r="H566" i="29"/>
  <c r="J565" i="29"/>
  <c r="H565" i="29"/>
  <c r="J564" i="29"/>
  <c r="H564" i="29"/>
  <c r="J563" i="29"/>
  <c r="H563" i="29"/>
  <c r="J562" i="29"/>
  <c r="H562" i="29"/>
  <c r="J561" i="29"/>
  <c r="H561" i="29"/>
  <c r="J560" i="29"/>
  <c r="H560" i="29"/>
  <c r="J559" i="29"/>
  <c r="H559" i="29"/>
  <c r="J558" i="29"/>
  <c r="H558" i="29"/>
  <c r="J557" i="29"/>
  <c r="H557" i="29"/>
  <c r="J556" i="29"/>
  <c r="H556" i="29"/>
  <c r="J555" i="29"/>
  <c r="H555" i="29"/>
  <c r="J554" i="29"/>
  <c r="H554" i="29"/>
  <c r="J553" i="29"/>
  <c r="H553" i="29"/>
  <c r="J552" i="29"/>
  <c r="H552" i="29"/>
  <c r="J551" i="29"/>
  <c r="H551" i="29"/>
  <c r="J550" i="29"/>
  <c r="H550" i="29"/>
  <c r="J549" i="29"/>
  <c r="H549" i="29"/>
  <c r="J548" i="29"/>
  <c r="H548" i="29"/>
  <c r="J547" i="29"/>
  <c r="H547" i="29"/>
  <c r="J546" i="29"/>
  <c r="H546" i="29"/>
  <c r="J545" i="29"/>
  <c r="H545" i="29"/>
  <c r="J544" i="29"/>
  <c r="H544" i="29"/>
  <c r="J543" i="29"/>
  <c r="H543" i="29"/>
  <c r="J542" i="29"/>
  <c r="H542" i="29"/>
  <c r="J541" i="29"/>
  <c r="H541" i="29"/>
  <c r="J540" i="29"/>
  <c r="H540" i="29"/>
  <c r="J539" i="29"/>
  <c r="H539" i="29"/>
  <c r="J538" i="29"/>
  <c r="H538" i="29"/>
  <c r="J537" i="29"/>
  <c r="H537" i="29"/>
  <c r="J536" i="29"/>
  <c r="H536" i="29"/>
  <c r="J535" i="29"/>
  <c r="H535" i="29"/>
  <c r="J534" i="29"/>
  <c r="H534" i="29"/>
  <c r="J533" i="29"/>
  <c r="H533" i="29"/>
  <c r="J532" i="29"/>
  <c r="H532" i="29"/>
  <c r="J531" i="29"/>
  <c r="H531" i="29"/>
  <c r="J530" i="29"/>
  <c r="H530" i="29"/>
  <c r="J529" i="29"/>
  <c r="H529" i="29"/>
  <c r="J528" i="29"/>
  <c r="H528" i="29"/>
  <c r="J527" i="29"/>
  <c r="H527" i="29"/>
  <c r="J526" i="29"/>
  <c r="H526" i="29"/>
  <c r="J525" i="29"/>
  <c r="H525" i="29"/>
  <c r="J524" i="29"/>
  <c r="H524" i="29"/>
  <c r="J523" i="29"/>
  <c r="H523" i="29"/>
  <c r="J522" i="29"/>
  <c r="H522" i="29"/>
  <c r="J521" i="29"/>
  <c r="H521" i="29"/>
  <c r="J520" i="29"/>
  <c r="H520" i="29"/>
  <c r="J519" i="29"/>
  <c r="H519" i="29"/>
  <c r="J518" i="29"/>
  <c r="H518" i="29"/>
  <c r="J517" i="29"/>
  <c r="H517" i="29"/>
  <c r="J516" i="29"/>
  <c r="H516" i="29"/>
  <c r="J515" i="29"/>
  <c r="H515" i="29"/>
  <c r="J514" i="29"/>
  <c r="H514" i="29"/>
  <c r="J513" i="29"/>
  <c r="H513" i="29"/>
  <c r="J512" i="29"/>
  <c r="H512" i="29"/>
  <c r="J511" i="29"/>
  <c r="H511" i="29"/>
  <c r="J510" i="29"/>
  <c r="H510" i="29"/>
  <c r="J509" i="29"/>
  <c r="H509" i="29"/>
  <c r="J508" i="29"/>
  <c r="H508" i="29"/>
  <c r="J507" i="29"/>
  <c r="H507" i="29"/>
  <c r="J506" i="29"/>
  <c r="H506" i="29"/>
  <c r="J505" i="29"/>
  <c r="H505" i="29"/>
  <c r="J504" i="29"/>
  <c r="H504" i="29"/>
  <c r="J503" i="29"/>
  <c r="H503" i="29"/>
  <c r="J502" i="29"/>
  <c r="H502" i="29"/>
  <c r="J501" i="29"/>
  <c r="H501" i="29"/>
  <c r="J500" i="29"/>
  <c r="H500" i="29"/>
  <c r="J499" i="29"/>
  <c r="H499" i="29"/>
  <c r="J498" i="29"/>
  <c r="H498" i="29"/>
  <c r="J497" i="29"/>
  <c r="H497" i="29"/>
  <c r="J496" i="29"/>
  <c r="H496" i="29"/>
  <c r="J495" i="29"/>
  <c r="H495" i="29"/>
  <c r="J494" i="29"/>
  <c r="H494" i="29"/>
  <c r="J493" i="29"/>
  <c r="H493" i="29"/>
  <c r="J492" i="29"/>
  <c r="H492" i="29"/>
  <c r="J491" i="29"/>
  <c r="H491" i="29"/>
  <c r="J490" i="29"/>
  <c r="H490" i="29"/>
  <c r="J489" i="29"/>
  <c r="H489" i="29"/>
  <c r="J488" i="29"/>
  <c r="H488" i="29"/>
  <c r="J487" i="29"/>
  <c r="H487" i="29"/>
  <c r="J486" i="29"/>
  <c r="H486" i="29"/>
  <c r="J485" i="29"/>
  <c r="H485" i="29"/>
  <c r="J484" i="29"/>
  <c r="H484" i="29"/>
  <c r="J483" i="29"/>
  <c r="H483" i="29"/>
  <c r="J482" i="29"/>
  <c r="H482" i="29"/>
  <c r="J481" i="29"/>
  <c r="H481" i="29"/>
  <c r="J480" i="29"/>
  <c r="H480" i="29"/>
  <c r="J479" i="29"/>
  <c r="H479" i="29"/>
  <c r="J478" i="29"/>
  <c r="H478" i="29"/>
  <c r="J477" i="29"/>
  <c r="H477" i="29"/>
  <c r="J476" i="29"/>
  <c r="H476" i="29"/>
  <c r="J475" i="29"/>
  <c r="H475" i="29"/>
  <c r="J474" i="29"/>
  <c r="H474" i="29"/>
  <c r="J473" i="29"/>
  <c r="H473" i="29"/>
  <c r="J472" i="29"/>
  <c r="H472" i="29"/>
  <c r="J471" i="29"/>
  <c r="H471" i="29"/>
  <c r="J470" i="29"/>
  <c r="H470" i="29"/>
  <c r="J469" i="29"/>
  <c r="H469" i="29"/>
  <c r="J468" i="29"/>
  <c r="H468" i="29"/>
  <c r="J467" i="29"/>
  <c r="H467" i="29"/>
  <c r="J466" i="29"/>
  <c r="H466" i="29"/>
  <c r="J465" i="29"/>
  <c r="H465" i="29"/>
  <c r="J464" i="29"/>
  <c r="H464" i="29"/>
  <c r="J463" i="29"/>
  <c r="H463" i="29"/>
  <c r="J462" i="29"/>
  <c r="H462" i="29"/>
  <c r="J461" i="29"/>
  <c r="H461" i="29"/>
  <c r="J460" i="29"/>
  <c r="H460" i="29"/>
  <c r="J459" i="29"/>
  <c r="H459" i="29"/>
  <c r="J458" i="29"/>
  <c r="H458" i="29"/>
  <c r="J457" i="29"/>
  <c r="H457" i="29"/>
  <c r="J456" i="29"/>
  <c r="H456" i="29"/>
  <c r="J455" i="29"/>
  <c r="H455" i="29"/>
  <c r="J454" i="29"/>
  <c r="H454" i="29"/>
  <c r="J453" i="29"/>
  <c r="H453" i="29"/>
  <c r="J452" i="29"/>
  <c r="H452" i="29"/>
  <c r="J451" i="29"/>
  <c r="H451" i="29"/>
  <c r="J450" i="29"/>
  <c r="H450" i="29"/>
  <c r="J449" i="29"/>
  <c r="H449" i="29"/>
  <c r="J448" i="29"/>
  <c r="H448" i="29"/>
  <c r="J447" i="29"/>
  <c r="H447" i="29"/>
  <c r="J446" i="29"/>
  <c r="H446" i="29"/>
  <c r="J445" i="29"/>
  <c r="H445" i="29"/>
  <c r="J444" i="29"/>
  <c r="H444" i="29"/>
  <c r="J443" i="29"/>
  <c r="H443" i="29"/>
  <c r="J442" i="29"/>
  <c r="H442" i="29"/>
  <c r="J441" i="29"/>
  <c r="H441" i="29"/>
  <c r="J440" i="29"/>
  <c r="H440" i="29"/>
  <c r="J439" i="29"/>
  <c r="H439" i="29"/>
  <c r="J438" i="29"/>
  <c r="H438" i="29"/>
  <c r="J437" i="29"/>
  <c r="H437" i="29"/>
  <c r="J436" i="29"/>
  <c r="H436" i="29"/>
  <c r="J435" i="29"/>
  <c r="H435" i="29"/>
  <c r="J434" i="29"/>
  <c r="H434" i="29"/>
  <c r="J433" i="29"/>
  <c r="H433" i="29"/>
  <c r="J432" i="29"/>
  <c r="H432" i="29"/>
  <c r="J431" i="29"/>
  <c r="H431" i="29"/>
  <c r="J430" i="29"/>
  <c r="H430" i="29"/>
  <c r="J429" i="29"/>
  <c r="H429" i="29"/>
  <c r="J428" i="29"/>
  <c r="H428" i="29"/>
  <c r="J427" i="29"/>
  <c r="H427" i="29"/>
  <c r="J426" i="29"/>
  <c r="H426" i="29"/>
  <c r="J425" i="29"/>
  <c r="H425" i="29"/>
  <c r="J424" i="29"/>
  <c r="H424" i="29"/>
  <c r="J423" i="29"/>
  <c r="H423" i="29"/>
  <c r="J422" i="29"/>
  <c r="H422" i="29"/>
  <c r="J421" i="29"/>
  <c r="H421" i="29"/>
  <c r="J420" i="29"/>
  <c r="H420" i="29"/>
  <c r="J419" i="29"/>
  <c r="H419" i="29"/>
  <c r="J418" i="29"/>
  <c r="H418" i="29"/>
  <c r="J417" i="29"/>
  <c r="H417" i="29"/>
  <c r="J416" i="29"/>
  <c r="H416" i="29"/>
  <c r="J415" i="29"/>
  <c r="H415" i="29"/>
  <c r="J414" i="29"/>
  <c r="H414" i="29"/>
  <c r="J413" i="29"/>
  <c r="H413" i="29"/>
  <c r="J412" i="29"/>
  <c r="H412" i="29"/>
  <c r="J411" i="29"/>
  <c r="H411" i="29"/>
  <c r="J410" i="29"/>
  <c r="H410" i="29"/>
  <c r="J409" i="29"/>
  <c r="H409" i="29"/>
  <c r="J408" i="29"/>
  <c r="H408" i="29"/>
  <c r="J407" i="29"/>
  <c r="H407" i="29"/>
  <c r="J406" i="29"/>
  <c r="H406" i="29"/>
  <c r="J405" i="29"/>
  <c r="H405" i="29"/>
  <c r="J404" i="29"/>
  <c r="H404" i="29"/>
  <c r="J403" i="29"/>
  <c r="H403" i="29"/>
  <c r="J402" i="29"/>
  <c r="H402" i="29"/>
  <c r="J401" i="29"/>
  <c r="H401" i="29"/>
  <c r="J400" i="29"/>
  <c r="H400" i="29"/>
  <c r="J399" i="29"/>
  <c r="H399" i="29"/>
  <c r="J398" i="29"/>
  <c r="H398" i="29"/>
  <c r="J397" i="29"/>
  <c r="H397" i="29"/>
  <c r="J396" i="29"/>
  <c r="H396" i="29"/>
  <c r="J395" i="29"/>
  <c r="H395" i="29"/>
  <c r="J394" i="29"/>
  <c r="H394" i="29"/>
  <c r="J393" i="29"/>
  <c r="H393" i="29"/>
  <c r="J392" i="29"/>
  <c r="H392" i="29"/>
  <c r="J391" i="29"/>
  <c r="H391" i="29"/>
  <c r="J390" i="29"/>
  <c r="H390" i="29"/>
  <c r="J389" i="29"/>
  <c r="H389" i="29"/>
  <c r="J388" i="29"/>
  <c r="H388" i="29"/>
  <c r="J387" i="29"/>
  <c r="H387" i="29"/>
  <c r="J386" i="29"/>
  <c r="H386" i="29"/>
  <c r="J385" i="29"/>
  <c r="H385" i="29"/>
  <c r="J384" i="29"/>
  <c r="H384" i="29"/>
  <c r="J383" i="29"/>
  <c r="H383" i="29"/>
  <c r="J382" i="29"/>
  <c r="H382" i="29"/>
  <c r="J381" i="29"/>
  <c r="H381" i="29"/>
  <c r="J380" i="29"/>
  <c r="H380" i="29"/>
  <c r="J379" i="29"/>
  <c r="H379" i="29"/>
  <c r="J378" i="29"/>
  <c r="H378" i="29"/>
  <c r="J377" i="29"/>
  <c r="H377" i="29"/>
  <c r="J376" i="29"/>
  <c r="H376" i="29"/>
  <c r="J375" i="29"/>
  <c r="H375" i="29"/>
  <c r="J374" i="29"/>
  <c r="H374" i="29"/>
  <c r="J373" i="29"/>
  <c r="H373" i="29"/>
  <c r="J372" i="29"/>
  <c r="H372" i="29"/>
  <c r="J371" i="29"/>
  <c r="H371" i="29"/>
  <c r="J370" i="29"/>
  <c r="H370" i="29"/>
  <c r="J369" i="29"/>
  <c r="H369" i="29"/>
  <c r="J368" i="29"/>
  <c r="H368" i="29"/>
  <c r="J367" i="29"/>
  <c r="H367" i="29"/>
  <c r="J366" i="29"/>
  <c r="H366" i="29"/>
  <c r="J365" i="29"/>
  <c r="H365" i="29"/>
  <c r="J364" i="29"/>
  <c r="H364" i="29"/>
  <c r="J363" i="29"/>
  <c r="H363" i="29"/>
  <c r="J362" i="29"/>
  <c r="H362" i="29"/>
  <c r="J361" i="29"/>
  <c r="H361" i="29"/>
  <c r="J360" i="29"/>
  <c r="H360" i="29"/>
  <c r="J359" i="29"/>
  <c r="H359" i="29"/>
  <c r="J358" i="29"/>
  <c r="H358" i="29"/>
  <c r="J357" i="29"/>
  <c r="H357" i="29"/>
  <c r="J356" i="29"/>
  <c r="H356" i="29"/>
  <c r="J355" i="29"/>
  <c r="H355" i="29"/>
  <c r="J354" i="29"/>
  <c r="H354" i="29"/>
  <c r="J353" i="29"/>
  <c r="H353" i="29"/>
  <c r="J352" i="29"/>
  <c r="H352" i="29"/>
  <c r="J351" i="29"/>
  <c r="H351" i="29"/>
  <c r="J350" i="29"/>
  <c r="H350" i="29"/>
  <c r="J349" i="29"/>
  <c r="H349" i="29"/>
  <c r="J348" i="29"/>
  <c r="H348" i="29"/>
  <c r="J347" i="29"/>
  <c r="H347" i="29"/>
  <c r="J346" i="29"/>
  <c r="H346" i="29"/>
  <c r="J345" i="29"/>
  <c r="H345" i="29"/>
  <c r="J344" i="29"/>
  <c r="H344" i="29"/>
  <c r="J343" i="29"/>
  <c r="H343" i="29"/>
  <c r="J342" i="29"/>
  <c r="H342" i="29"/>
  <c r="J341" i="29"/>
  <c r="H341" i="29"/>
  <c r="J340" i="29"/>
  <c r="H340" i="29"/>
  <c r="J339" i="29"/>
  <c r="H339" i="29"/>
  <c r="J338" i="29"/>
  <c r="H338" i="29"/>
  <c r="J337" i="29"/>
  <c r="H337" i="29"/>
  <c r="J336" i="29"/>
  <c r="H336" i="29"/>
  <c r="J335" i="29"/>
  <c r="H335" i="29"/>
  <c r="J334" i="29"/>
  <c r="H334" i="29"/>
  <c r="J333" i="29"/>
  <c r="H333" i="29"/>
  <c r="J332" i="29"/>
  <c r="H332" i="29"/>
  <c r="J331" i="29"/>
  <c r="H331" i="29"/>
  <c r="J330" i="29"/>
  <c r="H330" i="29"/>
  <c r="J329" i="29"/>
  <c r="H329" i="29"/>
  <c r="J328" i="29"/>
  <c r="H328" i="29"/>
  <c r="J327" i="29"/>
  <c r="H327" i="29"/>
  <c r="J326" i="29"/>
  <c r="H326" i="29"/>
  <c r="J325" i="29"/>
  <c r="H325" i="29"/>
  <c r="J324" i="29"/>
  <c r="H324" i="29"/>
  <c r="J323" i="29"/>
  <c r="H323" i="29"/>
  <c r="J322" i="29"/>
  <c r="H322" i="29"/>
  <c r="J321" i="29"/>
  <c r="H321" i="29"/>
  <c r="J320" i="29"/>
  <c r="H320" i="29"/>
  <c r="J319" i="29"/>
  <c r="H319" i="29"/>
  <c r="J318" i="29"/>
  <c r="H318" i="29"/>
  <c r="J317" i="29"/>
  <c r="H317" i="29"/>
  <c r="J316" i="29"/>
  <c r="H316" i="29"/>
  <c r="J315" i="29"/>
  <c r="H315" i="29"/>
  <c r="J314" i="29"/>
  <c r="H314" i="29"/>
  <c r="J313" i="29"/>
  <c r="H313" i="29"/>
  <c r="J312" i="29"/>
  <c r="H312" i="29"/>
  <c r="J311" i="29"/>
  <c r="H311" i="29"/>
  <c r="J310" i="29"/>
  <c r="H310" i="29"/>
  <c r="J309" i="29"/>
  <c r="H309" i="29"/>
  <c r="J308" i="29"/>
  <c r="H308" i="29"/>
  <c r="J307" i="29"/>
  <c r="H307" i="29"/>
  <c r="J306" i="29"/>
  <c r="H306" i="29"/>
  <c r="J305" i="29"/>
  <c r="H305" i="29"/>
  <c r="J304" i="29"/>
  <c r="H304" i="29"/>
  <c r="J303" i="29"/>
  <c r="H303" i="29"/>
  <c r="J302" i="29"/>
  <c r="H302" i="29"/>
  <c r="J301" i="29"/>
  <c r="H301" i="29"/>
  <c r="J300" i="29"/>
  <c r="H300" i="29"/>
  <c r="J299" i="29"/>
  <c r="H299" i="29"/>
  <c r="J298" i="29"/>
  <c r="H298" i="29"/>
  <c r="J297" i="29"/>
  <c r="H297" i="29"/>
  <c r="J296" i="29"/>
  <c r="H296" i="29"/>
  <c r="J295" i="29"/>
  <c r="H295" i="29"/>
  <c r="J294" i="29"/>
  <c r="H294" i="29"/>
  <c r="J293" i="29"/>
  <c r="H293" i="29"/>
  <c r="J292" i="29"/>
  <c r="H292" i="29"/>
  <c r="J291" i="29"/>
  <c r="H291" i="29"/>
  <c r="J290" i="29"/>
  <c r="H290" i="29"/>
  <c r="J289" i="29"/>
  <c r="H289" i="29"/>
  <c r="J288" i="29"/>
  <c r="H288" i="29"/>
  <c r="J287" i="29"/>
  <c r="H287" i="29"/>
  <c r="J286" i="29"/>
  <c r="H286" i="29"/>
  <c r="J285" i="29"/>
  <c r="H285" i="29"/>
  <c r="J284" i="29"/>
  <c r="H284" i="29"/>
  <c r="J283" i="29"/>
  <c r="H283" i="29"/>
  <c r="J282" i="29"/>
  <c r="H282" i="29"/>
  <c r="J281" i="29"/>
  <c r="H281" i="29"/>
  <c r="J280" i="29"/>
  <c r="H280" i="29"/>
  <c r="J279" i="29"/>
  <c r="H279" i="29"/>
  <c r="J278" i="29"/>
  <c r="H278" i="29"/>
  <c r="J277" i="29"/>
  <c r="H277" i="29"/>
  <c r="J276" i="29"/>
  <c r="H276" i="29"/>
  <c r="J275" i="29"/>
  <c r="H275" i="29"/>
  <c r="J274" i="29"/>
  <c r="H274" i="29"/>
  <c r="J273" i="29"/>
  <c r="H273" i="29"/>
  <c r="J272" i="29"/>
  <c r="H272" i="29"/>
  <c r="J271" i="29"/>
  <c r="H271" i="29"/>
  <c r="J270" i="29"/>
  <c r="H270" i="29"/>
  <c r="J269" i="29"/>
  <c r="H269" i="29"/>
  <c r="J268" i="29"/>
  <c r="H268" i="29"/>
  <c r="J267" i="29"/>
  <c r="H267" i="29"/>
  <c r="J266" i="29"/>
  <c r="H266" i="29"/>
  <c r="J265" i="29"/>
  <c r="H265" i="29"/>
  <c r="J264" i="29"/>
  <c r="H264" i="29"/>
  <c r="J263" i="29"/>
  <c r="H263" i="29"/>
  <c r="J262" i="29"/>
  <c r="H262" i="29"/>
  <c r="J261" i="29"/>
  <c r="H261" i="29"/>
  <c r="J260" i="29"/>
  <c r="H260" i="29"/>
  <c r="J259" i="29"/>
  <c r="H259" i="29"/>
  <c r="J258" i="29"/>
  <c r="H258" i="29"/>
  <c r="J257" i="29"/>
  <c r="H257" i="29"/>
  <c r="J256" i="29"/>
  <c r="H256" i="29"/>
  <c r="J255" i="29"/>
  <c r="H255" i="29"/>
  <c r="J254" i="29"/>
  <c r="H254" i="29"/>
  <c r="J253" i="29"/>
  <c r="H253" i="29"/>
  <c r="J252" i="29"/>
  <c r="H252" i="29"/>
  <c r="J251" i="29"/>
  <c r="H251" i="29"/>
  <c r="J250" i="29"/>
  <c r="H250" i="29"/>
  <c r="J249" i="29"/>
  <c r="H249" i="29"/>
  <c r="J248" i="29"/>
  <c r="H248" i="29"/>
  <c r="J247" i="29"/>
  <c r="H247" i="29"/>
  <c r="J246" i="29"/>
  <c r="H246" i="29"/>
  <c r="J245" i="29"/>
  <c r="H245" i="29"/>
  <c r="J244" i="29"/>
  <c r="H244" i="29"/>
  <c r="J242" i="29"/>
  <c r="H242" i="29"/>
  <c r="J241" i="29"/>
  <c r="H241" i="29"/>
  <c r="J240" i="29"/>
  <c r="H240" i="29"/>
  <c r="J239" i="29"/>
  <c r="H239" i="29"/>
  <c r="J238" i="29"/>
  <c r="H238" i="29"/>
  <c r="J237" i="29"/>
  <c r="H237" i="29"/>
  <c r="J236" i="29"/>
  <c r="H236" i="29"/>
  <c r="J235" i="29"/>
  <c r="H235" i="29"/>
  <c r="J234" i="29"/>
  <c r="H234" i="29"/>
  <c r="J233" i="29"/>
  <c r="H233" i="29"/>
  <c r="J232" i="29"/>
  <c r="H232" i="29"/>
  <c r="J231" i="29"/>
  <c r="H231" i="29"/>
  <c r="J230" i="29"/>
  <c r="H230" i="29"/>
  <c r="J229" i="29"/>
  <c r="H229" i="29"/>
  <c r="J228" i="29"/>
  <c r="H228" i="29"/>
  <c r="J227" i="29"/>
  <c r="H227" i="29"/>
  <c r="J226" i="29"/>
  <c r="H226" i="29"/>
  <c r="J225" i="29"/>
  <c r="H225" i="29"/>
  <c r="J224" i="29"/>
  <c r="H224" i="29"/>
  <c r="J223" i="29"/>
  <c r="H223" i="29"/>
  <c r="J222" i="29"/>
  <c r="H222" i="29"/>
  <c r="J221" i="29"/>
  <c r="H221" i="29"/>
  <c r="J220" i="29"/>
  <c r="H220" i="29"/>
  <c r="J219" i="29"/>
  <c r="H219" i="29"/>
  <c r="J218" i="29"/>
  <c r="H218" i="29"/>
  <c r="J217" i="29"/>
  <c r="H217" i="29"/>
  <c r="J216" i="29"/>
  <c r="H216" i="29"/>
  <c r="J215" i="29"/>
  <c r="H215" i="29"/>
  <c r="J214" i="29"/>
  <c r="H214" i="29"/>
  <c r="J213" i="29"/>
  <c r="H213" i="29"/>
  <c r="J212" i="29"/>
  <c r="H212" i="29"/>
  <c r="J211" i="29"/>
  <c r="H211" i="29"/>
  <c r="J210" i="29"/>
  <c r="H210" i="29"/>
  <c r="J209" i="29"/>
  <c r="H209" i="29"/>
  <c r="J208" i="29"/>
  <c r="H208" i="29"/>
  <c r="J207" i="29"/>
  <c r="H207" i="29"/>
  <c r="J206" i="29"/>
  <c r="H206" i="29"/>
  <c r="J205" i="29"/>
  <c r="H205" i="29"/>
  <c r="J204" i="29"/>
  <c r="H204" i="29"/>
  <c r="J203" i="29"/>
  <c r="H203" i="29"/>
  <c r="J202" i="29"/>
  <c r="H202" i="29"/>
  <c r="J201" i="29"/>
  <c r="H201" i="29"/>
  <c r="J200" i="29"/>
  <c r="H200" i="29"/>
  <c r="J199" i="29"/>
  <c r="H199" i="29"/>
  <c r="J198" i="29"/>
  <c r="H198" i="29"/>
  <c r="J197" i="29"/>
  <c r="H197" i="29"/>
  <c r="J196" i="29"/>
  <c r="H196" i="29"/>
  <c r="J195" i="29"/>
  <c r="H195" i="29"/>
  <c r="J194" i="29"/>
  <c r="H194" i="29"/>
  <c r="H192" i="29"/>
  <c r="J191" i="29"/>
  <c r="H191" i="29"/>
  <c r="J190" i="29"/>
  <c r="H190" i="29"/>
  <c r="J189" i="29"/>
  <c r="H189" i="29"/>
  <c r="J188" i="29"/>
  <c r="H188" i="29"/>
  <c r="J187" i="29"/>
  <c r="H187" i="29"/>
  <c r="J186" i="29"/>
  <c r="H186" i="29"/>
  <c r="J185" i="29"/>
  <c r="H185" i="29"/>
  <c r="J184" i="29"/>
  <c r="H184" i="29"/>
  <c r="J183" i="29"/>
  <c r="H183" i="29"/>
  <c r="J182" i="29"/>
  <c r="H182" i="29"/>
  <c r="J181" i="29"/>
  <c r="H181" i="29"/>
  <c r="J180" i="29"/>
  <c r="H180" i="29"/>
  <c r="J179" i="29"/>
  <c r="H179" i="29"/>
  <c r="J178" i="29"/>
  <c r="H178" i="29"/>
  <c r="J177" i="29"/>
  <c r="H177" i="29"/>
  <c r="J176" i="29"/>
  <c r="H176" i="29"/>
  <c r="J175" i="29"/>
  <c r="H175" i="29"/>
  <c r="J174" i="29"/>
  <c r="H174" i="29"/>
  <c r="J173" i="29"/>
  <c r="H173" i="29"/>
  <c r="J172" i="29"/>
  <c r="H172" i="29"/>
  <c r="J171" i="29"/>
  <c r="H171" i="29"/>
  <c r="J170" i="29"/>
  <c r="H170" i="29"/>
  <c r="J169" i="29"/>
  <c r="H169" i="29"/>
  <c r="J168" i="29"/>
  <c r="H168" i="29"/>
  <c r="J167" i="29"/>
  <c r="H167" i="29"/>
  <c r="J166" i="29"/>
  <c r="H166" i="29"/>
  <c r="J165" i="29"/>
  <c r="H165" i="29"/>
  <c r="J164" i="29"/>
  <c r="H164" i="29"/>
  <c r="J163" i="29"/>
  <c r="H163" i="29"/>
  <c r="J162" i="29"/>
  <c r="H162" i="29"/>
  <c r="J161" i="29"/>
  <c r="H161" i="29"/>
  <c r="J160" i="29"/>
  <c r="H160" i="29"/>
  <c r="J159" i="29"/>
  <c r="H159" i="29"/>
  <c r="J158" i="29"/>
  <c r="H158" i="29"/>
  <c r="J157" i="29"/>
  <c r="H157" i="29"/>
  <c r="J156" i="29"/>
  <c r="H156" i="29"/>
  <c r="J155" i="29"/>
  <c r="H155" i="29"/>
  <c r="J154" i="29"/>
  <c r="H154" i="29"/>
  <c r="J153" i="29"/>
  <c r="H153" i="29"/>
  <c r="J152" i="29"/>
  <c r="H152" i="29"/>
  <c r="J151" i="29"/>
  <c r="H151" i="29"/>
  <c r="J150" i="29"/>
  <c r="H150" i="29"/>
  <c r="J149" i="29"/>
  <c r="H149" i="29"/>
  <c r="J148" i="29"/>
  <c r="H148" i="29"/>
  <c r="J147" i="29"/>
  <c r="H147" i="29"/>
  <c r="J146" i="29"/>
  <c r="H146" i="29"/>
  <c r="J145" i="29"/>
  <c r="H145" i="29"/>
  <c r="J144" i="29"/>
  <c r="H144" i="29"/>
  <c r="J143" i="29"/>
  <c r="H143" i="29"/>
  <c r="J142" i="29"/>
  <c r="H142" i="29"/>
  <c r="J141" i="29"/>
  <c r="H141" i="29"/>
  <c r="J140" i="29"/>
  <c r="H140" i="29"/>
  <c r="J139" i="29"/>
  <c r="H139" i="29"/>
  <c r="J138" i="29"/>
  <c r="H138" i="29"/>
  <c r="J137" i="29"/>
  <c r="H137" i="29"/>
  <c r="J136" i="29"/>
  <c r="H136" i="29"/>
  <c r="J135" i="29"/>
  <c r="H135" i="29"/>
  <c r="J134" i="29"/>
  <c r="H134" i="29"/>
  <c r="J133" i="29"/>
  <c r="H133" i="29"/>
  <c r="J132" i="29"/>
  <c r="H132" i="29"/>
  <c r="J131" i="29"/>
  <c r="H131" i="29"/>
  <c r="J130" i="29"/>
  <c r="H130" i="29"/>
  <c r="J129" i="29"/>
  <c r="H129" i="29"/>
  <c r="J127" i="29"/>
  <c r="H127" i="29"/>
  <c r="J126" i="29"/>
  <c r="H126" i="29"/>
  <c r="J125" i="29"/>
  <c r="H125" i="29"/>
  <c r="J124" i="29"/>
  <c r="H124" i="29"/>
  <c r="J123" i="29"/>
  <c r="H123" i="29"/>
  <c r="J122" i="29"/>
  <c r="H122" i="29"/>
  <c r="J121" i="29"/>
  <c r="H121" i="29"/>
  <c r="J120" i="29"/>
  <c r="H120" i="29"/>
  <c r="J119" i="29"/>
  <c r="H119" i="29"/>
  <c r="J118" i="29"/>
  <c r="H118" i="29"/>
  <c r="J117" i="29"/>
  <c r="H117" i="29"/>
  <c r="J116" i="29"/>
  <c r="H116" i="29"/>
  <c r="J115" i="29"/>
  <c r="H115" i="29"/>
  <c r="J114" i="29"/>
  <c r="H114" i="29"/>
  <c r="J113" i="29"/>
  <c r="H113" i="29"/>
  <c r="J112" i="29"/>
  <c r="H112" i="29"/>
  <c r="J111" i="29"/>
  <c r="H111" i="29"/>
  <c r="J110" i="29"/>
  <c r="H110" i="29"/>
  <c r="J109" i="29"/>
  <c r="H109" i="29"/>
  <c r="J108" i="29"/>
  <c r="H108" i="29"/>
  <c r="J107" i="29"/>
  <c r="H107" i="29"/>
  <c r="J105" i="29"/>
  <c r="H105" i="29"/>
  <c r="J104" i="29"/>
  <c r="H104" i="29"/>
  <c r="J103" i="29"/>
  <c r="H103" i="29"/>
  <c r="J102" i="29"/>
  <c r="H102" i="29"/>
  <c r="J101" i="29"/>
  <c r="H101" i="29"/>
  <c r="J100" i="29"/>
  <c r="H100" i="29"/>
  <c r="J99" i="29"/>
  <c r="H99" i="29"/>
  <c r="J98" i="29"/>
  <c r="H98" i="29"/>
  <c r="J97" i="29"/>
  <c r="H97" i="29"/>
  <c r="J96" i="29"/>
  <c r="H96" i="29"/>
  <c r="J95" i="29"/>
  <c r="H95" i="29"/>
  <c r="J94" i="29"/>
  <c r="H94" i="29"/>
  <c r="J93" i="29"/>
  <c r="H93" i="29"/>
  <c r="J92" i="29"/>
  <c r="H92" i="29"/>
  <c r="J91" i="29"/>
  <c r="H91" i="29"/>
  <c r="J90" i="29"/>
  <c r="H90" i="29"/>
  <c r="J89" i="29"/>
  <c r="H89" i="29"/>
  <c r="J88" i="29"/>
  <c r="H88" i="29"/>
  <c r="J87" i="29"/>
  <c r="H87" i="29"/>
  <c r="J86" i="29"/>
  <c r="H86" i="29"/>
  <c r="J85" i="29"/>
  <c r="H85" i="29"/>
  <c r="J84" i="29"/>
  <c r="H84" i="29"/>
  <c r="J83" i="29"/>
  <c r="H83" i="29"/>
  <c r="J82" i="29"/>
  <c r="H82" i="29"/>
  <c r="J81" i="29"/>
  <c r="H81" i="29"/>
  <c r="J80" i="29"/>
  <c r="H80" i="29"/>
  <c r="J79" i="29"/>
  <c r="H79" i="29"/>
  <c r="J78" i="29"/>
  <c r="H78" i="29"/>
  <c r="J77" i="29"/>
  <c r="H77" i="29"/>
  <c r="J76" i="29"/>
  <c r="H76" i="29"/>
  <c r="J75" i="29"/>
  <c r="H75" i="29"/>
  <c r="J74" i="29"/>
  <c r="H74" i="29"/>
  <c r="J73" i="29"/>
  <c r="H73" i="29"/>
  <c r="J72" i="29"/>
  <c r="H72" i="29"/>
  <c r="J71" i="29"/>
  <c r="H71" i="29"/>
  <c r="J70" i="29"/>
  <c r="H70" i="29"/>
  <c r="J69" i="29"/>
  <c r="H69" i="29"/>
  <c r="J68" i="29"/>
  <c r="H68" i="29"/>
  <c r="J67" i="29"/>
  <c r="H67" i="29"/>
  <c r="J66" i="29"/>
  <c r="H66" i="29"/>
  <c r="J65" i="29"/>
  <c r="H65" i="29"/>
  <c r="J64" i="29"/>
  <c r="H64" i="29"/>
  <c r="J63" i="29"/>
  <c r="H63" i="29"/>
  <c r="J62" i="29"/>
  <c r="H62" i="29"/>
  <c r="J61" i="29"/>
  <c r="H61" i="29"/>
  <c r="J60" i="29"/>
  <c r="H60" i="29"/>
  <c r="J59" i="29"/>
  <c r="H59" i="29"/>
  <c r="J58" i="29"/>
  <c r="H58" i="29"/>
  <c r="J57" i="29"/>
  <c r="H57" i="29"/>
  <c r="J56" i="29"/>
  <c r="H56" i="29"/>
  <c r="J55" i="29"/>
  <c r="H55" i="29"/>
  <c r="J54" i="29"/>
  <c r="H54" i="29"/>
  <c r="J53" i="29"/>
  <c r="H53" i="29"/>
  <c r="J52" i="29"/>
  <c r="H52" i="29"/>
  <c r="J51" i="29"/>
  <c r="H51" i="29"/>
  <c r="J50" i="29"/>
  <c r="H50" i="29"/>
  <c r="J49" i="29"/>
  <c r="H49" i="29"/>
  <c r="J48" i="29"/>
  <c r="H48" i="29"/>
  <c r="J47" i="29"/>
  <c r="H47" i="29"/>
  <c r="J46" i="29"/>
  <c r="H46" i="29"/>
  <c r="J45" i="29"/>
  <c r="H45" i="29"/>
  <c r="J44" i="29"/>
  <c r="H44" i="29"/>
  <c r="J43" i="29"/>
  <c r="H43" i="29"/>
  <c r="J42" i="29"/>
  <c r="H42" i="29"/>
  <c r="J41" i="29"/>
  <c r="H41" i="29"/>
  <c r="J40" i="29"/>
  <c r="H40" i="29"/>
  <c r="J39" i="29"/>
  <c r="H39" i="29"/>
  <c r="J38" i="29"/>
  <c r="H38" i="29"/>
  <c r="J37" i="29"/>
  <c r="H37" i="29"/>
  <c r="J36" i="29"/>
  <c r="H36" i="29"/>
  <c r="J35" i="29"/>
  <c r="H35" i="29"/>
  <c r="J34" i="29"/>
  <c r="H34" i="29"/>
  <c r="J33" i="29"/>
  <c r="H33" i="29"/>
  <c r="J32" i="29"/>
  <c r="H32" i="29"/>
  <c r="J31" i="29"/>
  <c r="H31" i="29"/>
  <c r="J30" i="29"/>
  <c r="H30" i="29"/>
  <c r="J29" i="29"/>
  <c r="H29" i="29"/>
  <c r="J28" i="29"/>
  <c r="H28" i="29"/>
  <c r="J27" i="29"/>
  <c r="H27" i="29"/>
  <c r="J26" i="29"/>
  <c r="H26" i="29"/>
  <c r="J25" i="29"/>
  <c r="H25" i="29"/>
  <c r="J24" i="29"/>
  <c r="H24" i="29"/>
  <c r="J23" i="29"/>
  <c r="H23" i="29"/>
  <c r="J22" i="29"/>
  <c r="H22" i="29"/>
  <c r="J21" i="29"/>
  <c r="H21" i="29"/>
  <c r="J20" i="29"/>
  <c r="H20" i="29"/>
  <c r="J19" i="29"/>
  <c r="H19" i="29"/>
  <c r="J18" i="29"/>
  <c r="H18" i="29"/>
  <c r="J17" i="29"/>
  <c r="H17" i="29"/>
  <c r="J16" i="29"/>
  <c r="H16" i="29"/>
  <c r="J15" i="29"/>
  <c r="H15" i="29"/>
  <c r="J14" i="29"/>
  <c r="H14" i="29"/>
  <c r="J13" i="29"/>
  <c r="H13" i="29"/>
  <c r="J12" i="29"/>
  <c r="H12" i="29"/>
  <c r="J11" i="29"/>
  <c r="H11" i="29"/>
  <c r="J10" i="29"/>
  <c r="H10" i="29"/>
  <c r="J9" i="29"/>
  <c r="H9" i="29"/>
  <c r="J8" i="29"/>
  <c r="H8" i="29"/>
  <c r="J7" i="29"/>
  <c r="H7" i="29"/>
  <c r="J6" i="29"/>
  <c r="H6" i="29"/>
  <c r="J5" i="29"/>
  <c r="H5" i="29"/>
  <c r="J4" i="29"/>
  <c r="I4" i="29" s="1"/>
  <c r="I5" i="29" s="1"/>
  <c r="I6" i="29" s="1"/>
  <c r="I7" i="29" s="1"/>
  <c r="I8" i="29" s="1"/>
  <c r="I9" i="29" s="1"/>
  <c r="I10" i="29" s="1"/>
  <c r="I11" i="29" s="1"/>
  <c r="I12" i="29" s="1"/>
  <c r="I13" i="29" s="1"/>
  <c r="I14" i="29" s="1"/>
  <c r="I15" i="29" s="1"/>
  <c r="I16" i="29" s="1"/>
  <c r="I17" i="29" s="1"/>
  <c r="I18" i="29" s="1"/>
  <c r="I19" i="29" s="1"/>
  <c r="I20" i="29" s="1"/>
  <c r="I21" i="29" s="1"/>
  <c r="I22" i="29" s="1"/>
  <c r="I23" i="29" s="1"/>
  <c r="I24" i="29" s="1"/>
  <c r="I25" i="29" s="1"/>
  <c r="I26" i="29" s="1"/>
  <c r="I27" i="29" s="1"/>
  <c r="I28" i="29" s="1"/>
  <c r="I29" i="29" s="1"/>
  <c r="I30" i="29" s="1"/>
  <c r="I31" i="29" s="1"/>
  <c r="I32" i="29" s="1"/>
  <c r="I33" i="29" s="1"/>
  <c r="I34" i="29" s="1"/>
  <c r="I35" i="29" s="1"/>
  <c r="I36" i="29" s="1"/>
  <c r="I37" i="29" s="1"/>
  <c r="I38" i="29" s="1"/>
  <c r="I39" i="29" s="1"/>
  <c r="I40" i="29" s="1"/>
  <c r="I41" i="29" s="1"/>
  <c r="I42" i="29" s="1"/>
  <c r="I43" i="29" s="1"/>
  <c r="I44" i="29" s="1"/>
  <c r="I45" i="29" s="1"/>
  <c r="I46" i="29" s="1"/>
  <c r="I47" i="29" s="1"/>
  <c r="I48" i="29" s="1"/>
  <c r="I49" i="29" s="1"/>
  <c r="I50" i="29" s="1"/>
  <c r="I51" i="29" s="1"/>
  <c r="I52" i="29" s="1"/>
  <c r="I53" i="29" s="1"/>
  <c r="I54" i="29" s="1"/>
  <c r="I55" i="29" s="1"/>
  <c r="I56" i="29" s="1"/>
  <c r="I57" i="29" s="1"/>
  <c r="I58" i="29" s="1"/>
  <c r="I59" i="29" s="1"/>
  <c r="I60" i="29" s="1"/>
  <c r="I61" i="29" s="1"/>
  <c r="I62" i="29" s="1"/>
  <c r="I63" i="29" s="1"/>
  <c r="I64" i="29" s="1"/>
  <c r="I65" i="29" s="1"/>
  <c r="I66" i="29" s="1"/>
  <c r="I67" i="29" s="1"/>
  <c r="I68" i="29" s="1"/>
  <c r="I69" i="29" s="1"/>
  <c r="I70" i="29" s="1"/>
  <c r="I71" i="29" s="1"/>
  <c r="I72" i="29" s="1"/>
  <c r="I73" i="29" s="1"/>
  <c r="I74" i="29" s="1"/>
  <c r="I75" i="29" s="1"/>
  <c r="I76" i="29" s="1"/>
  <c r="I77" i="29" s="1"/>
  <c r="I78" i="29" s="1"/>
  <c r="I79" i="29" s="1"/>
  <c r="I80" i="29" s="1"/>
  <c r="I81" i="29" s="1"/>
  <c r="I82" i="29" s="1"/>
  <c r="I83" i="29" s="1"/>
  <c r="I84" i="29" s="1"/>
  <c r="I85" i="29" s="1"/>
  <c r="I86" i="29" s="1"/>
  <c r="I87" i="29" s="1"/>
  <c r="I88" i="29" s="1"/>
  <c r="I89" i="29" s="1"/>
  <c r="I90" i="29" s="1"/>
  <c r="I91" i="29" s="1"/>
  <c r="I92" i="29" s="1"/>
  <c r="I93" i="29" s="1"/>
  <c r="I94" i="29" s="1"/>
  <c r="I95" i="29" s="1"/>
  <c r="I96" i="29" s="1"/>
  <c r="H4" i="29"/>
  <c r="J719" i="28"/>
  <c r="H719" i="28"/>
  <c r="J718" i="28"/>
  <c r="H718" i="28"/>
  <c r="J717" i="28"/>
  <c r="H717" i="28"/>
  <c r="J716" i="28"/>
  <c r="H716" i="28"/>
  <c r="J715" i="28"/>
  <c r="H715" i="28"/>
  <c r="J714" i="28"/>
  <c r="H714" i="28"/>
  <c r="J713" i="28"/>
  <c r="H713" i="28"/>
  <c r="J712" i="28"/>
  <c r="H712" i="28"/>
  <c r="J711" i="28"/>
  <c r="H711" i="28"/>
  <c r="J710" i="28"/>
  <c r="H710" i="28"/>
  <c r="J709" i="28"/>
  <c r="H709" i="28"/>
  <c r="J708" i="28"/>
  <c r="H708" i="28"/>
  <c r="J707" i="28"/>
  <c r="H707" i="28"/>
  <c r="J706" i="28"/>
  <c r="H706" i="28"/>
  <c r="J705" i="28"/>
  <c r="H705" i="28"/>
  <c r="J704" i="28"/>
  <c r="H704" i="28"/>
  <c r="J703" i="28"/>
  <c r="H703" i="28"/>
  <c r="J702" i="28"/>
  <c r="H702" i="28"/>
  <c r="J701" i="28"/>
  <c r="H701" i="28"/>
  <c r="J700" i="28"/>
  <c r="H700" i="28"/>
  <c r="J699" i="28"/>
  <c r="H699" i="28"/>
  <c r="J698" i="28"/>
  <c r="H698" i="28"/>
  <c r="J697" i="28"/>
  <c r="H697" i="28"/>
  <c r="J696" i="28"/>
  <c r="H696" i="28"/>
  <c r="J695" i="28"/>
  <c r="H695" i="28"/>
  <c r="J694" i="28"/>
  <c r="H694" i="28"/>
  <c r="J693" i="28"/>
  <c r="H693" i="28"/>
  <c r="J692" i="28"/>
  <c r="H692" i="28"/>
  <c r="J691" i="28"/>
  <c r="H691" i="28"/>
  <c r="J690" i="28"/>
  <c r="H690" i="28"/>
  <c r="J689" i="28"/>
  <c r="H689" i="28"/>
  <c r="J688" i="28"/>
  <c r="H688" i="28"/>
  <c r="J687" i="28"/>
  <c r="H687" i="28"/>
  <c r="J686" i="28"/>
  <c r="H686" i="28"/>
  <c r="J685" i="28"/>
  <c r="H685" i="28"/>
  <c r="J684" i="28"/>
  <c r="H684" i="28"/>
  <c r="J683" i="28"/>
  <c r="H683" i="28"/>
  <c r="J682" i="28"/>
  <c r="H682" i="28"/>
  <c r="J681" i="28"/>
  <c r="H681" i="28"/>
  <c r="J680" i="28"/>
  <c r="H680" i="28"/>
  <c r="J679" i="28"/>
  <c r="H679" i="28"/>
  <c r="J678" i="28"/>
  <c r="H678" i="28"/>
  <c r="J677" i="28"/>
  <c r="H677" i="28"/>
  <c r="J676" i="28"/>
  <c r="H676" i="28"/>
  <c r="J675" i="28"/>
  <c r="H675" i="28"/>
  <c r="J674" i="28"/>
  <c r="H674" i="28"/>
  <c r="J673" i="28"/>
  <c r="H673" i="28"/>
  <c r="J672" i="28"/>
  <c r="H672" i="28"/>
  <c r="J671" i="28"/>
  <c r="H671" i="28"/>
  <c r="J670" i="28"/>
  <c r="H670" i="28"/>
  <c r="J669" i="28"/>
  <c r="H669" i="28"/>
  <c r="J668" i="28"/>
  <c r="H668" i="28"/>
  <c r="J667" i="28"/>
  <c r="H667" i="28"/>
  <c r="J666" i="28"/>
  <c r="H666" i="28"/>
  <c r="J665" i="28"/>
  <c r="H665" i="28"/>
  <c r="J664" i="28"/>
  <c r="H664" i="28"/>
  <c r="J663" i="28"/>
  <c r="H663" i="28"/>
  <c r="J662" i="28"/>
  <c r="H662" i="28"/>
  <c r="J661" i="28"/>
  <c r="H661" i="28"/>
  <c r="J660" i="28"/>
  <c r="H660" i="28"/>
  <c r="J659" i="28"/>
  <c r="H659" i="28"/>
  <c r="J658" i="28"/>
  <c r="H658" i="28"/>
  <c r="J657" i="28"/>
  <c r="H657" i="28"/>
  <c r="J656" i="28"/>
  <c r="H656" i="28"/>
  <c r="J655" i="28"/>
  <c r="H655" i="28"/>
  <c r="J654" i="28"/>
  <c r="H654" i="28"/>
  <c r="J653" i="28"/>
  <c r="H653" i="28"/>
  <c r="J652" i="28"/>
  <c r="H652" i="28"/>
  <c r="J651" i="28"/>
  <c r="H651" i="28"/>
  <c r="J650" i="28"/>
  <c r="H650" i="28"/>
  <c r="J649" i="28"/>
  <c r="H649" i="28"/>
  <c r="J648" i="28"/>
  <c r="H648" i="28"/>
  <c r="J647" i="28"/>
  <c r="H647" i="28"/>
  <c r="J646" i="28"/>
  <c r="H646" i="28"/>
  <c r="J645" i="28"/>
  <c r="H645" i="28"/>
  <c r="J644" i="28"/>
  <c r="H644" i="28"/>
  <c r="J643" i="28"/>
  <c r="H643" i="28"/>
  <c r="J642" i="28"/>
  <c r="H642" i="28"/>
  <c r="J641" i="28"/>
  <c r="H641" i="28"/>
  <c r="J640" i="28"/>
  <c r="H640" i="28"/>
  <c r="J639" i="28"/>
  <c r="H639" i="28"/>
  <c r="J638" i="28"/>
  <c r="H638" i="28"/>
  <c r="J637" i="28"/>
  <c r="H637" i="28"/>
  <c r="J636" i="28"/>
  <c r="H636" i="28"/>
  <c r="J635" i="28"/>
  <c r="H635" i="28"/>
  <c r="J634" i="28"/>
  <c r="H634" i="28"/>
  <c r="J633" i="28"/>
  <c r="H633" i="28"/>
  <c r="J632" i="28"/>
  <c r="H632" i="28"/>
  <c r="J631" i="28"/>
  <c r="H631" i="28"/>
  <c r="J630" i="28"/>
  <c r="H630" i="28"/>
  <c r="J629" i="28"/>
  <c r="H629" i="28"/>
  <c r="J628" i="28"/>
  <c r="H628" i="28"/>
  <c r="J627" i="28"/>
  <c r="H627" i="28"/>
  <c r="J626" i="28"/>
  <c r="H626" i="28"/>
  <c r="J625" i="28"/>
  <c r="H625" i="28"/>
  <c r="J624" i="28"/>
  <c r="H624" i="28"/>
  <c r="J623" i="28"/>
  <c r="H623" i="28"/>
  <c r="J622" i="28"/>
  <c r="H622" i="28"/>
  <c r="J621" i="28"/>
  <c r="H621" i="28"/>
  <c r="J620" i="28"/>
  <c r="H620" i="28"/>
  <c r="J619" i="28"/>
  <c r="H619" i="28"/>
  <c r="J618" i="28"/>
  <c r="H618" i="28"/>
  <c r="J617" i="28"/>
  <c r="H617" i="28"/>
  <c r="J616" i="28"/>
  <c r="H616" i="28"/>
  <c r="J615" i="28"/>
  <c r="H615" i="28"/>
  <c r="J614" i="28"/>
  <c r="H614" i="28"/>
  <c r="J613" i="28"/>
  <c r="H613" i="28"/>
  <c r="J612" i="28"/>
  <c r="H612" i="28"/>
  <c r="J611" i="28"/>
  <c r="H611" i="28"/>
  <c r="J610" i="28"/>
  <c r="H610" i="28"/>
  <c r="J609" i="28"/>
  <c r="H609" i="28"/>
  <c r="J608" i="28"/>
  <c r="H608" i="28"/>
  <c r="J607" i="28"/>
  <c r="H607" i="28"/>
  <c r="J606" i="28"/>
  <c r="H606" i="28"/>
  <c r="J605" i="28"/>
  <c r="H605" i="28"/>
  <c r="J604" i="28"/>
  <c r="H604" i="28"/>
  <c r="J603" i="28"/>
  <c r="H603" i="28"/>
  <c r="J602" i="28"/>
  <c r="H602" i="28"/>
  <c r="J601" i="28"/>
  <c r="H601" i="28"/>
  <c r="J600" i="28"/>
  <c r="H600" i="28"/>
  <c r="J599" i="28"/>
  <c r="H599" i="28"/>
  <c r="J598" i="28"/>
  <c r="H598" i="28"/>
  <c r="J597" i="28"/>
  <c r="H597" i="28"/>
  <c r="J596" i="28"/>
  <c r="H596" i="28"/>
  <c r="J595" i="28"/>
  <c r="H595" i="28"/>
  <c r="J594" i="28"/>
  <c r="H594" i="28"/>
  <c r="J593" i="28"/>
  <c r="H593" i="28"/>
  <c r="J592" i="28"/>
  <c r="H592" i="28"/>
  <c r="J591" i="28"/>
  <c r="H591" i="28"/>
  <c r="J590" i="28"/>
  <c r="H590" i="28"/>
  <c r="J589" i="28"/>
  <c r="H589" i="28"/>
  <c r="J588" i="28"/>
  <c r="H588" i="28"/>
  <c r="J587" i="28"/>
  <c r="H587" i="28"/>
  <c r="J586" i="28"/>
  <c r="H586" i="28"/>
  <c r="J585" i="28"/>
  <c r="H585" i="28"/>
  <c r="J584" i="28"/>
  <c r="H584" i="28"/>
  <c r="J583" i="28"/>
  <c r="H583" i="28"/>
  <c r="J582" i="28"/>
  <c r="H582" i="28"/>
  <c r="J581" i="28"/>
  <c r="H581" i="28"/>
  <c r="J580" i="28"/>
  <c r="H580" i="28"/>
  <c r="J579" i="28"/>
  <c r="H579" i="28"/>
  <c r="J578" i="28"/>
  <c r="H578" i="28"/>
  <c r="J577" i="28"/>
  <c r="H577" i="28"/>
  <c r="J576" i="28"/>
  <c r="H576" i="28"/>
  <c r="J575" i="28"/>
  <c r="H575" i="28"/>
  <c r="J574" i="28"/>
  <c r="H574" i="28"/>
  <c r="J573" i="28"/>
  <c r="H573" i="28"/>
  <c r="J572" i="28"/>
  <c r="H572" i="28"/>
  <c r="J571" i="28"/>
  <c r="H571" i="28"/>
  <c r="J570" i="28"/>
  <c r="H570" i="28"/>
  <c r="J569" i="28"/>
  <c r="H569" i="28"/>
  <c r="J568" i="28"/>
  <c r="H568" i="28"/>
  <c r="J567" i="28"/>
  <c r="H567" i="28"/>
  <c r="J566" i="28"/>
  <c r="H566" i="28"/>
  <c r="J565" i="28"/>
  <c r="H565" i="28"/>
  <c r="J564" i="28"/>
  <c r="H564" i="28"/>
  <c r="J563" i="28"/>
  <c r="H563" i="28"/>
  <c r="J562" i="28"/>
  <c r="H562" i="28"/>
  <c r="J561" i="28"/>
  <c r="H561" i="28"/>
  <c r="J560" i="28"/>
  <c r="H560" i="28"/>
  <c r="J559" i="28"/>
  <c r="H559" i="28"/>
  <c r="J558" i="28"/>
  <c r="H558" i="28"/>
  <c r="J557" i="28"/>
  <c r="H557" i="28"/>
  <c r="J556" i="28"/>
  <c r="H556" i="28"/>
  <c r="J555" i="28"/>
  <c r="H555" i="28"/>
  <c r="J554" i="28"/>
  <c r="H554" i="28"/>
  <c r="J553" i="28"/>
  <c r="H553" i="28"/>
  <c r="J552" i="28"/>
  <c r="H552" i="28"/>
  <c r="J551" i="28"/>
  <c r="H551" i="28"/>
  <c r="J550" i="28"/>
  <c r="H550" i="28"/>
  <c r="J549" i="28"/>
  <c r="H549" i="28"/>
  <c r="J548" i="28"/>
  <c r="H548" i="28"/>
  <c r="J547" i="28"/>
  <c r="H547" i="28"/>
  <c r="J546" i="28"/>
  <c r="H546" i="28"/>
  <c r="J545" i="28"/>
  <c r="H545" i="28"/>
  <c r="J544" i="28"/>
  <c r="H544" i="28"/>
  <c r="J543" i="28"/>
  <c r="H543" i="28"/>
  <c r="J542" i="28"/>
  <c r="H542" i="28"/>
  <c r="J541" i="28"/>
  <c r="H541" i="28"/>
  <c r="J540" i="28"/>
  <c r="H540" i="28"/>
  <c r="J539" i="28"/>
  <c r="H539" i="28"/>
  <c r="J538" i="28"/>
  <c r="H538" i="28"/>
  <c r="J537" i="28"/>
  <c r="H537" i="28"/>
  <c r="J536" i="28"/>
  <c r="H536" i="28"/>
  <c r="J535" i="28"/>
  <c r="H535" i="28"/>
  <c r="J534" i="28"/>
  <c r="H534" i="28"/>
  <c r="J533" i="28"/>
  <c r="H533" i="28"/>
  <c r="J532" i="28"/>
  <c r="H532" i="28"/>
  <c r="J531" i="28"/>
  <c r="H531" i="28"/>
  <c r="J530" i="28"/>
  <c r="H530" i="28"/>
  <c r="J529" i="28"/>
  <c r="H529" i="28"/>
  <c r="J528" i="28"/>
  <c r="H528" i="28"/>
  <c r="J527" i="28"/>
  <c r="H527" i="28"/>
  <c r="J526" i="28"/>
  <c r="H526" i="28"/>
  <c r="J525" i="28"/>
  <c r="H525" i="28"/>
  <c r="J524" i="28"/>
  <c r="H524" i="28"/>
  <c r="J523" i="28"/>
  <c r="H523" i="28"/>
  <c r="J522" i="28"/>
  <c r="H522" i="28"/>
  <c r="J521" i="28"/>
  <c r="H521" i="28"/>
  <c r="J520" i="28"/>
  <c r="H520" i="28"/>
  <c r="J519" i="28"/>
  <c r="H519" i="28"/>
  <c r="J518" i="28"/>
  <c r="H518" i="28"/>
  <c r="J517" i="28"/>
  <c r="H517" i="28"/>
  <c r="J516" i="28"/>
  <c r="H516" i="28"/>
  <c r="J515" i="28"/>
  <c r="H515" i="28"/>
  <c r="J514" i="28"/>
  <c r="H514" i="28"/>
  <c r="J513" i="28"/>
  <c r="H513" i="28"/>
  <c r="J512" i="28"/>
  <c r="H512" i="28"/>
  <c r="J511" i="28"/>
  <c r="H511" i="28"/>
  <c r="J510" i="28"/>
  <c r="H510" i="28"/>
  <c r="J509" i="28"/>
  <c r="H509" i="28"/>
  <c r="J508" i="28"/>
  <c r="H508" i="28"/>
  <c r="J507" i="28"/>
  <c r="H507" i="28"/>
  <c r="J506" i="28"/>
  <c r="H506" i="28"/>
  <c r="J505" i="28"/>
  <c r="H505" i="28"/>
  <c r="J504" i="28"/>
  <c r="H504" i="28"/>
  <c r="J503" i="28"/>
  <c r="H503" i="28"/>
  <c r="J502" i="28"/>
  <c r="H502" i="28"/>
  <c r="J501" i="28"/>
  <c r="H501" i="28"/>
  <c r="J500" i="28"/>
  <c r="H500" i="28"/>
  <c r="J499" i="28"/>
  <c r="H499" i="28"/>
  <c r="J498" i="28"/>
  <c r="H498" i="28"/>
  <c r="J497" i="28"/>
  <c r="H497" i="28"/>
  <c r="J496" i="28"/>
  <c r="H496" i="28"/>
  <c r="J495" i="28"/>
  <c r="H495" i="28"/>
  <c r="J494" i="28"/>
  <c r="H494" i="28"/>
  <c r="J493" i="28"/>
  <c r="H493" i="28"/>
  <c r="J492" i="28"/>
  <c r="H492" i="28"/>
  <c r="J491" i="28"/>
  <c r="H491" i="28"/>
  <c r="J490" i="28"/>
  <c r="H490" i="28"/>
  <c r="J489" i="28"/>
  <c r="H489" i="28"/>
  <c r="J488" i="28"/>
  <c r="H488" i="28"/>
  <c r="J487" i="28"/>
  <c r="H487" i="28"/>
  <c r="J486" i="28"/>
  <c r="H486" i="28"/>
  <c r="J485" i="28"/>
  <c r="H485" i="28"/>
  <c r="J484" i="28"/>
  <c r="H484" i="28"/>
  <c r="J483" i="28"/>
  <c r="H483" i="28"/>
  <c r="J482" i="28"/>
  <c r="H482" i="28"/>
  <c r="J481" i="28"/>
  <c r="H481" i="28"/>
  <c r="J480" i="28"/>
  <c r="H480" i="28"/>
  <c r="J479" i="28"/>
  <c r="H479" i="28"/>
  <c r="J478" i="28"/>
  <c r="H478" i="28"/>
  <c r="J477" i="28"/>
  <c r="H477" i="28"/>
  <c r="J476" i="28"/>
  <c r="H476" i="28"/>
  <c r="J475" i="28"/>
  <c r="H475" i="28"/>
  <c r="J474" i="28"/>
  <c r="H474" i="28"/>
  <c r="J473" i="28"/>
  <c r="H473" i="28"/>
  <c r="J472" i="28"/>
  <c r="H472" i="28"/>
  <c r="J471" i="28"/>
  <c r="H471" i="28"/>
  <c r="J470" i="28"/>
  <c r="H470" i="28"/>
  <c r="J469" i="28"/>
  <c r="H469" i="28"/>
  <c r="J468" i="28"/>
  <c r="H468" i="28"/>
  <c r="J467" i="28"/>
  <c r="H467" i="28"/>
  <c r="J466" i="28"/>
  <c r="H466" i="28"/>
  <c r="J465" i="28"/>
  <c r="H465" i="28"/>
  <c r="J464" i="28"/>
  <c r="H464" i="28"/>
  <c r="J463" i="28"/>
  <c r="H463" i="28"/>
  <c r="J462" i="28"/>
  <c r="H462" i="28"/>
  <c r="J461" i="28"/>
  <c r="H461" i="28"/>
  <c r="J460" i="28"/>
  <c r="H460" i="28"/>
  <c r="J459" i="28"/>
  <c r="H459" i="28"/>
  <c r="J458" i="28"/>
  <c r="H458" i="28"/>
  <c r="J457" i="28"/>
  <c r="H457" i="28"/>
  <c r="J456" i="28"/>
  <c r="H456" i="28"/>
  <c r="J455" i="28"/>
  <c r="H455" i="28"/>
  <c r="J454" i="28"/>
  <c r="H454" i="28"/>
  <c r="J453" i="28"/>
  <c r="H453" i="28"/>
  <c r="J452" i="28"/>
  <c r="H452" i="28"/>
  <c r="J451" i="28"/>
  <c r="H451" i="28"/>
  <c r="J450" i="28"/>
  <c r="H450" i="28"/>
  <c r="J449" i="28"/>
  <c r="H449" i="28"/>
  <c r="J448" i="28"/>
  <c r="H448" i="28"/>
  <c r="J447" i="28"/>
  <c r="H447" i="28"/>
  <c r="J446" i="28"/>
  <c r="H446" i="28"/>
  <c r="J445" i="28"/>
  <c r="H445" i="28"/>
  <c r="J444" i="28"/>
  <c r="H444" i="28"/>
  <c r="J443" i="28"/>
  <c r="H443" i="28"/>
  <c r="J442" i="28"/>
  <c r="H442" i="28"/>
  <c r="J441" i="28"/>
  <c r="H441" i="28"/>
  <c r="J440" i="28"/>
  <c r="H440" i="28"/>
  <c r="J439" i="28"/>
  <c r="H439" i="28"/>
  <c r="J438" i="28"/>
  <c r="H438" i="28"/>
  <c r="J437" i="28"/>
  <c r="H437" i="28"/>
  <c r="J436" i="28"/>
  <c r="H436" i="28"/>
  <c r="J435" i="28"/>
  <c r="H435" i="28"/>
  <c r="J434" i="28"/>
  <c r="H434" i="28"/>
  <c r="J433" i="28"/>
  <c r="H433" i="28"/>
  <c r="J432" i="28"/>
  <c r="H432" i="28"/>
  <c r="J431" i="28"/>
  <c r="H431" i="28"/>
  <c r="J430" i="28"/>
  <c r="H430" i="28"/>
  <c r="J429" i="28"/>
  <c r="H429" i="28"/>
  <c r="J428" i="28"/>
  <c r="H428" i="28"/>
  <c r="J427" i="28"/>
  <c r="H427" i="28"/>
  <c r="J426" i="28"/>
  <c r="H426" i="28"/>
  <c r="J425" i="28"/>
  <c r="H425" i="28"/>
  <c r="J424" i="28"/>
  <c r="H424" i="28"/>
  <c r="J423" i="28"/>
  <c r="H423" i="28"/>
  <c r="J422" i="28"/>
  <c r="H422" i="28"/>
  <c r="J421" i="28"/>
  <c r="H421" i="28"/>
  <c r="J420" i="28"/>
  <c r="H420" i="28"/>
  <c r="J419" i="28"/>
  <c r="H419" i="28"/>
  <c r="J418" i="28"/>
  <c r="H418" i="28"/>
  <c r="J417" i="28"/>
  <c r="H417" i="28"/>
  <c r="J416" i="28"/>
  <c r="H416" i="28"/>
  <c r="J415" i="28"/>
  <c r="H415" i="28"/>
  <c r="J414" i="28"/>
  <c r="H414" i="28"/>
  <c r="J413" i="28"/>
  <c r="H413" i="28"/>
  <c r="J412" i="28"/>
  <c r="H412" i="28"/>
  <c r="J411" i="28"/>
  <c r="H411" i="28"/>
  <c r="J410" i="28"/>
  <c r="H410" i="28"/>
  <c r="J409" i="28"/>
  <c r="H409" i="28"/>
  <c r="J408" i="28"/>
  <c r="H408" i="28"/>
  <c r="J407" i="28"/>
  <c r="H407" i="28"/>
  <c r="J406" i="28"/>
  <c r="H406" i="28"/>
  <c r="J405" i="28"/>
  <c r="H405" i="28"/>
  <c r="J404" i="28"/>
  <c r="H404" i="28"/>
  <c r="J403" i="28"/>
  <c r="H403" i="28"/>
  <c r="J402" i="28"/>
  <c r="H402" i="28"/>
  <c r="J401" i="28"/>
  <c r="H401" i="28"/>
  <c r="J400" i="28"/>
  <c r="H400" i="28"/>
  <c r="J399" i="28"/>
  <c r="H399" i="28"/>
  <c r="J398" i="28"/>
  <c r="H398" i="28"/>
  <c r="J397" i="28"/>
  <c r="H397" i="28"/>
  <c r="J396" i="28"/>
  <c r="H396" i="28"/>
  <c r="J395" i="28"/>
  <c r="H395" i="28"/>
  <c r="J394" i="28"/>
  <c r="H394" i="28"/>
  <c r="J393" i="28"/>
  <c r="H393" i="28"/>
  <c r="J392" i="28"/>
  <c r="H392" i="28"/>
  <c r="J391" i="28"/>
  <c r="H391" i="28"/>
  <c r="J390" i="28"/>
  <c r="H390" i="28"/>
  <c r="J389" i="28"/>
  <c r="H389" i="28"/>
  <c r="J388" i="28"/>
  <c r="H388" i="28"/>
  <c r="J387" i="28"/>
  <c r="H387" i="28"/>
  <c r="J386" i="28"/>
  <c r="H386" i="28"/>
  <c r="J385" i="28"/>
  <c r="H385" i="28"/>
  <c r="J384" i="28"/>
  <c r="H384" i="28"/>
  <c r="J383" i="28"/>
  <c r="H383" i="28"/>
  <c r="J382" i="28"/>
  <c r="H382" i="28"/>
  <c r="J381" i="28"/>
  <c r="H381" i="28"/>
  <c r="J380" i="28"/>
  <c r="H380" i="28"/>
  <c r="J379" i="28"/>
  <c r="H379" i="28"/>
  <c r="J378" i="28"/>
  <c r="H378" i="28"/>
  <c r="J377" i="28"/>
  <c r="H377" i="28"/>
  <c r="J376" i="28"/>
  <c r="H376" i="28"/>
  <c r="J375" i="28"/>
  <c r="H375" i="28"/>
  <c r="J374" i="28"/>
  <c r="H374" i="28"/>
  <c r="J373" i="28"/>
  <c r="H373" i="28"/>
  <c r="J372" i="28"/>
  <c r="H372" i="28"/>
  <c r="J371" i="28"/>
  <c r="H371" i="28"/>
  <c r="J370" i="28"/>
  <c r="H370" i="28"/>
  <c r="J369" i="28"/>
  <c r="H369" i="28"/>
  <c r="J368" i="28"/>
  <c r="H368" i="28"/>
  <c r="J367" i="28"/>
  <c r="H367" i="28"/>
  <c r="J366" i="28"/>
  <c r="H366" i="28"/>
  <c r="J365" i="28"/>
  <c r="H365" i="28"/>
  <c r="J364" i="28"/>
  <c r="H364" i="28"/>
  <c r="J363" i="28"/>
  <c r="H363" i="28"/>
  <c r="J362" i="28"/>
  <c r="H362" i="28"/>
  <c r="J361" i="28"/>
  <c r="H361" i="28"/>
  <c r="J360" i="28"/>
  <c r="H360" i="28"/>
  <c r="J359" i="28"/>
  <c r="H359" i="28"/>
  <c r="J358" i="28"/>
  <c r="H358" i="28"/>
  <c r="J357" i="28"/>
  <c r="H357" i="28"/>
  <c r="J356" i="28"/>
  <c r="H356" i="28"/>
  <c r="J355" i="28"/>
  <c r="H355" i="28"/>
  <c r="J354" i="28"/>
  <c r="H354" i="28"/>
  <c r="J353" i="28"/>
  <c r="H353" i="28"/>
  <c r="J352" i="28"/>
  <c r="H352" i="28"/>
  <c r="J351" i="28"/>
  <c r="H351" i="28"/>
  <c r="J350" i="28"/>
  <c r="H350" i="28"/>
  <c r="J349" i="28"/>
  <c r="H349" i="28"/>
  <c r="J348" i="28"/>
  <c r="H348" i="28"/>
  <c r="J347" i="28"/>
  <c r="H347" i="28"/>
  <c r="J346" i="28"/>
  <c r="H346" i="28"/>
  <c r="J345" i="28"/>
  <c r="H345" i="28"/>
  <c r="J344" i="28"/>
  <c r="H344" i="28"/>
  <c r="J343" i="28"/>
  <c r="H343" i="28"/>
  <c r="J342" i="28"/>
  <c r="H342" i="28"/>
  <c r="J341" i="28"/>
  <c r="H341" i="28"/>
  <c r="J340" i="28"/>
  <c r="H340" i="28"/>
  <c r="J339" i="28"/>
  <c r="H339" i="28"/>
  <c r="J338" i="28"/>
  <c r="H338" i="28"/>
  <c r="J337" i="28"/>
  <c r="H337" i="28"/>
  <c r="J336" i="28"/>
  <c r="H336" i="28"/>
  <c r="J335" i="28"/>
  <c r="H335" i="28"/>
  <c r="J334" i="28"/>
  <c r="H334" i="28"/>
  <c r="J333" i="28"/>
  <c r="H333" i="28"/>
  <c r="J332" i="28"/>
  <c r="H332" i="28"/>
  <c r="J331" i="28"/>
  <c r="H331" i="28"/>
  <c r="J330" i="28"/>
  <c r="H330" i="28"/>
  <c r="J329" i="28"/>
  <c r="H329" i="28"/>
  <c r="J328" i="28"/>
  <c r="H328" i="28"/>
  <c r="J327" i="28"/>
  <c r="H327" i="28"/>
  <c r="J326" i="28"/>
  <c r="H326" i="28"/>
  <c r="J325" i="28"/>
  <c r="H325" i="28"/>
  <c r="J324" i="28"/>
  <c r="H324" i="28"/>
  <c r="J323" i="28"/>
  <c r="H323" i="28"/>
  <c r="J322" i="28"/>
  <c r="H322" i="28"/>
  <c r="J321" i="28"/>
  <c r="H321" i="28"/>
  <c r="J320" i="28"/>
  <c r="H320" i="28"/>
  <c r="J319" i="28"/>
  <c r="H319" i="28"/>
  <c r="J318" i="28"/>
  <c r="H318" i="28"/>
  <c r="J317" i="28"/>
  <c r="H317" i="28"/>
  <c r="J316" i="28"/>
  <c r="H316" i="28"/>
  <c r="J315" i="28"/>
  <c r="H315" i="28"/>
  <c r="J314" i="28"/>
  <c r="H314" i="28"/>
  <c r="J313" i="28"/>
  <c r="H313" i="28"/>
  <c r="J312" i="28"/>
  <c r="H312" i="28"/>
  <c r="J311" i="28"/>
  <c r="H311" i="28"/>
  <c r="J310" i="28"/>
  <c r="H310" i="28"/>
  <c r="J309" i="28"/>
  <c r="H309" i="28"/>
  <c r="J308" i="28"/>
  <c r="H308" i="28"/>
  <c r="J307" i="28"/>
  <c r="H307" i="28"/>
  <c r="J306" i="28"/>
  <c r="H306" i="28"/>
  <c r="J305" i="28"/>
  <c r="H305" i="28"/>
  <c r="J304" i="28"/>
  <c r="H304" i="28"/>
  <c r="J303" i="28"/>
  <c r="H303" i="28"/>
  <c r="J302" i="28"/>
  <c r="H302" i="28"/>
  <c r="J301" i="28"/>
  <c r="H301" i="28"/>
  <c r="J300" i="28"/>
  <c r="H300" i="28"/>
  <c r="J299" i="28"/>
  <c r="H299" i="28"/>
  <c r="J298" i="28"/>
  <c r="H298" i="28"/>
  <c r="J297" i="28"/>
  <c r="H297" i="28"/>
  <c r="J296" i="28"/>
  <c r="H296" i="28"/>
  <c r="J295" i="28"/>
  <c r="H295" i="28"/>
  <c r="J294" i="28"/>
  <c r="H294" i="28"/>
  <c r="J293" i="28"/>
  <c r="H293" i="28"/>
  <c r="J292" i="28"/>
  <c r="H292" i="28"/>
  <c r="J291" i="28"/>
  <c r="H291" i="28"/>
  <c r="J290" i="28"/>
  <c r="H290" i="28"/>
  <c r="J289" i="28"/>
  <c r="H289" i="28"/>
  <c r="J288" i="28"/>
  <c r="H288" i="28"/>
  <c r="J287" i="28"/>
  <c r="H287" i="28"/>
  <c r="J286" i="28"/>
  <c r="H286" i="28"/>
  <c r="J285" i="28"/>
  <c r="H285" i="28"/>
  <c r="J284" i="28"/>
  <c r="H284" i="28"/>
  <c r="J283" i="28"/>
  <c r="H283" i="28"/>
  <c r="J282" i="28"/>
  <c r="H282" i="28"/>
  <c r="J281" i="28"/>
  <c r="H281" i="28"/>
  <c r="J280" i="28"/>
  <c r="H280" i="28"/>
  <c r="J279" i="28"/>
  <c r="H279" i="28"/>
  <c r="J278" i="28"/>
  <c r="H278" i="28"/>
  <c r="J277" i="28"/>
  <c r="H277" i="28"/>
  <c r="J276" i="28"/>
  <c r="H276" i="28"/>
  <c r="J275" i="28"/>
  <c r="H275" i="28"/>
  <c r="J274" i="28"/>
  <c r="H274" i="28"/>
  <c r="J273" i="28"/>
  <c r="H273" i="28"/>
  <c r="J272" i="28"/>
  <c r="H272" i="28"/>
  <c r="J271" i="28"/>
  <c r="H271" i="28"/>
  <c r="J270" i="28"/>
  <c r="H270" i="28"/>
  <c r="J269" i="28"/>
  <c r="H269" i="28"/>
  <c r="J268" i="28"/>
  <c r="H268" i="28"/>
  <c r="J267" i="28"/>
  <c r="H267" i="28"/>
  <c r="J266" i="28"/>
  <c r="H266" i="28"/>
  <c r="J265" i="28"/>
  <c r="H265" i="28"/>
  <c r="J264" i="28"/>
  <c r="H264" i="28"/>
  <c r="J263" i="28"/>
  <c r="H263" i="28"/>
  <c r="J262" i="28"/>
  <c r="H262" i="28"/>
  <c r="J261" i="28"/>
  <c r="H261" i="28"/>
  <c r="J260" i="28"/>
  <c r="H260" i="28"/>
  <c r="J259" i="28"/>
  <c r="H259" i="28"/>
  <c r="J258" i="28"/>
  <c r="H258" i="28"/>
  <c r="J257" i="28"/>
  <c r="H257" i="28"/>
  <c r="J256" i="28"/>
  <c r="H256" i="28"/>
  <c r="J255" i="28"/>
  <c r="H255" i="28"/>
  <c r="J254" i="28"/>
  <c r="H254" i="28"/>
  <c r="J253" i="28"/>
  <c r="H253" i="28"/>
  <c r="J252" i="28"/>
  <c r="H252" i="28"/>
  <c r="J251" i="28"/>
  <c r="H251" i="28"/>
  <c r="J250" i="28"/>
  <c r="H250" i="28"/>
  <c r="J249" i="28"/>
  <c r="H249" i="28"/>
  <c r="J248" i="28"/>
  <c r="H248" i="28"/>
  <c r="J247" i="28"/>
  <c r="H247" i="28"/>
  <c r="J246" i="28"/>
  <c r="H246" i="28"/>
  <c r="J245" i="28"/>
  <c r="H245" i="28"/>
  <c r="J244" i="28"/>
  <c r="H244" i="28"/>
  <c r="J243" i="28"/>
  <c r="H243" i="28"/>
  <c r="J242" i="28"/>
  <c r="H242" i="28"/>
  <c r="J241" i="28"/>
  <c r="H241" i="28"/>
  <c r="J240" i="28"/>
  <c r="H240" i="28"/>
  <c r="J239" i="28"/>
  <c r="H239" i="28"/>
  <c r="J238" i="28"/>
  <c r="H238" i="28"/>
  <c r="J237" i="28"/>
  <c r="H237" i="28"/>
  <c r="J236" i="28"/>
  <c r="H236" i="28"/>
  <c r="J235" i="28"/>
  <c r="H235" i="28"/>
  <c r="J234" i="28"/>
  <c r="H234" i="28"/>
  <c r="J233" i="28"/>
  <c r="H233" i="28"/>
  <c r="J232" i="28"/>
  <c r="H232" i="28"/>
  <c r="J231" i="28"/>
  <c r="H231" i="28"/>
  <c r="J230" i="28"/>
  <c r="H230" i="28"/>
  <c r="J229" i="28"/>
  <c r="H229" i="28"/>
  <c r="J228" i="28"/>
  <c r="H228" i="28"/>
  <c r="J227" i="28"/>
  <c r="H227" i="28"/>
  <c r="J226" i="28"/>
  <c r="H226" i="28"/>
  <c r="J225" i="28"/>
  <c r="H225" i="28"/>
  <c r="J224" i="28"/>
  <c r="H224" i="28"/>
  <c r="J223" i="28"/>
  <c r="H223" i="28"/>
  <c r="J222" i="28"/>
  <c r="H222" i="28"/>
  <c r="J221" i="28"/>
  <c r="H221" i="28"/>
  <c r="J220" i="28"/>
  <c r="H220" i="28"/>
  <c r="J219" i="28"/>
  <c r="H219" i="28"/>
  <c r="J218" i="28"/>
  <c r="H218" i="28"/>
  <c r="J217" i="28"/>
  <c r="H217" i="28"/>
  <c r="J216" i="28"/>
  <c r="H216" i="28"/>
  <c r="J215" i="28"/>
  <c r="H215" i="28"/>
  <c r="J214" i="28"/>
  <c r="H214" i="28"/>
  <c r="J213" i="28"/>
  <c r="H213" i="28"/>
  <c r="J212" i="28"/>
  <c r="H212" i="28"/>
  <c r="J211" i="28"/>
  <c r="H211" i="28"/>
  <c r="J210" i="28"/>
  <c r="H210" i="28"/>
  <c r="J209" i="28"/>
  <c r="H209" i="28"/>
  <c r="J208" i="28"/>
  <c r="H208" i="28"/>
  <c r="J207" i="28"/>
  <c r="H207" i="28"/>
  <c r="J206" i="28"/>
  <c r="H206" i="28"/>
  <c r="J205" i="28"/>
  <c r="H205" i="28"/>
  <c r="J204" i="28"/>
  <c r="H204" i="28"/>
  <c r="J203" i="28"/>
  <c r="H203" i="28"/>
  <c r="J202" i="28"/>
  <c r="H202" i="28"/>
  <c r="J201" i="28"/>
  <c r="H201" i="28"/>
  <c r="J200" i="28"/>
  <c r="H200" i="28"/>
  <c r="J199" i="28"/>
  <c r="H199" i="28"/>
  <c r="J198" i="28"/>
  <c r="H198" i="28"/>
  <c r="J197" i="28"/>
  <c r="H197" i="28"/>
  <c r="J196" i="28"/>
  <c r="H196" i="28"/>
  <c r="J195" i="28"/>
  <c r="H195" i="28"/>
  <c r="J194" i="28"/>
  <c r="H194" i="28"/>
  <c r="J193" i="28"/>
  <c r="H193" i="28"/>
  <c r="J192" i="28"/>
  <c r="H192" i="28"/>
  <c r="H190" i="28"/>
  <c r="J189" i="28"/>
  <c r="H189" i="28"/>
  <c r="J188" i="28"/>
  <c r="H188" i="28"/>
  <c r="J187" i="28"/>
  <c r="H187" i="28"/>
  <c r="J186" i="28"/>
  <c r="H186" i="28"/>
  <c r="J185" i="28"/>
  <c r="H185" i="28"/>
  <c r="J184" i="28"/>
  <c r="H184" i="28"/>
  <c r="J183" i="28"/>
  <c r="H183" i="28"/>
  <c r="J182" i="28"/>
  <c r="H182" i="28"/>
  <c r="J181" i="28"/>
  <c r="H181" i="28"/>
  <c r="J180" i="28"/>
  <c r="H180" i="28"/>
  <c r="J179" i="28"/>
  <c r="H179" i="28"/>
  <c r="J178" i="28"/>
  <c r="H178" i="28"/>
  <c r="J177" i="28"/>
  <c r="H177" i="28"/>
  <c r="J176" i="28"/>
  <c r="H176" i="28"/>
  <c r="J175" i="28"/>
  <c r="H175" i="28"/>
  <c r="J174" i="28"/>
  <c r="H174" i="28"/>
  <c r="J173" i="28"/>
  <c r="H173" i="28"/>
  <c r="J172" i="28"/>
  <c r="H172" i="28"/>
  <c r="J171" i="28"/>
  <c r="H171" i="28"/>
  <c r="J170" i="28"/>
  <c r="H170" i="28"/>
  <c r="J169" i="28"/>
  <c r="H169" i="28"/>
  <c r="J168" i="28"/>
  <c r="H168" i="28"/>
  <c r="J167" i="28"/>
  <c r="H167" i="28"/>
  <c r="J166" i="28"/>
  <c r="H166" i="28"/>
  <c r="J165" i="28"/>
  <c r="H165" i="28"/>
  <c r="J164" i="28"/>
  <c r="H164" i="28"/>
  <c r="J163" i="28"/>
  <c r="H163" i="28"/>
  <c r="J162" i="28"/>
  <c r="H162" i="28"/>
  <c r="J161" i="28"/>
  <c r="H161" i="28"/>
  <c r="J160" i="28"/>
  <c r="H160" i="28"/>
  <c r="J159" i="28"/>
  <c r="H159" i="28"/>
  <c r="J158" i="28"/>
  <c r="H158" i="28"/>
  <c r="J157" i="28"/>
  <c r="H157" i="28"/>
  <c r="J156" i="28"/>
  <c r="H156" i="28"/>
  <c r="J155" i="28"/>
  <c r="H155" i="28"/>
  <c r="J154" i="28"/>
  <c r="H154" i="28"/>
  <c r="J153" i="28"/>
  <c r="H153" i="28"/>
  <c r="J152" i="28"/>
  <c r="H152" i="28"/>
  <c r="J151" i="28"/>
  <c r="H151" i="28"/>
  <c r="J150" i="28"/>
  <c r="H150" i="28"/>
  <c r="J149" i="28"/>
  <c r="H149" i="28"/>
  <c r="J148" i="28"/>
  <c r="H148" i="28"/>
  <c r="J147" i="28"/>
  <c r="H147" i="28"/>
  <c r="J146" i="28"/>
  <c r="H146" i="28"/>
  <c r="J145" i="28"/>
  <c r="H145" i="28"/>
  <c r="J144" i="28"/>
  <c r="H144" i="28"/>
  <c r="J143" i="28"/>
  <c r="H143" i="28"/>
  <c r="J142" i="28"/>
  <c r="H142" i="28"/>
  <c r="J141" i="28"/>
  <c r="H141" i="28"/>
  <c r="J140" i="28"/>
  <c r="H140" i="28"/>
  <c r="J139" i="28"/>
  <c r="H139" i="28"/>
  <c r="J138" i="28"/>
  <c r="H138" i="28"/>
  <c r="J137" i="28"/>
  <c r="H137" i="28"/>
  <c r="J136" i="28"/>
  <c r="H136" i="28"/>
  <c r="J135" i="28"/>
  <c r="H135" i="28"/>
  <c r="J134" i="28"/>
  <c r="H134" i="28"/>
  <c r="J133" i="28"/>
  <c r="H133" i="28"/>
  <c r="J132" i="28"/>
  <c r="H132" i="28"/>
  <c r="J131" i="28"/>
  <c r="H131" i="28"/>
  <c r="J130" i="28"/>
  <c r="H130" i="28"/>
  <c r="J129" i="28"/>
  <c r="H129" i="28"/>
  <c r="J128" i="28"/>
  <c r="H128" i="28"/>
  <c r="J127" i="28"/>
  <c r="H127" i="28"/>
  <c r="J126" i="28"/>
  <c r="H126" i="28"/>
  <c r="J125" i="28"/>
  <c r="H125" i="28"/>
  <c r="J124" i="28"/>
  <c r="H124" i="28"/>
  <c r="J123" i="28"/>
  <c r="H123" i="28"/>
  <c r="J122" i="28"/>
  <c r="H122" i="28"/>
  <c r="J121" i="28"/>
  <c r="H121" i="28"/>
  <c r="J120" i="28"/>
  <c r="H120" i="28"/>
  <c r="J119" i="28"/>
  <c r="H119" i="28"/>
  <c r="J118" i="28"/>
  <c r="H118" i="28"/>
  <c r="J117" i="28"/>
  <c r="H117" i="28"/>
  <c r="J116" i="28"/>
  <c r="H116" i="28"/>
  <c r="J115" i="28"/>
  <c r="H115" i="28"/>
  <c r="J114" i="28"/>
  <c r="H114" i="28"/>
  <c r="J113" i="28"/>
  <c r="H113" i="28"/>
  <c r="J112" i="28"/>
  <c r="H112" i="28"/>
  <c r="J111" i="28"/>
  <c r="H111" i="28"/>
  <c r="J110" i="28"/>
  <c r="H110" i="28"/>
  <c r="J109" i="28"/>
  <c r="H109" i="28"/>
  <c r="J108" i="28"/>
  <c r="H108" i="28"/>
  <c r="J107" i="28"/>
  <c r="H107" i="28"/>
  <c r="J106" i="28"/>
  <c r="H106" i="28"/>
  <c r="J105" i="28"/>
  <c r="H105" i="28"/>
  <c r="J104" i="28"/>
  <c r="H104" i="28"/>
  <c r="J103" i="28"/>
  <c r="H103" i="28"/>
  <c r="J102" i="28"/>
  <c r="H102" i="28"/>
  <c r="J101" i="28"/>
  <c r="H101" i="28"/>
  <c r="J100" i="28"/>
  <c r="H100" i="28"/>
  <c r="J99" i="28"/>
  <c r="H99" i="28"/>
  <c r="J98" i="28"/>
  <c r="H98" i="28"/>
  <c r="J97" i="28"/>
  <c r="H97" i="28"/>
  <c r="J96" i="28"/>
  <c r="H96" i="28"/>
  <c r="J95" i="28"/>
  <c r="H95" i="28"/>
  <c r="J94" i="28"/>
  <c r="H94" i="28"/>
  <c r="J93" i="28"/>
  <c r="H93" i="28"/>
  <c r="J92" i="28"/>
  <c r="H92" i="28"/>
  <c r="J91" i="28"/>
  <c r="H91" i="28"/>
  <c r="J90" i="28"/>
  <c r="H90" i="28"/>
  <c r="J89" i="28"/>
  <c r="H89" i="28"/>
  <c r="J88" i="28"/>
  <c r="H88" i="28"/>
  <c r="J87" i="28"/>
  <c r="H87" i="28"/>
  <c r="J86" i="28"/>
  <c r="H86" i="28"/>
  <c r="J85" i="28"/>
  <c r="H85" i="28"/>
  <c r="J84" i="28"/>
  <c r="H84" i="28"/>
  <c r="J83" i="28"/>
  <c r="H83" i="28"/>
  <c r="J82" i="28"/>
  <c r="H82" i="28"/>
  <c r="J81" i="28"/>
  <c r="H81" i="28"/>
  <c r="J80" i="28"/>
  <c r="H80" i="28"/>
  <c r="J79" i="28"/>
  <c r="H79" i="28"/>
  <c r="J78" i="28"/>
  <c r="H78" i="28"/>
  <c r="J77" i="28"/>
  <c r="H77" i="28"/>
  <c r="J76" i="28"/>
  <c r="H76" i="28"/>
  <c r="J75" i="28"/>
  <c r="H75" i="28"/>
  <c r="J74" i="28"/>
  <c r="H74" i="28"/>
  <c r="J73" i="28"/>
  <c r="H73" i="28"/>
  <c r="J72" i="28"/>
  <c r="H72" i="28"/>
  <c r="J71" i="28"/>
  <c r="H71" i="28"/>
  <c r="J70" i="28"/>
  <c r="H70" i="28"/>
  <c r="J69" i="28"/>
  <c r="H69" i="28"/>
  <c r="J68" i="28"/>
  <c r="H68" i="28"/>
  <c r="J67" i="28"/>
  <c r="H67" i="28"/>
  <c r="J66" i="28"/>
  <c r="H66" i="28"/>
  <c r="J65" i="28"/>
  <c r="H65" i="28"/>
  <c r="J64" i="28"/>
  <c r="H64" i="28"/>
  <c r="J63" i="28"/>
  <c r="H63" i="28"/>
  <c r="J62" i="28"/>
  <c r="H62" i="28"/>
  <c r="J61" i="28"/>
  <c r="H61" i="28"/>
  <c r="J60" i="28"/>
  <c r="H60" i="28"/>
  <c r="J59" i="28"/>
  <c r="H59" i="28"/>
  <c r="J58" i="28"/>
  <c r="H58" i="28"/>
  <c r="J57" i="28"/>
  <c r="H57" i="28"/>
  <c r="J56" i="28"/>
  <c r="H56" i="28"/>
  <c r="J55" i="28"/>
  <c r="H55" i="28"/>
  <c r="J54" i="28"/>
  <c r="H54" i="28"/>
  <c r="J53" i="28"/>
  <c r="H53" i="28"/>
  <c r="J52" i="28"/>
  <c r="H52" i="28"/>
  <c r="J51" i="28"/>
  <c r="H51" i="28"/>
  <c r="J50" i="28"/>
  <c r="H50" i="28"/>
  <c r="J49" i="28"/>
  <c r="H49" i="28"/>
  <c r="J48" i="28"/>
  <c r="H48" i="28"/>
  <c r="J47" i="28"/>
  <c r="H47" i="28"/>
  <c r="J46" i="28"/>
  <c r="H46" i="28"/>
  <c r="J45" i="28"/>
  <c r="H45" i="28"/>
  <c r="J44" i="28"/>
  <c r="H44" i="28"/>
  <c r="J43" i="28"/>
  <c r="H43" i="28"/>
  <c r="J42" i="28"/>
  <c r="H42" i="28"/>
  <c r="J41" i="28"/>
  <c r="H41" i="28"/>
  <c r="J40" i="28"/>
  <c r="H40" i="28"/>
  <c r="J39" i="28"/>
  <c r="H39" i="28"/>
  <c r="J38" i="28"/>
  <c r="H38" i="28"/>
  <c r="J37" i="28"/>
  <c r="H37" i="28"/>
  <c r="J36" i="28"/>
  <c r="H36" i="28"/>
  <c r="J35" i="28"/>
  <c r="H35" i="28"/>
  <c r="J34" i="28"/>
  <c r="H34" i="28"/>
  <c r="J33" i="28"/>
  <c r="H33" i="28"/>
  <c r="J32" i="28"/>
  <c r="H32" i="28"/>
  <c r="J31" i="28"/>
  <c r="H31" i="28"/>
  <c r="J30" i="28"/>
  <c r="H30" i="28"/>
  <c r="J29" i="28"/>
  <c r="H29" i="28"/>
  <c r="J28" i="28"/>
  <c r="H28" i="28"/>
  <c r="J27" i="28"/>
  <c r="H27" i="28"/>
  <c r="J26" i="28"/>
  <c r="H26" i="28"/>
  <c r="J25" i="28"/>
  <c r="H25" i="28"/>
  <c r="J24" i="28"/>
  <c r="H24" i="28"/>
  <c r="J23" i="28"/>
  <c r="H23" i="28"/>
  <c r="J22" i="28"/>
  <c r="H22" i="28"/>
  <c r="J21" i="28"/>
  <c r="H21" i="28"/>
  <c r="J20" i="28"/>
  <c r="H20" i="28"/>
  <c r="J19" i="28"/>
  <c r="H19" i="28"/>
  <c r="J18" i="28"/>
  <c r="H18" i="28"/>
  <c r="J17" i="28"/>
  <c r="H17" i="28"/>
  <c r="J16" i="28"/>
  <c r="H16" i="28"/>
  <c r="J15" i="28"/>
  <c r="H15" i="28"/>
  <c r="J14" i="28"/>
  <c r="H14" i="28"/>
  <c r="J13" i="28"/>
  <c r="H13" i="28"/>
  <c r="J12" i="28"/>
  <c r="H12" i="28"/>
  <c r="J11" i="28"/>
  <c r="H11" i="28"/>
  <c r="J10" i="28"/>
  <c r="H10" i="28"/>
  <c r="J9" i="28"/>
  <c r="H9" i="28"/>
  <c r="J8" i="28"/>
  <c r="H8" i="28"/>
  <c r="J7" i="28"/>
  <c r="H7" i="28"/>
  <c r="J6" i="28"/>
  <c r="H6" i="28"/>
  <c r="J5" i="28"/>
  <c r="H5" i="28"/>
  <c r="J4" i="28"/>
  <c r="I4" i="28" s="1"/>
  <c r="I5" i="28" s="1"/>
  <c r="I6" i="28" s="1"/>
  <c r="I7" i="28" s="1"/>
  <c r="I8" i="28" s="1"/>
  <c r="I9" i="28" s="1"/>
  <c r="I10" i="28" s="1"/>
  <c r="I11" i="28" s="1"/>
  <c r="I12" i="28" s="1"/>
  <c r="I13" i="28" s="1"/>
  <c r="I14" i="28" s="1"/>
  <c r="I15" i="28" s="1"/>
  <c r="I16" i="28" s="1"/>
  <c r="I17" i="28" s="1"/>
  <c r="I18" i="28" s="1"/>
  <c r="I19" i="28" s="1"/>
  <c r="I20" i="28" s="1"/>
  <c r="I21" i="28" s="1"/>
  <c r="I22" i="28" s="1"/>
  <c r="I23" i="28" s="1"/>
  <c r="I24" i="28" s="1"/>
  <c r="I25" i="28" s="1"/>
  <c r="I26" i="28" s="1"/>
  <c r="I27" i="28" s="1"/>
  <c r="I28" i="28" s="1"/>
  <c r="I29" i="28" s="1"/>
  <c r="I30" i="28" s="1"/>
  <c r="I31" i="28" s="1"/>
  <c r="I32" i="28" s="1"/>
  <c r="I33" i="28" s="1"/>
  <c r="I34" i="28" s="1"/>
  <c r="I35" i="28" s="1"/>
  <c r="I36" i="28" s="1"/>
  <c r="I37" i="28" s="1"/>
  <c r="I38" i="28" s="1"/>
  <c r="I39" i="28" s="1"/>
  <c r="I40" i="28" s="1"/>
  <c r="I41" i="28" s="1"/>
  <c r="I42" i="28" s="1"/>
  <c r="I43" i="28" s="1"/>
  <c r="I44" i="28" s="1"/>
  <c r="I45" i="28" s="1"/>
  <c r="I46" i="28" s="1"/>
  <c r="I47" i="28" s="1"/>
  <c r="I48" i="28" s="1"/>
  <c r="I49" i="28" s="1"/>
  <c r="I50" i="28" s="1"/>
  <c r="I51" i="28" s="1"/>
  <c r="I52" i="28" s="1"/>
  <c r="I53" i="28" s="1"/>
  <c r="I54" i="28" s="1"/>
  <c r="I55" i="28" s="1"/>
  <c r="I56" i="28" s="1"/>
  <c r="I57" i="28" s="1"/>
  <c r="I58" i="28" s="1"/>
  <c r="I59" i="28" s="1"/>
  <c r="I60" i="28" s="1"/>
  <c r="I61" i="28" s="1"/>
  <c r="I62" i="28" s="1"/>
  <c r="I63" i="28" s="1"/>
  <c r="I64" i="28" s="1"/>
  <c r="I65" i="28" s="1"/>
  <c r="I66" i="28" s="1"/>
  <c r="I67" i="28" s="1"/>
  <c r="I68" i="28" s="1"/>
  <c r="I69" i="28" s="1"/>
  <c r="I70" i="28" s="1"/>
  <c r="I71" i="28" s="1"/>
  <c r="I72" i="28" s="1"/>
  <c r="I73" i="28" s="1"/>
  <c r="I74" i="28" s="1"/>
  <c r="I75" i="28" s="1"/>
  <c r="I76" i="28" s="1"/>
  <c r="I77" i="28" s="1"/>
  <c r="I78" i="28" s="1"/>
  <c r="I79" i="28" s="1"/>
  <c r="I80" i="28" s="1"/>
  <c r="I81" i="28" s="1"/>
  <c r="I82" i="28" s="1"/>
  <c r="I83" i="28" s="1"/>
  <c r="I84" i="28" s="1"/>
  <c r="I85" i="28" s="1"/>
  <c r="I86" i="28" s="1"/>
  <c r="I87" i="28" s="1"/>
  <c r="I88" i="28" s="1"/>
  <c r="I89" i="28" s="1"/>
  <c r="I90" i="28" s="1"/>
  <c r="I91" i="28" s="1"/>
  <c r="I92" i="28" s="1"/>
  <c r="I93" i="28" s="1"/>
  <c r="I94" i="28" s="1"/>
  <c r="I95" i="28" s="1"/>
  <c r="I96" i="28" s="1"/>
  <c r="H4" i="28"/>
  <c r="J185" i="1"/>
  <c r="H185" i="1"/>
  <c r="J184" i="1"/>
  <c r="H184" i="1"/>
  <c r="J183" i="1"/>
  <c r="H183" i="1"/>
  <c r="H250" i="1"/>
  <c r="J250" i="1"/>
  <c r="H192" i="24"/>
  <c r="H249" i="24"/>
  <c r="J249" i="24"/>
  <c r="H250" i="24"/>
  <c r="J250" i="24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4" i="1"/>
  <c r="H245" i="1"/>
  <c r="H246" i="1"/>
  <c r="H247" i="1"/>
  <c r="H248" i="1"/>
  <c r="H249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501" i="1"/>
  <c r="H534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J149" i="1"/>
  <c r="J150" i="1"/>
  <c r="J206" i="1"/>
  <c r="J193" i="1"/>
  <c r="J100" i="1"/>
  <c r="J101" i="1"/>
  <c r="H246" i="24"/>
  <c r="J246" i="24"/>
  <c r="H247" i="24"/>
  <c r="J247" i="24"/>
  <c r="H248" i="24"/>
  <c r="J248" i="24"/>
  <c r="J249" i="1"/>
  <c r="J239" i="1"/>
  <c r="J240" i="1"/>
  <c r="J175" i="1"/>
  <c r="J176" i="1"/>
  <c r="J177" i="1"/>
  <c r="J178" i="1"/>
  <c r="J717" i="27"/>
  <c r="H717" i="27"/>
  <c r="J716" i="27"/>
  <c r="H716" i="27"/>
  <c r="J715" i="27"/>
  <c r="H715" i="27"/>
  <c r="J714" i="27"/>
  <c r="H714" i="27"/>
  <c r="J713" i="27"/>
  <c r="H713" i="27"/>
  <c r="J712" i="27"/>
  <c r="H712" i="27"/>
  <c r="J711" i="27"/>
  <c r="H711" i="27"/>
  <c r="J710" i="27"/>
  <c r="H710" i="27"/>
  <c r="J709" i="27"/>
  <c r="H709" i="27"/>
  <c r="J708" i="27"/>
  <c r="H708" i="27"/>
  <c r="J707" i="27"/>
  <c r="H707" i="27"/>
  <c r="J706" i="27"/>
  <c r="H706" i="27"/>
  <c r="J705" i="27"/>
  <c r="H705" i="27"/>
  <c r="J704" i="27"/>
  <c r="H704" i="27"/>
  <c r="J703" i="27"/>
  <c r="H703" i="27"/>
  <c r="J702" i="27"/>
  <c r="H702" i="27"/>
  <c r="J701" i="27"/>
  <c r="H701" i="27"/>
  <c r="J700" i="27"/>
  <c r="H700" i="27"/>
  <c r="J699" i="27"/>
  <c r="H699" i="27"/>
  <c r="J698" i="27"/>
  <c r="H698" i="27"/>
  <c r="J697" i="27"/>
  <c r="H697" i="27"/>
  <c r="J696" i="27"/>
  <c r="H696" i="27"/>
  <c r="J695" i="27"/>
  <c r="H695" i="27"/>
  <c r="J694" i="27"/>
  <c r="H694" i="27"/>
  <c r="J693" i="27"/>
  <c r="H693" i="27"/>
  <c r="J692" i="27"/>
  <c r="H692" i="27"/>
  <c r="J691" i="27"/>
  <c r="H691" i="27"/>
  <c r="J690" i="27"/>
  <c r="H690" i="27"/>
  <c r="J689" i="27"/>
  <c r="H689" i="27"/>
  <c r="J688" i="27"/>
  <c r="H688" i="27"/>
  <c r="J687" i="27"/>
  <c r="H687" i="27"/>
  <c r="J686" i="27"/>
  <c r="H686" i="27"/>
  <c r="J685" i="27"/>
  <c r="H685" i="27"/>
  <c r="J684" i="27"/>
  <c r="H684" i="27"/>
  <c r="J683" i="27"/>
  <c r="H683" i="27"/>
  <c r="J682" i="27"/>
  <c r="H682" i="27"/>
  <c r="J681" i="27"/>
  <c r="H681" i="27"/>
  <c r="J680" i="27"/>
  <c r="H680" i="27"/>
  <c r="J679" i="27"/>
  <c r="H679" i="27"/>
  <c r="J678" i="27"/>
  <c r="H678" i="27"/>
  <c r="J677" i="27"/>
  <c r="H677" i="27"/>
  <c r="J676" i="27"/>
  <c r="H676" i="27"/>
  <c r="J675" i="27"/>
  <c r="H675" i="27"/>
  <c r="J674" i="27"/>
  <c r="H674" i="27"/>
  <c r="J673" i="27"/>
  <c r="H673" i="27"/>
  <c r="J672" i="27"/>
  <c r="H672" i="27"/>
  <c r="J671" i="27"/>
  <c r="H671" i="27"/>
  <c r="J670" i="27"/>
  <c r="H670" i="27"/>
  <c r="J669" i="27"/>
  <c r="H669" i="27"/>
  <c r="J668" i="27"/>
  <c r="H668" i="27"/>
  <c r="J667" i="27"/>
  <c r="H667" i="27"/>
  <c r="J666" i="27"/>
  <c r="H666" i="27"/>
  <c r="J665" i="27"/>
  <c r="H665" i="27"/>
  <c r="J664" i="27"/>
  <c r="H664" i="27"/>
  <c r="J663" i="27"/>
  <c r="H663" i="27"/>
  <c r="J662" i="27"/>
  <c r="H662" i="27"/>
  <c r="J661" i="27"/>
  <c r="H661" i="27"/>
  <c r="J660" i="27"/>
  <c r="H660" i="27"/>
  <c r="J659" i="27"/>
  <c r="H659" i="27"/>
  <c r="J658" i="27"/>
  <c r="H658" i="27"/>
  <c r="J657" i="27"/>
  <c r="H657" i="27"/>
  <c r="J656" i="27"/>
  <c r="H656" i="27"/>
  <c r="J655" i="27"/>
  <c r="H655" i="27"/>
  <c r="J654" i="27"/>
  <c r="H654" i="27"/>
  <c r="J653" i="27"/>
  <c r="H653" i="27"/>
  <c r="J652" i="27"/>
  <c r="H652" i="27"/>
  <c r="J651" i="27"/>
  <c r="H651" i="27"/>
  <c r="J650" i="27"/>
  <c r="H650" i="27"/>
  <c r="J649" i="27"/>
  <c r="H649" i="27"/>
  <c r="J648" i="27"/>
  <c r="H648" i="27"/>
  <c r="J647" i="27"/>
  <c r="H647" i="27"/>
  <c r="J646" i="27"/>
  <c r="H646" i="27"/>
  <c r="J645" i="27"/>
  <c r="H645" i="27"/>
  <c r="J644" i="27"/>
  <c r="H644" i="27"/>
  <c r="J643" i="27"/>
  <c r="H643" i="27"/>
  <c r="J642" i="27"/>
  <c r="H642" i="27"/>
  <c r="J641" i="27"/>
  <c r="H641" i="27"/>
  <c r="J640" i="27"/>
  <c r="H640" i="27"/>
  <c r="J639" i="27"/>
  <c r="H639" i="27"/>
  <c r="J638" i="27"/>
  <c r="H638" i="27"/>
  <c r="J637" i="27"/>
  <c r="H637" i="27"/>
  <c r="J636" i="27"/>
  <c r="H636" i="27"/>
  <c r="J635" i="27"/>
  <c r="H635" i="27"/>
  <c r="J634" i="27"/>
  <c r="H634" i="27"/>
  <c r="J633" i="27"/>
  <c r="H633" i="27"/>
  <c r="J632" i="27"/>
  <c r="H632" i="27"/>
  <c r="J631" i="27"/>
  <c r="H631" i="27"/>
  <c r="J630" i="27"/>
  <c r="H630" i="27"/>
  <c r="J629" i="27"/>
  <c r="H629" i="27"/>
  <c r="J628" i="27"/>
  <c r="H628" i="27"/>
  <c r="J627" i="27"/>
  <c r="H627" i="27"/>
  <c r="J626" i="27"/>
  <c r="H626" i="27"/>
  <c r="J625" i="27"/>
  <c r="H625" i="27"/>
  <c r="J624" i="27"/>
  <c r="H624" i="27"/>
  <c r="J623" i="27"/>
  <c r="H623" i="27"/>
  <c r="J622" i="27"/>
  <c r="H622" i="27"/>
  <c r="J621" i="27"/>
  <c r="H621" i="27"/>
  <c r="J620" i="27"/>
  <c r="H620" i="27"/>
  <c r="J619" i="27"/>
  <c r="H619" i="27"/>
  <c r="J618" i="27"/>
  <c r="H618" i="27"/>
  <c r="J617" i="27"/>
  <c r="H617" i="27"/>
  <c r="J616" i="27"/>
  <c r="H616" i="27"/>
  <c r="J615" i="27"/>
  <c r="H615" i="27"/>
  <c r="J614" i="27"/>
  <c r="H614" i="27"/>
  <c r="J613" i="27"/>
  <c r="H613" i="27"/>
  <c r="J612" i="27"/>
  <c r="H612" i="27"/>
  <c r="J611" i="27"/>
  <c r="H611" i="27"/>
  <c r="J610" i="27"/>
  <c r="H610" i="27"/>
  <c r="J609" i="27"/>
  <c r="H609" i="27"/>
  <c r="J608" i="27"/>
  <c r="H608" i="27"/>
  <c r="J607" i="27"/>
  <c r="H607" i="27"/>
  <c r="J606" i="27"/>
  <c r="H606" i="27"/>
  <c r="J605" i="27"/>
  <c r="H605" i="27"/>
  <c r="J604" i="27"/>
  <c r="H604" i="27"/>
  <c r="J603" i="27"/>
  <c r="H603" i="27"/>
  <c r="J602" i="27"/>
  <c r="H602" i="27"/>
  <c r="J601" i="27"/>
  <c r="H601" i="27"/>
  <c r="J600" i="27"/>
  <c r="H600" i="27"/>
  <c r="J599" i="27"/>
  <c r="H599" i="27"/>
  <c r="J598" i="27"/>
  <c r="H598" i="27"/>
  <c r="J597" i="27"/>
  <c r="H597" i="27"/>
  <c r="J596" i="27"/>
  <c r="H596" i="27"/>
  <c r="J595" i="27"/>
  <c r="H595" i="27"/>
  <c r="J594" i="27"/>
  <c r="H594" i="27"/>
  <c r="J593" i="27"/>
  <c r="H593" i="27"/>
  <c r="J592" i="27"/>
  <c r="H592" i="27"/>
  <c r="J591" i="27"/>
  <c r="H591" i="27"/>
  <c r="J590" i="27"/>
  <c r="H590" i="27"/>
  <c r="J589" i="27"/>
  <c r="H589" i="27"/>
  <c r="J588" i="27"/>
  <c r="H588" i="27"/>
  <c r="J587" i="27"/>
  <c r="H587" i="27"/>
  <c r="J586" i="27"/>
  <c r="H586" i="27"/>
  <c r="J585" i="27"/>
  <c r="H585" i="27"/>
  <c r="J584" i="27"/>
  <c r="H584" i="27"/>
  <c r="J583" i="27"/>
  <c r="H583" i="27"/>
  <c r="J582" i="27"/>
  <c r="G582" i="27"/>
  <c r="H582" i="27"/>
  <c r="J581" i="27"/>
  <c r="G581" i="27"/>
  <c r="H581" i="27"/>
  <c r="J580" i="27"/>
  <c r="G580" i="27"/>
  <c r="H580" i="27"/>
  <c r="J579" i="27"/>
  <c r="G579" i="27"/>
  <c r="H579" i="27"/>
  <c r="J578" i="27"/>
  <c r="G578" i="27"/>
  <c r="H578" i="27"/>
  <c r="J577" i="27"/>
  <c r="G577" i="27"/>
  <c r="H577" i="27"/>
  <c r="J576" i="27"/>
  <c r="G576" i="27"/>
  <c r="H576" i="27"/>
  <c r="J575" i="27"/>
  <c r="G575" i="27"/>
  <c r="H575" i="27"/>
  <c r="J574" i="27"/>
  <c r="G574" i="27"/>
  <c r="H574" i="27"/>
  <c r="J573" i="27"/>
  <c r="G573" i="27"/>
  <c r="H573" i="27"/>
  <c r="J572" i="27"/>
  <c r="G572" i="27"/>
  <c r="H572" i="27"/>
  <c r="J571" i="27"/>
  <c r="G571" i="27"/>
  <c r="H571" i="27"/>
  <c r="J570" i="27"/>
  <c r="G570" i="27"/>
  <c r="H570" i="27"/>
  <c r="J569" i="27"/>
  <c r="G569" i="27"/>
  <c r="H569" i="27"/>
  <c r="J568" i="27"/>
  <c r="G568" i="27"/>
  <c r="H568" i="27"/>
  <c r="J567" i="27"/>
  <c r="G567" i="27"/>
  <c r="H567" i="27"/>
  <c r="J566" i="27"/>
  <c r="G566" i="27"/>
  <c r="H566" i="27"/>
  <c r="J565" i="27"/>
  <c r="G565" i="27"/>
  <c r="H565" i="27"/>
  <c r="J564" i="27"/>
  <c r="G564" i="27"/>
  <c r="H564" i="27"/>
  <c r="J563" i="27"/>
  <c r="G563" i="27"/>
  <c r="H563" i="27"/>
  <c r="J562" i="27"/>
  <c r="G562" i="27"/>
  <c r="H562" i="27"/>
  <c r="J561" i="27"/>
  <c r="G561" i="27"/>
  <c r="H561" i="27"/>
  <c r="J560" i="27"/>
  <c r="G560" i="27"/>
  <c r="H560" i="27"/>
  <c r="J559" i="27"/>
  <c r="G559" i="27"/>
  <c r="H559" i="27"/>
  <c r="J558" i="27"/>
  <c r="G558" i="27"/>
  <c r="H558" i="27"/>
  <c r="J557" i="27"/>
  <c r="G557" i="27"/>
  <c r="H557" i="27"/>
  <c r="J556" i="27"/>
  <c r="G556" i="27"/>
  <c r="H556" i="27"/>
  <c r="J555" i="27"/>
  <c r="G555" i="27"/>
  <c r="H555" i="27"/>
  <c r="J554" i="27"/>
  <c r="G554" i="27"/>
  <c r="H554" i="27"/>
  <c r="J553" i="27"/>
  <c r="G553" i="27"/>
  <c r="H553" i="27"/>
  <c r="J552" i="27"/>
  <c r="G552" i="27"/>
  <c r="H552" i="27"/>
  <c r="J551" i="27"/>
  <c r="G551" i="27"/>
  <c r="H551" i="27"/>
  <c r="J550" i="27"/>
  <c r="G550" i="27"/>
  <c r="H550" i="27"/>
  <c r="J549" i="27"/>
  <c r="G549" i="27"/>
  <c r="H549" i="27"/>
  <c r="J548" i="27"/>
  <c r="G548" i="27"/>
  <c r="H548" i="27"/>
  <c r="J547" i="27"/>
  <c r="G547" i="27"/>
  <c r="H547" i="27"/>
  <c r="J546" i="27"/>
  <c r="G546" i="27"/>
  <c r="H546" i="27"/>
  <c r="J545" i="27"/>
  <c r="G545" i="27"/>
  <c r="H545" i="27"/>
  <c r="J544" i="27"/>
  <c r="G544" i="27"/>
  <c r="H544" i="27"/>
  <c r="J543" i="27"/>
  <c r="G543" i="27"/>
  <c r="H543" i="27"/>
  <c r="J542" i="27"/>
  <c r="G542" i="27"/>
  <c r="H542" i="27"/>
  <c r="J541" i="27"/>
  <c r="G541" i="27"/>
  <c r="H541" i="27"/>
  <c r="J540" i="27"/>
  <c r="G540" i="27"/>
  <c r="H540" i="27"/>
  <c r="J539" i="27"/>
  <c r="G539" i="27"/>
  <c r="H539" i="27"/>
  <c r="J538" i="27"/>
  <c r="G538" i="27"/>
  <c r="H538" i="27"/>
  <c r="J537" i="27"/>
  <c r="G537" i="27"/>
  <c r="H537" i="27"/>
  <c r="J536" i="27"/>
  <c r="H536" i="27"/>
  <c r="J535" i="27"/>
  <c r="G535" i="27"/>
  <c r="H535" i="27"/>
  <c r="J534" i="27"/>
  <c r="G534" i="27"/>
  <c r="H534" i="27"/>
  <c r="J533" i="27"/>
  <c r="G533" i="27"/>
  <c r="H533" i="27"/>
  <c r="J532" i="27"/>
  <c r="G532" i="27"/>
  <c r="H532" i="27"/>
  <c r="J531" i="27"/>
  <c r="G531" i="27"/>
  <c r="H531" i="27"/>
  <c r="J530" i="27"/>
  <c r="G530" i="27"/>
  <c r="H530" i="27"/>
  <c r="J529" i="27"/>
  <c r="G529" i="27"/>
  <c r="H529" i="27"/>
  <c r="J528" i="27"/>
  <c r="G528" i="27"/>
  <c r="H528" i="27"/>
  <c r="J527" i="27"/>
  <c r="G527" i="27"/>
  <c r="H527" i="27"/>
  <c r="J526" i="27"/>
  <c r="G526" i="27"/>
  <c r="H526" i="27"/>
  <c r="J525" i="27"/>
  <c r="G525" i="27"/>
  <c r="H525" i="27"/>
  <c r="J524" i="27"/>
  <c r="G524" i="27"/>
  <c r="H524" i="27"/>
  <c r="J523" i="27"/>
  <c r="G523" i="27"/>
  <c r="H523" i="27"/>
  <c r="J522" i="27"/>
  <c r="G522" i="27"/>
  <c r="H522" i="27"/>
  <c r="J521" i="27"/>
  <c r="G521" i="27"/>
  <c r="H521" i="27"/>
  <c r="J520" i="27"/>
  <c r="G520" i="27"/>
  <c r="H520" i="27"/>
  <c r="J519" i="27"/>
  <c r="G519" i="27"/>
  <c r="H519" i="27"/>
  <c r="J518" i="27"/>
  <c r="G518" i="27"/>
  <c r="H518" i="27"/>
  <c r="J517" i="27"/>
  <c r="G517" i="27"/>
  <c r="H517" i="27"/>
  <c r="J516" i="27"/>
  <c r="G516" i="27"/>
  <c r="H516" i="27"/>
  <c r="J515" i="27"/>
  <c r="G515" i="27"/>
  <c r="H515" i="27"/>
  <c r="J514" i="27"/>
  <c r="G514" i="27"/>
  <c r="H514" i="27"/>
  <c r="J513" i="27"/>
  <c r="G513" i="27"/>
  <c r="H513" i="27"/>
  <c r="J512" i="27"/>
  <c r="G512" i="27"/>
  <c r="H512" i="27"/>
  <c r="J511" i="27"/>
  <c r="G511" i="27"/>
  <c r="H511" i="27"/>
  <c r="J510" i="27"/>
  <c r="G510" i="27"/>
  <c r="H510" i="27"/>
  <c r="J509" i="27"/>
  <c r="G509" i="27"/>
  <c r="H509" i="27"/>
  <c r="J508" i="27"/>
  <c r="G508" i="27"/>
  <c r="H508" i="27"/>
  <c r="J507" i="27"/>
  <c r="G507" i="27"/>
  <c r="H507" i="27"/>
  <c r="J506" i="27"/>
  <c r="G506" i="27"/>
  <c r="H506" i="27"/>
  <c r="J505" i="27"/>
  <c r="G505" i="27"/>
  <c r="H505" i="27"/>
  <c r="J504" i="27"/>
  <c r="G504" i="27"/>
  <c r="H504" i="27"/>
  <c r="J503" i="27"/>
  <c r="H503" i="27"/>
  <c r="J502" i="27"/>
  <c r="G502" i="27"/>
  <c r="H502" i="27"/>
  <c r="J501" i="27"/>
  <c r="H501" i="27"/>
  <c r="J500" i="27"/>
  <c r="H500" i="27"/>
  <c r="J499" i="27"/>
  <c r="H499" i="27"/>
  <c r="J498" i="27"/>
  <c r="H498" i="27"/>
  <c r="J497" i="27"/>
  <c r="H497" i="27"/>
  <c r="J496" i="27"/>
  <c r="H496" i="27"/>
  <c r="J495" i="27"/>
  <c r="H495" i="27"/>
  <c r="J494" i="27"/>
  <c r="H494" i="27"/>
  <c r="J493" i="27"/>
  <c r="H493" i="27"/>
  <c r="J492" i="27"/>
  <c r="H492" i="27"/>
  <c r="J491" i="27"/>
  <c r="H491" i="27"/>
  <c r="J490" i="27"/>
  <c r="H490" i="27"/>
  <c r="J489" i="27"/>
  <c r="H489" i="27"/>
  <c r="J488" i="27"/>
  <c r="H488" i="27"/>
  <c r="J487" i="27"/>
  <c r="H487" i="27"/>
  <c r="J486" i="27"/>
  <c r="H486" i="27"/>
  <c r="J485" i="27"/>
  <c r="H485" i="27"/>
  <c r="J484" i="27"/>
  <c r="H484" i="27"/>
  <c r="J483" i="27"/>
  <c r="H483" i="27"/>
  <c r="J482" i="27"/>
  <c r="H482" i="27"/>
  <c r="J481" i="27"/>
  <c r="H481" i="27"/>
  <c r="J480" i="27"/>
  <c r="H480" i="27"/>
  <c r="J479" i="27"/>
  <c r="H479" i="27"/>
  <c r="J478" i="27"/>
  <c r="H478" i="27"/>
  <c r="J477" i="27"/>
  <c r="H477" i="27"/>
  <c r="J476" i="27"/>
  <c r="H476" i="27"/>
  <c r="J475" i="27"/>
  <c r="H475" i="27"/>
  <c r="J474" i="27"/>
  <c r="H474" i="27"/>
  <c r="J473" i="27"/>
  <c r="H473" i="27"/>
  <c r="J472" i="27"/>
  <c r="H472" i="27"/>
  <c r="J471" i="27"/>
  <c r="H471" i="27"/>
  <c r="J470" i="27"/>
  <c r="H470" i="27"/>
  <c r="J469" i="27"/>
  <c r="H469" i="27"/>
  <c r="J468" i="27"/>
  <c r="H468" i="27"/>
  <c r="J467" i="27"/>
  <c r="H467" i="27"/>
  <c r="J466" i="27"/>
  <c r="H466" i="27"/>
  <c r="J465" i="27"/>
  <c r="H465" i="27"/>
  <c r="J464" i="27"/>
  <c r="H464" i="27"/>
  <c r="J463" i="27"/>
  <c r="H463" i="27"/>
  <c r="J462" i="27"/>
  <c r="H462" i="27"/>
  <c r="J461" i="27"/>
  <c r="H461" i="27"/>
  <c r="J460" i="27"/>
  <c r="H460" i="27"/>
  <c r="J459" i="27"/>
  <c r="H459" i="27"/>
  <c r="J458" i="27"/>
  <c r="H458" i="27"/>
  <c r="J457" i="27"/>
  <c r="H457" i="27"/>
  <c r="J456" i="27"/>
  <c r="H456" i="27"/>
  <c r="J455" i="27"/>
  <c r="H455" i="27"/>
  <c r="J454" i="27"/>
  <c r="H454" i="27"/>
  <c r="J453" i="27"/>
  <c r="H453" i="27"/>
  <c r="J452" i="27"/>
  <c r="H452" i="27"/>
  <c r="J451" i="27"/>
  <c r="H451" i="27"/>
  <c r="J450" i="27"/>
  <c r="H450" i="27"/>
  <c r="J449" i="27"/>
  <c r="H449" i="27"/>
  <c r="J448" i="27"/>
  <c r="H448" i="27"/>
  <c r="J447" i="27"/>
  <c r="H447" i="27"/>
  <c r="J446" i="27"/>
  <c r="H446" i="27"/>
  <c r="J445" i="27"/>
  <c r="H445" i="27"/>
  <c r="J444" i="27"/>
  <c r="H444" i="27"/>
  <c r="J443" i="27"/>
  <c r="H443" i="27"/>
  <c r="J442" i="27"/>
  <c r="H442" i="27"/>
  <c r="J441" i="27"/>
  <c r="H441" i="27"/>
  <c r="J440" i="27"/>
  <c r="H440" i="27"/>
  <c r="J439" i="27"/>
  <c r="H439" i="27"/>
  <c r="J438" i="27"/>
  <c r="H438" i="27"/>
  <c r="J437" i="27"/>
  <c r="H437" i="27"/>
  <c r="J436" i="27"/>
  <c r="H436" i="27"/>
  <c r="J435" i="27"/>
  <c r="H435" i="27"/>
  <c r="J434" i="27"/>
  <c r="H434" i="27"/>
  <c r="J433" i="27"/>
  <c r="H433" i="27"/>
  <c r="J432" i="27"/>
  <c r="H432" i="27"/>
  <c r="J431" i="27"/>
  <c r="H431" i="27"/>
  <c r="J430" i="27"/>
  <c r="H430" i="27"/>
  <c r="J429" i="27"/>
  <c r="H429" i="27"/>
  <c r="J428" i="27"/>
  <c r="H428" i="27"/>
  <c r="J427" i="27"/>
  <c r="H427" i="27"/>
  <c r="J426" i="27"/>
  <c r="H426" i="27"/>
  <c r="J425" i="27"/>
  <c r="H425" i="27"/>
  <c r="J424" i="27"/>
  <c r="H424" i="27"/>
  <c r="J423" i="27"/>
  <c r="H423" i="27"/>
  <c r="J422" i="27"/>
  <c r="H422" i="27"/>
  <c r="J421" i="27"/>
  <c r="H421" i="27"/>
  <c r="J420" i="27"/>
  <c r="H420" i="27"/>
  <c r="J419" i="27"/>
  <c r="H419" i="27"/>
  <c r="J418" i="27"/>
  <c r="H418" i="27"/>
  <c r="J417" i="27"/>
  <c r="H417" i="27"/>
  <c r="J416" i="27"/>
  <c r="H416" i="27"/>
  <c r="J415" i="27"/>
  <c r="H415" i="27"/>
  <c r="J414" i="27"/>
  <c r="H414" i="27"/>
  <c r="J413" i="27"/>
  <c r="H413" i="27"/>
  <c r="J412" i="27"/>
  <c r="H412" i="27"/>
  <c r="J411" i="27"/>
  <c r="H411" i="27"/>
  <c r="J410" i="27"/>
  <c r="H410" i="27"/>
  <c r="J409" i="27"/>
  <c r="H409" i="27"/>
  <c r="J408" i="27"/>
  <c r="H408" i="27"/>
  <c r="J407" i="27"/>
  <c r="H407" i="27"/>
  <c r="J406" i="27"/>
  <c r="H406" i="27"/>
  <c r="J405" i="27"/>
  <c r="H405" i="27"/>
  <c r="J404" i="27"/>
  <c r="H404" i="27"/>
  <c r="J403" i="27"/>
  <c r="H403" i="27"/>
  <c r="J402" i="27"/>
  <c r="H402" i="27"/>
  <c r="J401" i="27"/>
  <c r="H401" i="27"/>
  <c r="J400" i="27"/>
  <c r="H400" i="27"/>
  <c r="J399" i="27"/>
  <c r="H399" i="27"/>
  <c r="J398" i="27"/>
  <c r="H398" i="27"/>
  <c r="J397" i="27"/>
  <c r="H397" i="27"/>
  <c r="J396" i="27"/>
  <c r="H396" i="27"/>
  <c r="J395" i="27"/>
  <c r="H395" i="27"/>
  <c r="J394" i="27"/>
  <c r="H394" i="27"/>
  <c r="J393" i="27"/>
  <c r="H393" i="27"/>
  <c r="J392" i="27"/>
  <c r="H392" i="27"/>
  <c r="J391" i="27"/>
  <c r="H391" i="27"/>
  <c r="J390" i="27"/>
  <c r="H390" i="27"/>
  <c r="J389" i="27"/>
  <c r="H389" i="27"/>
  <c r="J388" i="27"/>
  <c r="H388" i="27"/>
  <c r="J387" i="27"/>
  <c r="H387" i="27"/>
  <c r="J386" i="27"/>
  <c r="H386" i="27"/>
  <c r="J385" i="27"/>
  <c r="H385" i="27"/>
  <c r="J384" i="27"/>
  <c r="H384" i="27"/>
  <c r="J383" i="27"/>
  <c r="H383" i="27"/>
  <c r="J382" i="27"/>
  <c r="H382" i="27"/>
  <c r="J381" i="27"/>
  <c r="H381" i="27"/>
  <c r="J380" i="27"/>
  <c r="H380" i="27"/>
  <c r="J379" i="27"/>
  <c r="H379" i="27"/>
  <c r="J378" i="27"/>
  <c r="H378" i="27"/>
  <c r="J377" i="27"/>
  <c r="H377" i="27"/>
  <c r="J376" i="27"/>
  <c r="H376" i="27"/>
  <c r="J375" i="27"/>
  <c r="H375" i="27"/>
  <c r="J374" i="27"/>
  <c r="H374" i="27"/>
  <c r="J373" i="27"/>
  <c r="H373" i="27"/>
  <c r="J372" i="27"/>
  <c r="H372" i="27"/>
  <c r="J371" i="27"/>
  <c r="H371" i="27"/>
  <c r="J370" i="27"/>
  <c r="H370" i="27"/>
  <c r="J369" i="27"/>
  <c r="H369" i="27"/>
  <c r="J368" i="27"/>
  <c r="H368" i="27"/>
  <c r="J367" i="27"/>
  <c r="H367" i="27"/>
  <c r="J366" i="27"/>
  <c r="H366" i="27"/>
  <c r="J365" i="27"/>
  <c r="H365" i="27"/>
  <c r="J364" i="27"/>
  <c r="H364" i="27"/>
  <c r="J363" i="27"/>
  <c r="H363" i="27"/>
  <c r="J362" i="27"/>
  <c r="H362" i="27"/>
  <c r="J361" i="27"/>
  <c r="H361" i="27"/>
  <c r="J360" i="27"/>
  <c r="H360" i="27"/>
  <c r="J359" i="27"/>
  <c r="H359" i="27"/>
  <c r="J358" i="27"/>
  <c r="H358" i="27"/>
  <c r="J357" i="27"/>
  <c r="H357" i="27"/>
  <c r="J356" i="27"/>
  <c r="H356" i="27"/>
  <c r="J355" i="27"/>
  <c r="H355" i="27"/>
  <c r="J354" i="27"/>
  <c r="H354" i="27"/>
  <c r="J353" i="27"/>
  <c r="H353" i="27"/>
  <c r="J352" i="27"/>
  <c r="H352" i="27"/>
  <c r="J351" i="27"/>
  <c r="H351" i="27"/>
  <c r="J350" i="27"/>
  <c r="H350" i="27"/>
  <c r="J349" i="27"/>
  <c r="H349" i="27"/>
  <c r="J348" i="27"/>
  <c r="H348" i="27"/>
  <c r="J347" i="27"/>
  <c r="H347" i="27"/>
  <c r="J346" i="27"/>
  <c r="H346" i="27"/>
  <c r="J345" i="27"/>
  <c r="H345" i="27"/>
  <c r="J344" i="27"/>
  <c r="H344" i="27"/>
  <c r="J343" i="27"/>
  <c r="H343" i="27"/>
  <c r="J342" i="27"/>
  <c r="H342" i="27"/>
  <c r="J341" i="27"/>
  <c r="H341" i="27"/>
  <c r="J340" i="27"/>
  <c r="H340" i="27"/>
  <c r="J339" i="27"/>
  <c r="H339" i="27"/>
  <c r="J338" i="27"/>
  <c r="H338" i="27"/>
  <c r="J337" i="27"/>
  <c r="H337" i="27"/>
  <c r="J336" i="27"/>
  <c r="H336" i="27"/>
  <c r="J335" i="27"/>
  <c r="H335" i="27"/>
  <c r="J334" i="27"/>
  <c r="H334" i="27"/>
  <c r="J333" i="27"/>
  <c r="H333" i="27"/>
  <c r="J332" i="27"/>
  <c r="H332" i="27"/>
  <c r="J331" i="27"/>
  <c r="H331" i="27"/>
  <c r="J330" i="27"/>
  <c r="H330" i="27"/>
  <c r="J329" i="27"/>
  <c r="H329" i="27"/>
  <c r="J328" i="27"/>
  <c r="H328" i="27"/>
  <c r="J327" i="27"/>
  <c r="H327" i="27"/>
  <c r="J326" i="27"/>
  <c r="H326" i="27"/>
  <c r="J325" i="27"/>
  <c r="H325" i="27"/>
  <c r="J324" i="27"/>
  <c r="H324" i="27"/>
  <c r="J323" i="27"/>
  <c r="H323" i="27"/>
  <c r="J322" i="27"/>
  <c r="H322" i="27"/>
  <c r="J321" i="27"/>
  <c r="H321" i="27"/>
  <c r="J320" i="27"/>
  <c r="H320" i="27"/>
  <c r="J319" i="27"/>
  <c r="H319" i="27"/>
  <c r="J318" i="27"/>
  <c r="H318" i="27"/>
  <c r="J317" i="27"/>
  <c r="H317" i="27"/>
  <c r="J316" i="27"/>
  <c r="H316" i="27"/>
  <c r="J315" i="27"/>
  <c r="H315" i="27"/>
  <c r="J314" i="27"/>
  <c r="H314" i="27"/>
  <c r="J313" i="27"/>
  <c r="H313" i="27"/>
  <c r="J312" i="27"/>
  <c r="H312" i="27"/>
  <c r="J311" i="27"/>
  <c r="H311" i="27"/>
  <c r="J310" i="27"/>
  <c r="H310" i="27"/>
  <c r="J309" i="27"/>
  <c r="H309" i="27"/>
  <c r="J308" i="27"/>
  <c r="H308" i="27"/>
  <c r="J307" i="27"/>
  <c r="H307" i="27"/>
  <c r="J306" i="27"/>
  <c r="H306" i="27"/>
  <c r="J305" i="27"/>
  <c r="H305" i="27"/>
  <c r="J304" i="27"/>
  <c r="H304" i="27"/>
  <c r="J303" i="27"/>
  <c r="H303" i="27"/>
  <c r="J302" i="27"/>
  <c r="H302" i="27"/>
  <c r="J301" i="27"/>
  <c r="H301" i="27"/>
  <c r="J300" i="27"/>
  <c r="H300" i="27"/>
  <c r="J299" i="27"/>
  <c r="H299" i="27"/>
  <c r="J298" i="27"/>
  <c r="H298" i="27"/>
  <c r="J297" i="27"/>
  <c r="H297" i="27"/>
  <c r="J296" i="27"/>
  <c r="H296" i="27"/>
  <c r="J295" i="27"/>
  <c r="H295" i="27"/>
  <c r="J294" i="27"/>
  <c r="H294" i="27"/>
  <c r="J293" i="27"/>
  <c r="H293" i="27"/>
  <c r="J292" i="27"/>
  <c r="H292" i="27"/>
  <c r="J291" i="27"/>
  <c r="H291" i="27"/>
  <c r="J290" i="27"/>
  <c r="H290" i="27"/>
  <c r="J289" i="27"/>
  <c r="H289" i="27"/>
  <c r="J288" i="27"/>
  <c r="H288" i="27"/>
  <c r="J287" i="27"/>
  <c r="H287" i="27"/>
  <c r="J286" i="27"/>
  <c r="H286" i="27"/>
  <c r="J285" i="27"/>
  <c r="H285" i="27"/>
  <c r="J284" i="27"/>
  <c r="H284" i="27"/>
  <c r="J283" i="27"/>
  <c r="H283" i="27"/>
  <c r="J282" i="27"/>
  <c r="H282" i="27"/>
  <c r="J281" i="27"/>
  <c r="H281" i="27"/>
  <c r="J280" i="27"/>
  <c r="H280" i="27"/>
  <c r="J279" i="27"/>
  <c r="H279" i="27"/>
  <c r="J278" i="27"/>
  <c r="H278" i="27"/>
  <c r="J277" i="27"/>
  <c r="H277" i="27"/>
  <c r="J276" i="27"/>
  <c r="H276" i="27"/>
  <c r="J275" i="27"/>
  <c r="H275" i="27"/>
  <c r="J274" i="27"/>
  <c r="H274" i="27"/>
  <c r="J273" i="27"/>
  <c r="H273" i="27"/>
  <c r="J272" i="27"/>
  <c r="H272" i="27"/>
  <c r="J271" i="27"/>
  <c r="H271" i="27"/>
  <c r="J270" i="27"/>
  <c r="H270" i="27"/>
  <c r="J269" i="27"/>
  <c r="H269" i="27"/>
  <c r="J268" i="27"/>
  <c r="H268" i="27"/>
  <c r="J267" i="27"/>
  <c r="H267" i="27"/>
  <c r="J266" i="27"/>
  <c r="H266" i="27"/>
  <c r="J265" i="27"/>
  <c r="H265" i="27"/>
  <c r="J264" i="27"/>
  <c r="H264" i="27"/>
  <c r="J263" i="27"/>
  <c r="H263" i="27"/>
  <c r="J262" i="27"/>
  <c r="H262" i="27"/>
  <c r="J261" i="27"/>
  <c r="H261" i="27"/>
  <c r="J260" i="27"/>
  <c r="H260" i="27"/>
  <c r="J259" i="27"/>
  <c r="H259" i="27"/>
  <c r="J258" i="27"/>
  <c r="H258" i="27"/>
  <c r="J257" i="27"/>
  <c r="H257" i="27"/>
  <c r="J256" i="27"/>
  <c r="H256" i="27"/>
  <c r="J255" i="27"/>
  <c r="H255" i="27"/>
  <c r="J254" i="27"/>
  <c r="H254" i="27"/>
  <c r="J253" i="27"/>
  <c r="H253" i="27"/>
  <c r="J252" i="27"/>
  <c r="H252" i="27"/>
  <c r="J251" i="27"/>
  <c r="H251" i="27"/>
  <c r="J250" i="27"/>
  <c r="H250" i="27"/>
  <c r="J249" i="27"/>
  <c r="H249" i="27"/>
  <c r="J248" i="27"/>
  <c r="H248" i="27"/>
  <c r="J247" i="27"/>
  <c r="H247" i="27"/>
  <c r="J246" i="27"/>
  <c r="H246" i="27"/>
  <c r="J245" i="27"/>
  <c r="H245" i="27"/>
  <c r="J244" i="27"/>
  <c r="H244" i="27"/>
  <c r="J243" i="27"/>
  <c r="H243" i="27"/>
  <c r="J242" i="27"/>
  <c r="H242" i="27"/>
  <c r="J241" i="27"/>
  <c r="H241" i="27"/>
  <c r="J240" i="27"/>
  <c r="H240" i="27"/>
  <c r="J239" i="27"/>
  <c r="H239" i="27"/>
  <c r="J238" i="27"/>
  <c r="H238" i="27"/>
  <c r="J237" i="27"/>
  <c r="H237" i="27"/>
  <c r="J236" i="27"/>
  <c r="H236" i="27"/>
  <c r="J235" i="27"/>
  <c r="H235" i="27"/>
  <c r="J234" i="27"/>
  <c r="H234" i="27"/>
  <c r="J233" i="27"/>
  <c r="H233" i="27"/>
  <c r="J232" i="27"/>
  <c r="H232" i="27"/>
  <c r="J231" i="27"/>
  <c r="H231" i="27"/>
  <c r="J230" i="27"/>
  <c r="H230" i="27"/>
  <c r="J229" i="27"/>
  <c r="H229" i="27"/>
  <c r="J228" i="27"/>
  <c r="H228" i="27"/>
  <c r="J227" i="27"/>
  <c r="H227" i="27"/>
  <c r="J226" i="27"/>
  <c r="H226" i="27"/>
  <c r="J225" i="27"/>
  <c r="H225" i="27"/>
  <c r="J224" i="27"/>
  <c r="H224" i="27"/>
  <c r="J223" i="27"/>
  <c r="H223" i="27"/>
  <c r="J222" i="27"/>
  <c r="H222" i="27"/>
  <c r="J221" i="27"/>
  <c r="H221" i="27"/>
  <c r="J220" i="27"/>
  <c r="H220" i="27"/>
  <c r="J219" i="27"/>
  <c r="H219" i="27"/>
  <c r="J218" i="27"/>
  <c r="H218" i="27"/>
  <c r="J217" i="27"/>
  <c r="H217" i="27"/>
  <c r="J216" i="27"/>
  <c r="H216" i="27"/>
  <c r="J215" i="27"/>
  <c r="H215" i="27"/>
  <c r="J214" i="27"/>
  <c r="H214" i="27"/>
  <c r="J213" i="27"/>
  <c r="H213" i="27"/>
  <c r="J212" i="27"/>
  <c r="H212" i="27"/>
  <c r="J211" i="27"/>
  <c r="H211" i="27"/>
  <c r="J210" i="27"/>
  <c r="H210" i="27"/>
  <c r="J209" i="27"/>
  <c r="H209" i="27"/>
  <c r="J208" i="27"/>
  <c r="H208" i="27"/>
  <c r="J207" i="27"/>
  <c r="H207" i="27"/>
  <c r="J206" i="27"/>
  <c r="H206" i="27"/>
  <c r="J205" i="27"/>
  <c r="H205" i="27"/>
  <c r="J204" i="27"/>
  <c r="H204" i="27"/>
  <c r="J203" i="27"/>
  <c r="H203" i="27"/>
  <c r="J202" i="27"/>
  <c r="H202" i="27"/>
  <c r="J201" i="27"/>
  <c r="H201" i="27"/>
  <c r="J200" i="27"/>
  <c r="H200" i="27"/>
  <c r="J199" i="27"/>
  <c r="H199" i="27"/>
  <c r="J198" i="27"/>
  <c r="H198" i="27"/>
  <c r="J197" i="27"/>
  <c r="H197" i="27"/>
  <c r="J196" i="27"/>
  <c r="H196" i="27"/>
  <c r="J195" i="27"/>
  <c r="H195" i="27"/>
  <c r="J194" i="27"/>
  <c r="H194" i="27"/>
  <c r="J193" i="27"/>
  <c r="H193" i="27"/>
  <c r="J192" i="27"/>
  <c r="H192" i="27"/>
  <c r="J191" i="27"/>
  <c r="H191" i="27"/>
  <c r="J190" i="27"/>
  <c r="H190" i="27"/>
  <c r="J189" i="27"/>
  <c r="H189" i="27"/>
  <c r="J188" i="27"/>
  <c r="H188" i="27"/>
  <c r="J187" i="27"/>
  <c r="H187" i="27"/>
  <c r="J186" i="27"/>
  <c r="H186" i="27"/>
  <c r="J185" i="27"/>
  <c r="H185" i="27"/>
  <c r="J184" i="27"/>
  <c r="H184" i="27"/>
  <c r="J183" i="27"/>
  <c r="H183" i="27"/>
  <c r="J182" i="27"/>
  <c r="H182" i="27"/>
  <c r="J181" i="27"/>
  <c r="H181" i="27"/>
  <c r="J180" i="27"/>
  <c r="H180" i="27"/>
  <c r="J179" i="27"/>
  <c r="H179" i="27"/>
  <c r="J178" i="27"/>
  <c r="H178" i="27"/>
  <c r="J177" i="27"/>
  <c r="H177" i="27"/>
  <c r="J176" i="27"/>
  <c r="H176" i="27"/>
  <c r="J175" i="27"/>
  <c r="H175" i="27"/>
  <c r="J174" i="27"/>
  <c r="H174" i="27"/>
  <c r="J173" i="27"/>
  <c r="H173" i="27"/>
  <c r="J172" i="27"/>
  <c r="H172" i="27"/>
  <c r="J171" i="27"/>
  <c r="H171" i="27"/>
  <c r="J170" i="27"/>
  <c r="H170" i="27"/>
  <c r="J169" i="27"/>
  <c r="H169" i="27"/>
  <c r="J168" i="27"/>
  <c r="H168" i="27"/>
  <c r="J167" i="27"/>
  <c r="H167" i="27"/>
  <c r="J166" i="27"/>
  <c r="H166" i="27"/>
  <c r="J165" i="27"/>
  <c r="H165" i="27"/>
  <c r="J164" i="27"/>
  <c r="H164" i="27"/>
  <c r="J163" i="27"/>
  <c r="H163" i="27"/>
  <c r="J162" i="27"/>
  <c r="H162" i="27"/>
  <c r="J161" i="27"/>
  <c r="H161" i="27"/>
  <c r="J160" i="27"/>
  <c r="H160" i="27"/>
  <c r="J159" i="27"/>
  <c r="H159" i="27"/>
  <c r="J158" i="27"/>
  <c r="H158" i="27"/>
  <c r="J157" i="27"/>
  <c r="H157" i="27"/>
  <c r="J156" i="27"/>
  <c r="H156" i="27"/>
  <c r="J155" i="27"/>
  <c r="H155" i="27"/>
  <c r="J154" i="27"/>
  <c r="H154" i="27"/>
  <c r="J153" i="27"/>
  <c r="H153" i="27"/>
  <c r="J152" i="27"/>
  <c r="H152" i="27"/>
  <c r="J151" i="27"/>
  <c r="H151" i="27"/>
  <c r="J150" i="27"/>
  <c r="H150" i="27"/>
  <c r="J149" i="27"/>
  <c r="H149" i="27"/>
  <c r="J148" i="27"/>
  <c r="H148" i="27"/>
  <c r="J147" i="27"/>
  <c r="H147" i="27"/>
  <c r="J146" i="27"/>
  <c r="H146" i="27"/>
  <c r="J145" i="27"/>
  <c r="H145" i="27"/>
  <c r="J144" i="27"/>
  <c r="H144" i="27"/>
  <c r="J143" i="27"/>
  <c r="H143" i="27"/>
  <c r="J142" i="27"/>
  <c r="H142" i="27"/>
  <c r="J141" i="27"/>
  <c r="H141" i="27"/>
  <c r="J140" i="27"/>
  <c r="H140" i="27"/>
  <c r="J139" i="27"/>
  <c r="H139" i="27"/>
  <c r="J138" i="27"/>
  <c r="H138" i="27"/>
  <c r="J137" i="27"/>
  <c r="H137" i="27"/>
  <c r="J136" i="27"/>
  <c r="H136" i="27"/>
  <c r="J135" i="27"/>
  <c r="H135" i="27"/>
  <c r="J134" i="27"/>
  <c r="H134" i="27"/>
  <c r="J133" i="27"/>
  <c r="H133" i="27"/>
  <c r="J132" i="27"/>
  <c r="H132" i="27"/>
  <c r="J131" i="27"/>
  <c r="H131" i="27"/>
  <c r="J130" i="27"/>
  <c r="H130" i="27"/>
  <c r="J129" i="27"/>
  <c r="H129" i="27"/>
  <c r="J128" i="27"/>
  <c r="H128" i="27"/>
  <c r="J127" i="27"/>
  <c r="H127" i="27"/>
  <c r="J126" i="27"/>
  <c r="H126" i="27"/>
  <c r="J125" i="27"/>
  <c r="H125" i="27"/>
  <c r="J124" i="27"/>
  <c r="H124" i="27"/>
  <c r="J123" i="27"/>
  <c r="H123" i="27"/>
  <c r="J122" i="27"/>
  <c r="H122" i="27"/>
  <c r="J121" i="27"/>
  <c r="H121" i="27"/>
  <c r="J120" i="27"/>
  <c r="H120" i="27"/>
  <c r="J119" i="27"/>
  <c r="H119" i="27"/>
  <c r="J118" i="27"/>
  <c r="H118" i="27"/>
  <c r="J117" i="27"/>
  <c r="H117" i="27"/>
  <c r="J116" i="27"/>
  <c r="H116" i="27"/>
  <c r="J115" i="27"/>
  <c r="H115" i="27"/>
  <c r="J114" i="27"/>
  <c r="H114" i="27"/>
  <c r="J113" i="27"/>
  <c r="H113" i="27"/>
  <c r="J112" i="27"/>
  <c r="H112" i="27"/>
  <c r="J111" i="27"/>
  <c r="H111" i="27"/>
  <c r="J110" i="27"/>
  <c r="H110" i="27"/>
  <c r="J109" i="27"/>
  <c r="H109" i="27"/>
  <c r="J108" i="27"/>
  <c r="H108" i="27"/>
  <c r="J107" i="27"/>
  <c r="H107" i="27"/>
  <c r="J106" i="27"/>
  <c r="H106" i="27"/>
  <c r="J105" i="27"/>
  <c r="H105" i="27"/>
  <c r="J104" i="27"/>
  <c r="H104" i="27"/>
  <c r="J103" i="27"/>
  <c r="H103" i="27"/>
  <c r="J102" i="27"/>
  <c r="H102" i="27"/>
  <c r="J101" i="27"/>
  <c r="H101" i="27"/>
  <c r="J100" i="27"/>
  <c r="H100" i="27"/>
  <c r="J99" i="27"/>
  <c r="H99" i="27"/>
  <c r="J98" i="27"/>
  <c r="H98" i="27"/>
  <c r="J97" i="27"/>
  <c r="H97" i="27"/>
  <c r="J96" i="27"/>
  <c r="H96" i="27"/>
  <c r="J95" i="27"/>
  <c r="H95" i="27"/>
  <c r="J94" i="27"/>
  <c r="H94" i="27"/>
  <c r="J93" i="27"/>
  <c r="H93" i="27"/>
  <c r="J92" i="27"/>
  <c r="H92" i="27"/>
  <c r="J91" i="27"/>
  <c r="H91" i="27"/>
  <c r="J90" i="27"/>
  <c r="H90" i="27"/>
  <c r="J89" i="27"/>
  <c r="H89" i="27"/>
  <c r="J88" i="27"/>
  <c r="H88" i="27"/>
  <c r="J87" i="27"/>
  <c r="H87" i="27"/>
  <c r="J86" i="27"/>
  <c r="H86" i="27"/>
  <c r="J85" i="27"/>
  <c r="H85" i="27"/>
  <c r="J84" i="27"/>
  <c r="H84" i="27"/>
  <c r="J83" i="27"/>
  <c r="H83" i="27"/>
  <c r="J82" i="27"/>
  <c r="H82" i="27"/>
  <c r="J81" i="27"/>
  <c r="H81" i="27"/>
  <c r="J80" i="27"/>
  <c r="H80" i="27"/>
  <c r="J79" i="27"/>
  <c r="H79" i="27"/>
  <c r="J78" i="27"/>
  <c r="H78" i="27"/>
  <c r="J77" i="27"/>
  <c r="H77" i="27"/>
  <c r="J76" i="27"/>
  <c r="H76" i="27"/>
  <c r="J75" i="27"/>
  <c r="H75" i="27"/>
  <c r="J74" i="27"/>
  <c r="H74" i="27"/>
  <c r="J73" i="27"/>
  <c r="H73" i="27"/>
  <c r="J72" i="27"/>
  <c r="H72" i="27"/>
  <c r="J71" i="27"/>
  <c r="H71" i="27"/>
  <c r="J70" i="27"/>
  <c r="H70" i="27"/>
  <c r="J69" i="27"/>
  <c r="H69" i="27"/>
  <c r="J68" i="27"/>
  <c r="H68" i="27"/>
  <c r="J67" i="27"/>
  <c r="H67" i="27"/>
  <c r="J66" i="27"/>
  <c r="H66" i="27"/>
  <c r="J65" i="27"/>
  <c r="H65" i="27"/>
  <c r="J64" i="27"/>
  <c r="H64" i="27"/>
  <c r="J63" i="27"/>
  <c r="H63" i="27"/>
  <c r="J62" i="27"/>
  <c r="H62" i="27"/>
  <c r="J61" i="27"/>
  <c r="H61" i="27"/>
  <c r="J60" i="27"/>
  <c r="H60" i="27"/>
  <c r="J59" i="27"/>
  <c r="H59" i="27"/>
  <c r="J58" i="27"/>
  <c r="H58" i="27"/>
  <c r="J57" i="27"/>
  <c r="H57" i="27"/>
  <c r="J56" i="27"/>
  <c r="H56" i="27"/>
  <c r="J55" i="27"/>
  <c r="H55" i="27"/>
  <c r="J54" i="27"/>
  <c r="H54" i="27"/>
  <c r="J53" i="27"/>
  <c r="H53" i="27"/>
  <c r="J52" i="27"/>
  <c r="H52" i="27"/>
  <c r="J51" i="27"/>
  <c r="H51" i="27"/>
  <c r="J50" i="27"/>
  <c r="H50" i="27"/>
  <c r="J49" i="27"/>
  <c r="H49" i="27"/>
  <c r="J48" i="27"/>
  <c r="H48" i="27"/>
  <c r="J47" i="27"/>
  <c r="H47" i="27"/>
  <c r="J46" i="27"/>
  <c r="H46" i="27"/>
  <c r="J45" i="27"/>
  <c r="H45" i="27"/>
  <c r="J44" i="27"/>
  <c r="H44" i="27"/>
  <c r="J43" i="27"/>
  <c r="H43" i="27"/>
  <c r="J42" i="27"/>
  <c r="H42" i="27"/>
  <c r="J41" i="27"/>
  <c r="H41" i="27"/>
  <c r="J40" i="27"/>
  <c r="H40" i="27"/>
  <c r="J39" i="27"/>
  <c r="H39" i="27"/>
  <c r="J38" i="27"/>
  <c r="H38" i="27"/>
  <c r="J37" i="27"/>
  <c r="H37" i="27"/>
  <c r="J36" i="27"/>
  <c r="H36" i="27"/>
  <c r="J35" i="27"/>
  <c r="H35" i="27"/>
  <c r="J34" i="27"/>
  <c r="H34" i="27"/>
  <c r="J33" i="27"/>
  <c r="H33" i="27"/>
  <c r="J32" i="27"/>
  <c r="H32" i="27"/>
  <c r="J31" i="27"/>
  <c r="H31" i="27"/>
  <c r="J30" i="27"/>
  <c r="H30" i="27"/>
  <c r="J29" i="27"/>
  <c r="H29" i="27"/>
  <c r="J28" i="27"/>
  <c r="H28" i="27"/>
  <c r="J27" i="27"/>
  <c r="H27" i="27"/>
  <c r="J26" i="27"/>
  <c r="H26" i="27"/>
  <c r="J25" i="27"/>
  <c r="H25" i="27"/>
  <c r="J24" i="27"/>
  <c r="H24" i="27"/>
  <c r="J23" i="27"/>
  <c r="H23" i="27"/>
  <c r="J22" i="27"/>
  <c r="H22" i="27"/>
  <c r="J21" i="27"/>
  <c r="H21" i="27"/>
  <c r="J20" i="27"/>
  <c r="H20" i="27"/>
  <c r="J19" i="27"/>
  <c r="H19" i="27"/>
  <c r="J18" i="27"/>
  <c r="H18" i="27"/>
  <c r="J17" i="27"/>
  <c r="H17" i="27"/>
  <c r="J16" i="27"/>
  <c r="H16" i="27"/>
  <c r="J15" i="27"/>
  <c r="H15" i="27"/>
  <c r="J14" i="27"/>
  <c r="H14" i="27"/>
  <c r="J13" i="27"/>
  <c r="H13" i="27"/>
  <c r="J12" i="27"/>
  <c r="H12" i="27"/>
  <c r="J11" i="27"/>
  <c r="H11" i="27"/>
  <c r="J10" i="27"/>
  <c r="H10" i="27"/>
  <c r="J9" i="27"/>
  <c r="H9" i="27"/>
  <c r="J8" i="27"/>
  <c r="H8" i="27"/>
  <c r="J7" i="27"/>
  <c r="H7" i="27"/>
  <c r="J6" i="27"/>
  <c r="H6" i="27"/>
  <c r="J5" i="27"/>
  <c r="H5" i="27"/>
  <c r="J4" i="27"/>
  <c r="I4" i="27" s="1"/>
  <c r="I5" i="27" s="1"/>
  <c r="I6" i="27" s="1"/>
  <c r="I7" i="27" s="1"/>
  <c r="I8" i="27" s="1"/>
  <c r="I9" i="27" s="1"/>
  <c r="I10" i="27" s="1"/>
  <c r="I11" i="27" s="1"/>
  <c r="I12" i="27" s="1"/>
  <c r="I13" i="27" s="1"/>
  <c r="I14" i="27" s="1"/>
  <c r="I15" i="27" s="1"/>
  <c r="I16" i="27" s="1"/>
  <c r="I17" i="27" s="1"/>
  <c r="I18" i="27" s="1"/>
  <c r="I19" i="27" s="1"/>
  <c r="I20" i="27" s="1"/>
  <c r="I21" i="27" s="1"/>
  <c r="I22" i="27" s="1"/>
  <c r="I23" i="27" s="1"/>
  <c r="I24" i="27" s="1"/>
  <c r="I25" i="27" s="1"/>
  <c r="I26" i="27" s="1"/>
  <c r="I27" i="27" s="1"/>
  <c r="I28" i="27" s="1"/>
  <c r="I29" i="27" s="1"/>
  <c r="I30" i="27" s="1"/>
  <c r="I31" i="27" s="1"/>
  <c r="I32" i="27" s="1"/>
  <c r="I33" i="27" s="1"/>
  <c r="I34" i="27" s="1"/>
  <c r="I35" i="27" s="1"/>
  <c r="I36" i="27" s="1"/>
  <c r="I37" i="27" s="1"/>
  <c r="I38" i="27" s="1"/>
  <c r="I39" i="27" s="1"/>
  <c r="I40" i="27" s="1"/>
  <c r="I41" i="27" s="1"/>
  <c r="I42" i="27" s="1"/>
  <c r="I43" i="27" s="1"/>
  <c r="I44" i="27" s="1"/>
  <c r="I45" i="27" s="1"/>
  <c r="I46" i="27" s="1"/>
  <c r="I47" i="27" s="1"/>
  <c r="I48" i="27" s="1"/>
  <c r="I49" i="27" s="1"/>
  <c r="I50" i="27" s="1"/>
  <c r="I51" i="27" s="1"/>
  <c r="I52" i="27" s="1"/>
  <c r="I53" i="27" s="1"/>
  <c r="I54" i="27" s="1"/>
  <c r="I55" i="27" s="1"/>
  <c r="I56" i="27" s="1"/>
  <c r="I57" i="27" s="1"/>
  <c r="I58" i="27" s="1"/>
  <c r="I59" i="27" s="1"/>
  <c r="I60" i="27" s="1"/>
  <c r="I61" i="27" s="1"/>
  <c r="I62" i="27" s="1"/>
  <c r="I63" i="27" s="1"/>
  <c r="I64" i="27" s="1"/>
  <c r="I65" i="27" s="1"/>
  <c r="I66" i="27" s="1"/>
  <c r="I67" i="27" s="1"/>
  <c r="I68" i="27" s="1"/>
  <c r="I69" i="27" s="1"/>
  <c r="I70" i="27" s="1"/>
  <c r="I71" i="27" s="1"/>
  <c r="I72" i="27" s="1"/>
  <c r="I73" i="27" s="1"/>
  <c r="I74" i="27" s="1"/>
  <c r="I75" i="27" s="1"/>
  <c r="I76" i="27" s="1"/>
  <c r="I77" i="27" s="1"/>
  <c r="I78" i="27" s="1"/>
  <c r="I79" i="27" s="1"/>
  <c r="I80" i="27" s="1"/>
  <c r="I81" i="27" s="1"/>
  <c r="I82" i="27" s="1"/>
  <c r="I83" i="27" s="1"/>
  <c r="I84" i="27" s="1"/>
  <c r="I85" i="27" s="1"/>
  <c r="I86" i="27" s="1"/>
  <c r="I87" i="27" s="1"/>
  <c r="I88" i="27" s="1"/>
  <c r="I89" i="27" s="1"/>
  <c r="I90" i="27" s="1"/>
  <c r="H4" i="27"/>
  <c r="J715" i="24"/>
  <c r="H715" i="24"/>
  <c r="J714" i="24"/>
  <c r="H714" i="24"/>
  <c r="J713" i="24"/>
  <c r="H713" i="24"/>
  <c r="J712" i="24"/>
  <c r="H712" i="24"/>
  <c r="J711" i="24"/>
  <c r="H711" i="24"/>
  <c r="J710" i="24"/>
  <c r="H710" i="24"/>
  <c r="J709" i="24"/>
  <c r="H709" i="24"/>
  <c r="J708" i="24"/>
  <c r="H708" i="24"/>
  <c r="J707" i="24"/>
  <c r="H707" i="24"/>
  <c r="J706" i="24"/>
  <c r="H706" i="24"/>
  <c r="J705" i="24"/>
  <c r="H705" i="24"/>
  <c r="J704" i="24"/>
  <c r="H704" i="24"/>
  <c r="J703" i="24"/>
  <c r="H703" i="24"/>
  <c r="J702" i="24"/>
  <c r="H702" i="24"/>
  <c r="J701" i="24"/>
  <c r="H701" i="24"/>
  <c r="J700" i="24"/>
  <c r="H700" i="24"/>
  <c r="J699" i="24"/>
  <c r="H699" i="24"/>
  <c r="J698" i="24"/>
  <c r="H698" i="24"/>
  <c r="J697" i="24"/>
  <c r="H697" i="24"/>
  <c r="J696" i="24"/>
  <c r="H696" i="24"/>
  <c r="J695" i="24"/>
  <c r="H695" i="24"/>
  <c r="J694" i="24"/>
  <c r="H694" i="24"/>
  <c r="J693" i="24"/>
  <c r="H693" i="24"/>
  <c r="J692" i="24"/>
  <c r="H692" i="24"/>
  <c r="J691" i="24"/>
  <c r="H691" i="24"/>
  <c r="J690" i="24"/>
  <c r="H690" i="24"/>
  <c r="J689" i="24"/>
  <c r="H689" i="24"/>
  <c r="J688" i="24"/>
  <c r="H688" i="24"/>
  <c r="J687" i="24"/>
  <c r="H687" i="24"/>
  <c r="J686" i="24"/>
  <c r="H686" i="24"/>
  <c r="J685" i="24"/>
  <c r="H685" i="24"/>
  <c r="J684" i="24"/>
  <c r="H684" i="24"/>
  <c r="J683" i="24"/>
  <c r="H683" i="24"/>
  <c r="J682" i="24"/>
  <c r="H682" i="24"/>
  <c r="J681" i="24"/>
  <c r="H681" i="24"/>
  <c r="J680" i="24"/>
  <c r="H680" i="24"/>
  <c r="J679" i="24"/>
  <c r="H679" i="24"/>
  <c r="J678" i="24"/>
  <c r="H678" i="24"/>
  <c r="J677" i="24"/>
  <c r="H677" i="24"/>
  <c r="J676" i="24"/>
  <c r="H676" i="24"/>
  <c r="J675" i="24"/>
  <c r="H675" i="24"/>
  <c r="J674" i="24"/>
  <c r="H674" i="24"/>
  <c r="J673" i="24"/>
  <c r="H673" i="24"/>
  <c r="J672" i="24"/>
  <c r="H672" i="24"/>
  <c r="J671" i="24"/>
  <c r="H671" i="24"/>
  <c r="J670" i="24"/>
  <c r="H670" i="24"/>
  <c r="J669" i="24"/>
  <c r="H669" i="24"/>
  <c r="J668" i="24"/>
  <c r="H668" i="24"/>
  <c r="J667" i="24"/>
  <c r="H667" i="24"/>
  <c r="J666" i="24"/>
  <c r="H666" i="24"/>
  <c r="J665" i="24"/>
  <c r="H665" i="24"/>
  <c r="J664" i="24"/>
  <c r="H664" i="24"/>
  <c r="J663" i="24"/>
  <c r="H663" i="24"/>
  <c r="J662" i="24"/>
  <c r="H662" i="24"/>
  <c r="J661" i="24"/>
  <c r="H661" i="24"/>
  <c r="J660" i="24"/>
  <c r="H660" i="24"/>
  <c r="J659" i="24"/>
  <c r="H659" i="24"/>
  <c r="J658" i="24"/>
  <c r="H658" i="24"/>
  <c r="J657" i="24"/>
  <c r="H657" i="24"/>
  <c r="J656" i="24"/>
  <c r="H656" i="24"/>
  <c r="J655" i="24"/>
  <c r="H655" i="24"/>
  <c r="J654" i="24"/>
  <c r="H654" i="24"/>
  <c r="J653" i="24"/>
  <c r="H653" i="24"/>
  <c r="J652" i="24"/>
  <c r="H652" i="24"/>
  <c r="J651" i="24"/>
  <c r="H651" i="24"/>
  <c r="J650" i="24"/>
  <c r="H650" i="24"/>
  <c r="J649" i="24"/>
  <c r="H649" i="24"/>
  <c r="J648" i="24"/>
  <c r="H648" i="24"/>
  <c r="J647" i="24"/>
  <c r="H647" i="24"/>
  <c r="J646" i="24"/>
  <c r="H646" i="24"/>
  <c r="J645" i="24"/>
  <c r="H645" i="24"/>
  <c r="J644" i="24"/>
  <c r="H644" i="24"/>
  <c r="J643" i="24"/>
  <c r="H643" i="24"/>
  <c r="J642" i="24"/>
  <c r="H642" i="24"/>
  <c r="J641" i="24"/>
  <c r="H641" i="24"/>
  <c r="J640" i="24"/>
  <c r="H640" i="24"/>
  <c r="J639" i="24"/>
  <c r="H639" i="24"/>
  <c r="J638" i="24"/>
  <c r="H638" i="24"/>
  <c r="J637" i="24"/>
  <c r="H637" i="24"/>
  <c r="J636" i="24"/>
  <c r="H636" i="24"/>
  <c r="J635" i="24"/>
  <c r="H635" i="24"/>
  <c r="J634" i="24"/>
  <c r="H634" i="24"/>
  <c r="J633" i="24"/>
  <c r="H633" i="24"/>
  <c r="J632" i="24"/>
  <c r="H632" i="24"/>
  <c r="J631" i="24"/>
  <c r="H631" i="24"/>
  <c r="J630" i="24"/>
  <c r="H630" i="24"/>
  <c r="J629" i="24"/>
  <c r="H629" i="24"/>
  <c r="J628" i="24"/>
  <c r="H628" i="24"/>
  <c r="J627" i="24"/>
  <c r="H627" i="24"/>
  <c r="J626" i="24"/>
  <c r="H626" i="24"/>
  <c r="J625" i="24"/>
  <c r="H625" i="24"/>
  <c r="J624" i="24"/>
  <c r="H624" i="24"/>
  <c r="J623" i="24"/>
  <c r="H623" i="24"/>
  <c r="J622" i="24"/>
  <c r="H622" i="24"/>
  <c r="J621" i="24"/>
  <c r="H621" i="24"/>
  <c r="J620" i="24"/>
  <c r="H620" i="24"/>
  <c r="J619" i="24"/>
  <c r="H619" i="24"/>
  <c r="J618" i="24"/>
  <c r="H618" i="24"/>
  <c r="J617" i="24"/>
  <c r="H617" i="24"/>
  <c r="J616" i="24"/>
  <c r="H616" i="24"/>
  <c r="J615" i="24"/>
  <c r="H615" i="24"/>
  <c r="J614" i="24"/>
  <c r="H614" i="24"/>
  <c r="J613" i="24"/>
  <c r="H613" i="24"/>
  <c r="J612" i="24"/>
  <c r="H612" i="24"/>
  <c r="J611" i="24"/>
  <c r="H611" i="24"/>
  <c r="J610" i="24"/>
  <c r="H610" i="24"/>
  <c r="J609" i="24"/>
  <c r="H609" i="24"/>
  <c r="J608" i="24"/>
  <c r="H608" i="24"/>
  <c r="J607" i="24"/>
  <c r="H607" i="24"/>
  <c r="J606" i="24"/>
  <c r="H606" i="24"/>
  <c r="J605" i="24"/>
  <c r="H605" i="24"/>
  <c r="J604" i="24"/>
  <c r="H604" i="24"/>
  <c r="J603" i="24"/>
  <c r="H603" i="24"/>
  <c r="J602" i="24"/>
  <c r="H602" i="24"/>
  <c r="J601" i="24"/>
  <c r="H601" i="24"/>
  <c r="J600" i="24"/>
  <c r="H600" i="24"/>
  <c r="J599" i="24"/>
  <c r="H599" i="24"/>
  <c r="J598" i="24"/>
  <c r="H598" i="24"/>
  <c r="J597" i="24"/>
  <c r="H597" i="24"/>
  <c r="J596" i="24"/>
  <c r="H596" i="24"/>
  <c r="J595" i="24"/>
  <c r="H595" i="24"/>
  <c r="J594" i="24"/>
  <c r="H594" i="24"/>
  <c r="J593" i="24"/>
  <c r="H593" i="24"/>
  <c r="J592" i="24"/>
  <c r="H592" i="24"/>
  <c r="J591" i="24"/>
  <c r="H591" i="24"/>
  <c r="J590" i="24"/>
  <c r="H590" i="24"/>
  <c r="J589" i="24"/>
  <c r="H589" i="24"/>
  <c r="J588" i="24"/>
  <c r="H588" i="24"/>
  <c r="J587" i="24"/>
  <c r="H587" i="24"/>
  <c r="J586" i="24"/>
  <c r="H586" i="24"/>
  <c r="J585" i="24"/>
  <c r="H585" i="24"/>
  <c r="J584" i="24"/>
  <c r="H584" i="24"/>
  <c r="J583" i="24"/>
  <c r="H583" i="24"/>
  <c r="J582" i="24"/>
  <c r="H582" i="24"/>
  <c r="J581" i="24"/>
  <c r="H581" i="24"/>
  <c r="J580" i="24"/>
  <c r="J579" i="24"/>
  <c r="J578" i="24"/>
  <c r="J577" i="24"/>
  <c r="J576" i="24"/>
  <c r="J575" i="24"/>
  <c r="J574" i="24"/>
  <c r="J573" i="24"/>
  <c r="J572" i="24"/>
  <c r="J571" i="24"/>
  <c r="J570" i="24"/>
  <c r="J569" i="24"/>
  <c r="J568" i="24"/>
  <c r="J567" i="24"/>
  <c r="J566" i="24"/>
  <c r="J565" i="24"/>
  <c r="J564" i="24"/>
  <c r="J563" i="24"/>
  <c r="J562" i="24"/>
  <c r="J561" i="24"/>
  <c r="J560" i="24"/>
  <c r="J559" i="24"/>
  <c r="J558" i="24"/>
  <c r="J557" i="24"/>
  <c r="J556" i="24"/>
  <c r="J555" i="24"/>
  <c r="J554" i="24"/>
  <c r="J553" i="24"/>
  <c r="J552" i="24"/>
  <c r="J551" i="24"/>
  <c r="J550" i="24"/>
  <c r="J549" i="24"/>
  <c r="J548" i="24"/>
  <c r="J547" i="24"/>
  <c r="J546" i="24"/>
  <c r="J545" i="24"/>
  <c r="J544" i="24"/>
  <c r="J543" i="24"/>
  <c r="J542" i="24"/>
  <c r="J541" i="24"/>
  <c r="J540" i="24"/>
  <c r="H540" i="24"/>
  <c r="J539" i="24"/>
  <c r="H539" i="24"/>
  <c r="J538" i="24"/>
  <c r="J537" i="24"/>
  <c r="J536" i="24"/>
  <c r="J535" i="24"/>
  <c r="J534" i="24"/>
  <c r="H534" i="24"/>
  <c r="J533" i="24"/>
  <c r="J532" i="24"/>
  <c r="J531" i="24"/>
  <c r="J530" i="24"/>
  <c r="J529" i="24"/>
  <c r="J528" i="24"/>
  <c r="J527" i="24"/>
  <c r="J526" i="24"/>
  <c r="J525" i="24"/>
  <c r="J524" i="24"/>
  <c r="J523" i="24"/>
  <c r="J522" i="24"/>
  <c r="J521" i="24"/>
  <c r="J520" i="24"/>
  <c r="J519" i="24"/>
  <c r="J518" i="24"/>
  <c r="J517" i="24"/>
  <c r="J516" i="24"/>
  <c r="J515" i="24"/>
  <c r="J514" i="24"/>
  <c r="J513" i="24"/>
  <c r="J512" i="24"/>
  <c r="J511" i="24"/>
  <c r="J510" i="24"/>
  <c r="J509" i="24"/>
  <c r="J508" i="24"/>
  <c r="J507" i="24"/>
  <c r="J506" i="24"/>
  <c r="J505" i="24"/>
  <c r="J504" i="24"/>
  <c r="J503" i="24"/>
  <c r="J502" i="24"/>
  <c r="J501" i="24"/>
  <c r="H501" i="24"/>
  <c r="J500" i="24"/>
  <c r="J499" i="24"/>
  <c r="H499" i="24"/>
  <c r="J498" i="24"/>
  <c r="H498" i="24"/>
  <c r="J497" i="24"/>
  <c r="H497" i="24"/>
  <c r="J496" i="24"/>
  <c r="H496" i="24"/>
  <c r="J495" i="24"/>
  <c r="H495" i="24"/>
  <c r="J494" i="24"/>
  <c r="H494" i="24"/>
  <c r="J493" i="24"/>
  <c r="H493" i="24"/>
  <c r="J492" i="24"/>
  <c r="H492" i="24"/>
  <c r="J491" i="24"/>
  <c r="H491" i="24"/>
  <c r="J490" i="24"/>
  <c r="H490" i="24"/>
  <c r="J489" i="24"/>
  <c r="H489" i="24"/>
  <c r="J488" i="24"/>
  <c r="H488" i="24"/>
  <c r="J487" i="24"/>
  <c r="H487" i="24"/>
  <c r="J486" i="24"/>
  <c r="H486" i="24"/>
  <c r="J485" i="24"/>
  <c r="H485" i="24"/>
  <c r="J484" i="24"/>
  <c r="H484" i="24"/>
  <c r="J483" i="24"/>
  <c r="H483" i="24"/>
  <c r="J482" i="24"/>
  <c r="H482" i="24"/>
  <c r="J481" i="24"/>
  <c r="H481" i="24"/>
  <c r="J480" i="24"/>
  <c r="H480" i="24"/>
  <c r="J479" i="24"/>
  <c r="H479" i="24"/>
  <c r="J478" i="24"/>
  <c r="H478" i="24"/>
  <c r="J477" i="24"/>
  <c r="H477" i="24"/>
  <c r="J476" i="24"/>
  <c r="H476" i="24"/>
  <c r="J475" i="24"/>
  <c r="H475" i="24"/>
  <c r="J474" i="24"/>
  <c r="H474" i="24"/>
  <c r="J473" i="24"/>
  <c r="H473" i="24"/>
  <c r="J472" i="24"/>
  <c r="H472" i="24"/>
  <c r="J471" i="24"/>
  <c r="H471" i="24"/>
  <c r="J470" i="24"/>
  <c r="H470" i="24"/>
  <c r="J469" i="24"/>
  <c r="H469" i="24"/>
  <c r="J468" i="24"/>
  <c r="H468" i="24"/>
  <c r="J467" i="24"/>
  <c r="H467" i="24"/>
  <c r="J466" i="24"/>
  <c r="H466" i="24"/>
  <c r="J465" i="24"/>
  <c r="H465" i="24"/>
  <c r="J464" i="24"/>
  <c r="H464" i="24"/>
  <c r="J463" i="24"/>
  <c r="H463" i="24"/>
  <c r="J462" i="24"/>
  <c r="H462" i="24"/>
  <c r="J461" i="24"/>
  <c r="H461" i="24"/>
  <c r="J460" i="24"/>
  <c r="H460" i="24"/>
  <c r="J459" i="24"/>
  <c r="H459" i="24"/>
  <c r="J458" i="24"/>
  <c r="H458" i="24"/>
  <c r="J457" i="24"/>
  <c r="H457" i="24"/>
  <c r="J456" i="24"/>
  <c r="H456" i="24"/>
  <c r="J455" i="24"/>
  <c r="H455" i="24"/>
  <c r="J454" i="24"/>
  <c r="H454" i="24"/>
  <c r="J453" i="24"/>
  <c r="H453" i="24"/>
  <c r="J452" i="24"/>
  <c r="H452" i="24"/>
  <c r="J451" i="24"/>
  <c r="H451" i="24"/>
  <c r="J450" i="24"/>
  <c r="H450" i="24"/>
  <c r="J449" i="24"/>
  <c r="H449" i="24"/>
  <c r="J448" i="24"/>
  <c r="H448" i="24"/>
  <c r="J447" i="24"/>
  <c r="H447" i="24"/>
  <c r="J446" i="24"/>
  <c r="H446" i="24"/>
  <c r="J445" i="24"/>
  <c r="H445" i="24"/>
  <c r="J444" i="24"/>
  <c r="H444" i="24"/>
  <c r="J443" i="24"/>
  <c r="H443" i="24"/>
  <c r="J442" i="24"/>
  <c r="H442" i="24"/>
  <c r="J441" i="24"/>
  <c r="H441" i="24"/>
  <c r="J440" i="24"/>
  <c r="H440" i="24"/>
  <c r="J439" i="24"/>
  <c r="H439" i="24"/>
  <c r="J438" i="24"/>
  <c r="H438" i="24"/>
  <c r="J437" i="24"/>
  <c r="H437" i="24"/>
  <c r="J436" i="24"/>
  <c r="H436" i="24"/>
  <c r="J435" i="24"/>
  <c r="H435" i="24"/>
  <c r="J434" i="24"/>
  <c r="H434" i="24"/>
  <c r="J433" i="24"/>
  <c r="H433" i="24"/>
  <c r="J432" i="24"/>
  <c r="H432" i="24"/>
  <c r="J431" i="24"/>
  <c r="H431" i="24"/>
  <c r="J430" i="24"/>
  <c r="H430" i="24"/>
  <c r="J429" i="24"/>
  <c r="H429" i="24"/>
  <c r="J428" i="24"/>
  <c r="H428" i="24"/>
  <c r="J427" i="24"/>
  <c r="H427" i="24"/>
  <c r="J426" i="24"/>
  <c r="H426" i="24"/>
  <c r="J425" i="24"/>
  <c r="H425" i="24"/>
  <c r="J424" i="24"/>
  <c r="H424" i="24"/>
  <c r="J423" i="24"/>
  <c r="H423" i="24"/>
  <c r="J422" i="24"/>
  <c r="H422" i="24"/>
  <c r="J421" i="24"/>
  <c r="H421" i="24"/>
  <c r="J420" i="24"/>
  <c r="H420" i="24"/>
  <c r="J419" i="24"/>
  <c r="H419" i="24"/>
  <c r="J418" i="24"/>
  <c r="H418" i="24"/>
  <c r="J417" i="24"/>
  <c r="H417" i="24"/>
  <c r="J416" i="24"/>
  <c r="H416" i="24"/>
  <c r="J415" i="24"/>
  <c r="H415" i="24"/>
  <c r="J414" i="24"/>
  <c r="H414" i="24"/>
  <c r="J413" i="24"/>
  <c r="H413" i="24"/>
  <c r="J412" i="24"/>
  <c r="H412" i="24"/>
  <c r="J411" i="24"/>
  <c r="H411" i="24"/>
  <c r="J410" i="24"/>
  <c r="H410" i="24"/>
  <c r="J409" i="24"/>
  <c r="H409" i="24"/>
  <c r="J408" i="24"/>
  <c r="H408" i="24"/>
  <c r="J407" i="24"/>
  <c r="H407" i="24"/>
  <c r="J406" i="24"/>
  <c r="H406" i="24"/>
  <c r="J405" i="24"/>
  <c r="H405" i="24"/>
  <c r="J404" i="24"/>
  <c r="H404" i="24"/>
  <c r="J403" i="24"/>
  <c r="H403" i="24"/>
  <c r="J402" i="24"/>
  <c r="H402" i="24"/>
  <c r="J401" i="24"/>
  <c r="H401" i="24"/>
  <c r="J400" i="24"/>
  <c r="H400" i="24"/>
  <c r="J399" i="24"/>
  <c r="H399" i="24"/>
  <c r="J398" i="24"/>
  <c r="H398" i="24"/>
  <c r="J397" i="24"/>
  <c r="H397" i="24"/>
  <c r="J396" i="24"/>
  <c r="H396" i="24"/>
  <c r="J395" i="24"/>
  <c r="H395" i="24"/>
  <c r="J394" i="24"/>
  <c r="H394" i="24"/>
  <c r="J393" i="24"/>
  <c r="H393" i="24"/>
  <c r="J392" i="24"/>
  <c r="H392" i="24"/>
  <c r="J391" i="24"/>
  <c r="H391" i="24"/>
  <c r="J390" i="24"/>
  <c r="H390" i="24"/>
  <c r="J389" i="24"/>
  <c r="H389" i="24"/>
  <c r="J388" i="24"/>
  <c r="H388" i="24"/>
  <c r="J387" i="24"/>
  <c r="H387" i="24"/>
  <c r="J386" i="24"/>
  <c r="H386" i="24"/>
  <c r="J385" i="24"/>
  <c r="H385" i="24"/>
  <c r="J384" i="24"/>
  <c r="H384" i="24"/>
  <c r="J383" i="24"/>
  <c r="H383" i="24"/>
  <c r="J382" i="24"/>
  <c r="H382" i="24"/>
  <c r="J381" i="24"/>
  <c r="H381" i="24"/>
  <c r="J380" i="24"/>
  <c r="H380" i="24"/>
  <c r="J379" i="24"/>
  <c r="H379" i="24"/>
  <c r="J378" i="24"/>
  <c r="H378" i="24"/>
  <c r="J377" i="24"/>
  <c r="H377" i="24"/>
  <c r="J376" i="24"/>
  <c r="H376" i="24"/>
  <c r="J375" i="24"/>
  <c r="H375" i="24"/>
  <c r="J374" i="24"/>
  <c r="H374" i="24"/>
  <c r="J373" i="24"/>
  <c r="H373" i="24"/>
  <c r="J372" i="24"/>
  <c r="H372" i="24"/>
  <c r="J371" i="24"/>
  <c r="H371" i="24"/>
  <c r="J370" i="24"/>
  <c r="H370" i="24"/>
  <c r="J369" i="24"/>
  <c r="H369" i="24"/>
  <c r="J368" i="24"/>
  <c r="H368" i="24"/>
  <c r="J367" i="24"/>
  <c r="H367" i="24"/>
  <c r="J366" i="24"/>
  <c r="H366" i="24"/>
  <c r="J365" i="24"/>
  <c r="H365" i="24"/>
  <c r="J364" i="24"/>
  <c r="H364" i="24"/>
  <c r="J363" i="24"/>
  <c r="H363" i="24"/>
  <c r="J362" i="24"/>
  <c r="H362" i="24"/>
  <c r="J361" i="24"/>
  <c r="H361" i="24"/>
  <c r="J360" i="24"/>
  <c r="H360" i="24"/>
  <c r="J359" i="24"/>
  <c r="H359" i="24"/>
  <c r="J358" i="24"/>
  <c r="H358" i="24"/>
  <c r="J357" i="24"/>
  <c r="H357" i="24"/>
  <c r="J356" i="24"/>
  <c r="H356" i="24"/>
  <c r="J355" i="24"/>
  <c r="H355" i="24"/>
  <c r="J354" i="24"/>
  <c r="H354" i="24"/>
  <c r="J353" i="24"/>
  <c r="H353" i="24"/>
  <c r="J352" i="24"/>
  <c r="H352" i="24"/>
  <c r="J351" i="24"/>
  <c r="H351" i="24"/>
  <c r="J350" i="24"/>
  <c r="H350" i="24"/>
  <c r="J349" i="24"/>
  <c r="H349" i="24"/>
  <c r="J348" i="24"/>
  <c r="H348" i="24"/>
  <c r="J347" i="24"/>
  <c r="H347" i="24"/>
  <c r="J346" i="24"/>
  <c r="H346" i="24"/>
  <c r="J345" i="24"/>
  <c r="H345" i="24"/>
  <c r="J344" i="24"/>
  <c r="H344" i="24"/>
  <c r="J343" i="24"/>
  <c r="H343" i="24"/>
  <c r="J342" i="24"/>
  <c r="H342" i="24"/>
  <c r="J341" i="24"/>
  <c r="H341" i="24"/>
  <c r="J340" i="24"/>
  <c r="H340" i="24"/>
  <c r="J339" i="24"/>
  <c r="H339" i="24"/>
  <c r="J338" i="24"/>
  <c r="H338" i="24"/>
  <c r="J337" i="24"/>
  <c r="H337" i="24"/>
  <c r="J336" i="24"/>
  <c r="H336" i="24"/>
  <c r="J335" i="24"/>
  <c r="H335" i="24"/>
  <c r="J334" i="24"/>
  <c r="H334" i="24"/>
  <c r="J333" i="24"/>
  <c r="H333" i="24"/>
  <c r="J332" i="24"/>
  <c r="H332" i="24"/>
  <c r="J331" i="24"/>
  <c r="H331" i="24"/>
  <c r="J330" i="24"/>
  <c r="H330" i="24"/>
  <c r="J329" i="24"/>
  <c r="H329" i="24"/>
  <c r="J328" i="24"/>
  <c r="H328" i="24"/>
  <c r="J327" i="24"/>
  <c r="H327" i="24"/>
  <c r="J326" i="24"/>
  <c r="H326" i="24"/>
  <c r="J325" i="24"/>
  <c r="H325" i="24"/>
  <c r="J324" i="24"/>
  <c r="H324" i="24"/>
  <c r="J323" i="24"/>
  <c r="H323" i="24"/>
  <c r="J322" i="24"/>
  <c r="H322" i="24"/>
  <c r="J321" i="24"/>
  <c r="H321" i="24"/>
  <c r="J320" i="24"/>
  <c r="H320" i="24"/>
  <c r="J319" i="24"/>
  <c r="H319" i="24"/>
  <c r="J318" i="24"/>
  <c r="H318" i="24"/>
  <c r="J317" i="24"/>
  <c r="H317" i="24"/>
  <c r="J316" i="24"/>
  <c r="H316" i="24"/>
  <c r="J315" i="24"/>
  <c r="H315" i="24"/>
  <c r="J314" i="24"/>
  <c r="H314" i="24"/>
  <c r="J313" i="24"/>
  <c r="H313" i="24"/>
  <c r="J312" i="24"/>
  <c r="H312" i="24"/>
  <c r="J311" i="24"/>
  <c r="H311" i="24"/>
  <c r="J310" i="24"/>
  <c r="H310" i="24"/>
  <c r="J309" i="24"/>
  <c r="H309" i="24"/>
  <c r="J308" i="24"/>
  <c r="H308" i="24"/>
  <c r="J307" i="24"/>
  <c r="H307" i="24"/>
  <c r="J306" i="24"/>
  <c r="H306" i="24"/>
  <c r="J305" i="24"/>
  <c r="H305" i="24"/>
  <c r="J304" i="24"/>
  <c r="H304" i="24"/>
  <c r="J303" i="24"/>
  <c r="H303" i="24"/>
  <c r="J302" i="24"/>
  <c r="H302" i="24"/>
  <c r="J301" i="24"/>
  <c r="H301" i="24"/>
  <c r="J300" i="24"/>
  <c r="H300" i="24"/>
  <c r="J299" i="24"/>
  <c r="H299" i="24"/>
  <c r="J298" i="24"/>
  <c r="H298" i="24"/>
  <c r="J297" i="24"/>
  <c r="H297" i="24"/>
  <c r="J296" i="24"/>
  <c r="H296" i="24"/>
  <c r="J295" i="24"/>
  <c r="H295" i="24"/>
  <c r="J294" i="24"/>
  <c r="H294" i="24"/>
  <c r="J293" i="24"/>
  <c r="H293" i="24"/>
  <c r="J292" i="24"/>
  <c r="H292" i="24"/>
  <c r="J291" i="24"/>
  <c r="H291" i="24"/>
  <c r="J290" i="24"/>
  <c r="H290" i="24"/>
  <c r="J289" i="24"/>
  <c r="H289" i="24"/>
  <c r="J288" i="24"/>
  <c r="H288" i="24"/>
  <c r="J287" i="24"/>
  <c r="H287" i="24"/>
  <c r="J286" i="24"/>
  <c r="H286" i="24"/>
  <c r="J285" i="24"/>
  <c r="H285" i="24"/>
  <c r="J284" i="24"/>
  <c r="H284" i="24"/>
  <c r="J283" i="24"/>
  <c r="H283" i="24"/>
  <c r="J282" i="24"/>
  <c r="H282" i="24"/>
  <c r="J281" i="24"/>
  <c r="H281" i="24"/>
  <c r="J280" i="24"/>
  <c r="H280" i="24"/>
  <c r="J279" i="24"/>
  <c r="H279" i="24"/>
  <c r="J278" i="24"/>
  <c r="H278" i="24"/>
  <c r="J277" i="24"/>
  <c r="H277" i="24"/>
  <c r="J276" i="24"/>
  <c r="H276" i="24"/>
  <c r="J275" i="24"/>
  <c r="H275" i="24"/>
  <c r="J274" i="24"/>
  <c r="H274" i="24"/>
  <c r="J273" i="24"/>
  <c r="H273" i="24"/>
  <c r="J272" i="24"/>
  <c r="H272" i="24"/>
  <c r="J271" i="24"/>
  <c r="H271" i="24"/>
  <c r="J270" i="24"/>
  <c r="H270" i="24"/>
  <c r="J269" i="24"/>
  <c r="H269" i="24"/>
  <c r="J268" i="24"/>
  <c r="H268" i="24"/>
  <c r="J267" i="24"/>
  <c r="H267" i="24"/>
  <c r="J266" i="24"/>
  <c r="H266" i="24"/>
  <c r="J265" i="24"/>
  <c r="H265" i="24"/>
  <c r="J264" i="24"/>
  <c r="H264" i="24"/>
  <c r="J263" i="24"/>
  <c r="H263" i="24"/>
  <c r="J262" i="24"/>
  <c r="H262" i="24"/>
  <c r="J261" i="24"/>
  <c r="H261" i="24"/>
  <c r="J260" i="24"/>
  <c r="H260" i="24"/>
  <c r="J259" i="24"/>
  <c r="H259" i="24"/>
  <c r="J258" i="24"/>
  <c r="H258" i="24"/>
  <c r="J257" i="24"/>
  <c r="H257" i="24"/>
  <c r="J256" i="24"/>
  <c r="H256" i="24"/>
  <c r="J255" i="24"/>
  <c r="H255" i="24"/>
  <c r="J254" i="24"/>
  <c r="H254" i="24"/>
  <c r="J253" i="24"/>
  <c r="H253" i="24"/>
  <c r="J252" i="24"/>
  <c r="H252" i="24"/>
  <c r="J251" i="24"/>
  <c r="H251" i="24"/>
  <c r="J245" i="24"/>
  <c r="H245" i="24"/>
  <c r="J244" i="24"/>
  <c r="H244" i="24"/>
  <c r="J242" i="24"/>
  <c r="H242" i="24"/>
  <c r="J241" i="24"/>
  <c r="H241" i="24"/>
  <c r="J240" i="24"/>
  <c r="H240" i="24"/>
  <c r="J239" i="24"/>
  <c r="H239" i="24"/>
  <c r="J238" i="24"/>
  <c r="H238" i="24"/>
  <c r="J237" i="24"/>
  <c r="H237" i="24"/>
  <c r="J236" i="24"/>
  <c r="H236" i="24"/>
  <c r="J235" i="24"/>
  <c r="H235" i="24"/>
  <c r="J234" i="24"/>
  <c r="H234" i="24"/>
  <c r="J233" i="24"/>
  <c r="H233" i="24"/>
  <c r="J232" i="24"/>
  <c r="H232" i="24"/>
  <c r="J231" i="24"/>
  <c r="H231" i="24"/>
  <c r="J230" i="24"/>
  <c r="H230" i="24"/>
  <c r="J229" i="24"/>
  <c r="H229" i="24"/>
  <c r="J228" i="24"/>
  <c r="H228" i="24"/>
  <c r="J227" i="24"/>
  <c r="H227" i="24"/>
  <c r="J226" i="24"/>
  <c r="H226" i="24"/>
  <c r="J225" i="24"/>
  <c r="H225" i="24"/>
  <c r="J224" i="24"/>
  <c r="H224" i="24"/>
  <c r="J223" i="24"/>
  <c r="H223" i="24"/>
  <c r="J222" i="24"/>
  <c r="H222" i="24"/>
  <c r="J221" i="24"/>
  <c r="H221" i="24"/>
  <c r="J220" i="24"/>
  <c r="H220" i="24"/>
  <c r="J219" i="24"/>
  <c r="H219" i="24"/>
  <c r="J218" i="24"/>
  <c r="H218" i="24"/>
  <c r="J217" i="24"/>
  <c r="H217" i="24"/>
  <c r="J216" i="24"/>
  <c r="H216" i="24"/>
  <c r="J215" i="24"/>
  <c r="H215" i="24"/>
  <c r="J214" i="24"/>
  <c r="H214" i="24"/>
  <c r="J213" i="24"/>
  <c r="H213" i="24"/>
  <c r="J212" i="24"/>
  <c r="H212" i="24"/>
  <c r="J211" i="24"/>
  <c r="H211" i="24"/>
  <c r="J210" i="24"/>
  <c r="H210" i="24"/>
  <c r="J209" i="24"/>
  <c r="H209" i="24"/>
  <c r="J208" i="24"/>
  <c r="H208" i="24"/>
  <c r="J207" i="24"/>
  <c r="H207" i="24"/>
  <c r="J206" i="24"/>
  <c r="H206" i="24"/>
  <c r="J205" i="24"/>
  <c r="H205" i="24"/>
  <c r="J204" i="24"/>
  <c r="H204" i="24"/>
  <c r="J203" i="24"/>
  <c r="H203" i="24"/>
  <c r="J202" i="24"/>
  <c r="H202" i="24"/>
  <c r="J201" i="24"/>
  <c r="H201" i="24"/>
  <c r="J200" i="24"/>
  <c r="H200" i="24"/>
  <c r="J199" i="24"/>
  <c r="H199" i="24"/>
  <c r="J198" i="24"/>
  <c r="H198" i="24"/>
  <c r="J197" i="24"/>
  <c r="H197" i="24"/>
  <c r="J196" i="24"/>
  <c r="H196" i="24"/>
  <c r="J195" i="24"/>
  <c r="H195" i="24"/>
  <c r="J194" i="24"/>
  <c r="H194" i="24"/>
  <c r="J191" i="24"/>
  <c r="H191" i="24"/>
  <c r="J190" i="24"/>
  <c r="H190" i="24"/>
  <c r="J189" i="24"/>
  <c r="H189" i="24"/>
  <c r="J188" i="24"/>
  <c r="H188" i="24"/>
  <c r="J187" i="24"/>
  <c r="H187" i="24"/>
  <c r="J186" i="24"/>
  <c r="H186" i="24"/>
  <c r="J185" i="24"/>
  <c r="H185" i="24"/>
  <c r="J184" i="24"/>
  <c r="H184" i="24"/>
  <c r="J183" i="24"/>
  <c r="H183" i="24"/>
  <c r="J182" i="24"/>
  <c r="H182" i="24"/>
  <c r="J181" i="24"/>
  <c r="H181" i="24"/>
  <c r="J180" i="24"/>
  <c r="H180" i="24"/>
  <c r="J179" i="24"/>
  <c r="H179" i="24"/>
  <c r="J178" i="24"/>
  <c r="H178" i="24"/>
  <c r="J177" i="24"/>
  <c r="H177" i="24"/>
  <c r="J176" i="24"/>
  <c r="H176" i="24"/>
  <c r="J175" i="24"/>
  <c r="H175" i="24"/>
  <c r="J174" i="24"/>
  <c r="H174" i="24"/>
  <c r="J173" i="24"/>
  <c r="H173" i="24"/>
  <c r="J172" i="24"/>
  <c r="H172" i="24"/>
  <c r="J171" i="24"/>
  <c r="H171" i="24"/>
  <c r="J170" i="24"/>
  <c r="H170" i="24"/>
  <c r="J169" i="24"/>
  <c r="H169" i="24"/>
  <c r="J168" i="24"/>
  <c r="H168" i="24"/>
  <c r="J167" i="24"/>
  <c r="H167" i="24"/>
  <c r="J166" i="24"/>
  <c r="H166" i="24"/>
  <c r="J165" i="24"/>
  <c r="H165" i="24"/>
  <c r="J164" i="24"/>
  <c r="H164" i="24"/>
  <c r="J163" i="24"/>
  <c r="H163" i="24"/>
  <c r="J162" i="24"/>
  <c r="H162" i="24"/>
  <c r="J161" i="24"/>
  <c r="H161" i="24"/>
  <c r="J160" i="24"/>
  <c r="H160" i="24"/>
  <c r="J159" i="24"/>
  <c r="H159" i="24"/>
  <c r="J158" i="24"/>
  <c r="H158" i="24"/>
  <c r="J157" i="24"/>
  <c r="H157" i="24"/>
  <c r="J156" i="24"/>
  <c r="H156" i="24"/>
  <c r="J155" i="24"/>
  <c r="H155" i="24"/>
  <c r="J154" i="24"/>
  <c r="H154" i="24"/>
  <c r="J153" i="24"/>
  <c r="H153" i="24"/>
  <c r="J152" i="24"/>
  <c r="H152" i="24"/>
  <c r="J151" i="24"/>
  <c r="H151" i="24"/>
  <c r="J150" i="24"/>
  <c r="H150" i="24"/>
  <c r="J149" i="24"/>
  <c r="H149" i="24"/>
  <c r="J148" i="24"/>
  <c r="H148" i="24"/>
  <c r="J147" i="24"/>
  <c r="H147" i="24"/>
  <c r="J146" i="24"/>
  <c r="H146" i="24"/>
  <c r="J145" i="24"/>
  <c r="H145" i="24"/>
  <c r="J144" i="24"/>
  <c r="H144" i="24"/>
  <c r="J143" i="24"/>
  <c r="H143" i="24"/>
  <c r="J142" i="24"/>
  <c r="H142" i="24"/>
  <c r="J141" i="24"/>
  <c r="H141" i="24"/>
  <c r="J140" i="24"/>
  <c r="H140" i="24"/>
  <c r="J139" i="24"/>
  <c r="H139" i="24"/>
  <c r="J138" i="24"/>
  <c r="H138" i="24"/>
  <c r="J137" i="24"/>
  <c r="H137" i="24"/>
  <c r="J136" i="24"/>
  <c r="H136" i="24"/>
  <c r="J135" i="24"/>
  <c r="H135" i="24"/>
  <c r="J134" i="24"/>
  <c r="H134" i="24"/>
  <c r="J133" i="24"/>
  <c r="H133" i="24"/>
  <c r="J132" i="24"/>
  <c r="H132" i="24"/>
  <c r="J131" i="24"/>
  <c r="H131" i="24"/>
  <c r="J130" i="24"/>
  <c r="H130" i="24"/>
  <c r="J129" i="24"/>
  <c r="H129" i="24"/>
  <c r="J127" i="24"/>
  <c r="H127" i="24"/>
  <c r="J126" i="24"/>
  <c r="H126" i="24"/>
  <c r="J125" i="24"/>
  <c r="H125" i="24"/>
  <c r="J124" i="24"/>
  <c r="H124" i="24"/>
  <c r="J123" i="24"/>
  <c r="H123" i="24"/>
  <c r="J122" i="24"/>
  <c r="H122" i="24"/>
  <c r="J121" i="24"/>
  <c r="H121" i="24"/>
  <c r="J120" i="24"/>
  <c r="H120" i="24"/>
  <c r="J119" i="24"/>
  <c r="H119" i="24"/>
  <c r="J118" i="24"/>
  <c r="H118" i="24"/>
  <c r="J117" i="24"/>
  <c r="H117" i="24"/>
  <c r="J116" i="24"/>
  <c r="H116" i="24"/>
  <c r="J115" i="24"/>
  <c r="H115" i="24"/>
  <c r="J114" i="24"/>
  <c r="H114" i="24"/>
  <c r="J113" i="24"/>
  <c r="H113" i="24"/>
  <c r="J112" i="24"/>
  <c r="H112" i="24"/>
  <c r="J111" i="24"/>
  <c r="H111" i="24"/>
  <c r="J110" i="24"/>
  <c r="H110" i="24"/>
  <c r="J109" i="24"/>
  <c r="H109" i="24"/>
  <c r="J108" i="24"/>
  <c r="H108" i="24"/>
  <c r="J107" i="24"/>
  <c r="H107" i="24"/>
  <c r="J105" i="24"/>
  <c r="H105" i="24"/>
  <c r="J104" i="24"/>
  <c r="H104" i="24"/>
  <c r="J103" i="24"/>
  <c r="H103" i="24"/>
  <c r="J102" i="24"/>
  <c r="H102" i="24"/>
  <c r="J101" i="24"/>
  <c r="H101" i="24"/>
  <c r="J100" i="24"/>
  <c r="H100" i="24"/>
  <c r="J99" i="24"/>
  <c r="H99" i="24"/>
  <c r="J98" i="24"/>
  <c r="H98" i="24"/>
  <c r="J97" i="24"/>
  <c r="H97" i="24"/>
  <c r="J96" i="24"/>
  <c r="H96" i="24"/>
  <c r="J95" i="24"/>
  <c r="H95" i="24"/>
  <c r="J94" i="24"/>
  <c r="H94" i="24"/>
  <c r="J93" i="24"/>
  <c r="H93" i="24"/>
  <c r="J92" i="24"/>
  <c r="H92" i="24"/>
  <c r="J91" i="24"/>
  <c r="H91" i="24"/>
  <c r="J90" i="24"/>
  <c r="H90" i="24"/>
  <c r="J89" i="24"/>
  <c r="H89" i="24"/>
  <c r="J88" i="24"/>
  <c r="H88" i="24"/>
  <c r="J87" i="24"/>
  <c r="H87" i="24"/>
  <c r="J86" i="24"/>
  <c r="H86" i="24"/>
  <c r="J85" i="24"/>
  <c r="H85" i="24"/>
  <c r="J84" i="24"/>
  <c r="H84" i="24"/>
  <c r="J83" i="24"/>
  <c r="H83" i="24"/>
  <c r="J82" i="24"/>
  <c r="H82" i="24"/>
  <c r="J81" i="24"/>
  <c r="H81" i="24"/>
  <c r="J80" i="24"/>
  <c r="H80" i="24"/>
  <c r="J79" i="24"/>
  <c r="H79" i="24"/>
  <c r="J78" i="24"/>
  <c r="H78" i="24"/>
  <c r="J77" i="24"/>
  <c r="H77" i="24"/>
  <c r="J76" i="24"/>
  <c r="H76" i="24"/>
  <c r="J75" i="24"/>
  <c r="H75" i="24"/>
  <c r="J74" i="24"/>
  <c r="H74" i="24"/>
  <c r="J73" i="24"/>
  <c r="H73" i="24"/>
  <c r="J72" i="24"/>
  <c r="H72" i="24"/>
  <c r="J71" i="24"/>
  <c r="H71" i="24"/>
  <c r="J70" i="24"/>
  <c r="H70" i="24"/>
  <c r="J69" i="24"/>
  <c r="H69" i="24"/>
  <c r="J68" i="24"/>
  <c r="H68" i="24"/>
  <c r="J67" i="24"/>
  <c r="H67" i="24"/>
  <c r="J66" i="24"/>
  <c r="H66" i="24"/>
  <c r="J65" i="24"/>
  <c r="H65" i="24"/>
  <c r="J64" i="24"/>
  <c r="H64" i="24"/>
  <c r="J63" i="24"/>
  <c r="H63" i="24"/>
  <c r="J62" i="24"/>
  <c r="H62" i="24"/>
  <c r="J61" i="24"/>
  <c r="H61" i="24"/>
  <c r="J60" i="24"/>
  <c r="H60" i="24"/>
  <c r="J59" i="24"/>
  <c r="H59" i="24"/>
  <c r="J58" i="24"/>
  <c r="H58" i="24"/>
  <c r="J57" i="24"/>
  <c r="H57" i="24"/>
  <c r="J56" i="24"/>
  <c r="H56" i="24"/>
  <c r="J55" i="24"/>
  <c r="H55" i="24"/>
  <c r="J54" i="24"/>
  <c r="H54" i="24"/>
  <c r="J53" i="24"/>
  <c r="H53" i="24"/>
  <c r="J52" i="24"/>
  <c r="H52" i="24"/>
  <c r="J51" i="24"/>
  <c r="H51" i="24"/>
  <c r="J50" i="24"/>
  <c r="H50" i="24"/>
  <c r="J49" i="24"/>
  <c r="H49" i="24"/>
  <c r="J48" i="24"/>
  <c r="H48" i="24"/>
  <c r="J47" i="24"/>
  <c r="H47" i="24"/>
  <c r="J46" i="24"/>
  <c r="H46" i="24"/>
  <c r="J45" i="24"/>
  <c r="H45" i="24"/>
  <c r="J44" i="24"/>
  <c r="H44" i="24"/>
  <c r="J43" i="24"/>
  <c r="H43" i="24"/>
  <c r="J42" i="24"/>
  <c r="H42" i="24"/>
  <c r="J41" i="24"/>
  <c r="H41" i="24"/>
  <c r="J40" i="24"/>
  <c r="H40" i="24"/>
  <c r="J39" i="24"/>
  <c r="H39" i="24"/>
  <c r="J38" i="24"/>
  <c r="H38" i="24"/>
  <c r="J37" i="24"/>
  <c r="H37" i="24"/>
  <c r="J36" i="24"/>
  <c r="H36" i="24"/>
  <c r="J35" i="24"/>
  <c r="H35" i="24"/>
  <c r="J34" i="24"/>
  <c r="H34" i="24"/>
  <c r="J33" i="24"/>
  <c r="H33" i="24"/>
  <c r="J32" i="24"/>
  <c r="H32" i="24"/>
  <c r="J31" i="24"/>
  <c r="H31" i="24"/>
  <c r="J30" i="24"/>
  <c r="H30" i="24"/>
  <c r="J29" i="24"/>
  <c r="H29" i="24"/>
  <c r="J28" i="24"/>
  <c r="H28" i="24"/>
  <c r="J27" i="24"/>
  <c r="H27" i="24"/>
  <c r="J26" i="24"/>
  <c r="H26" i="24"/>
  <c r="J25" i="24"/>
  <c r="H25" i="24"/>
  <c r="J24" i="24"/>
  <c r="H24" i="24"/>
  <c r="J23" i="24"/>
  <c r="H23" i="24"/>
  <c r="J22" i="24"/>
  <c r="H22" i="24"/>
  <c r="J21" i="24"/>
  <c r="H21" i="24"/>
  <c r="J20" i="24"/>
  <c r="H20" i="24"/>
  <c r="J19" i="24"/>
  <c r="H19" i="24"/>
  <c r="J18" i="24"/>
  <c r="H18" i="24"/>
  <c r="J17" i="24"/>
  <c r="H17" i="24"/>
  <c r="J16" i="24"/>
  <c r="H16" i="24"/>
  <c r="J15" i="24"/>
  <c r="H15" i="24"/>
  <c r="J14" i="24"/>
  <c r="H14" i="24"/>
  <c r="J13" i="24"/>
  <c r="H13" i="24"/>
  <c r="J12" i="24"/>
  <c r="H12" i="24"/>
  <c r="J11" i="24"/>
  <c r="H11" i="24"/>
  <c r="J10" i="24"/>
  <c r="H10" i="24"/>
  <c r="J9" i="24"/>
  <c r="H9" i="24"/>
  <c r="J8" i="24"/>
  <c r="H8" i="24"/>
  <c r="J7" i="24"/>
  <c r="H7" i="24"/>
  <c r="J6" i="24"/>
  <c r="H6" i="24"/>
  <c r="J5" i="24"/>
  <c r="H5" i="24"/>
  <c r="J4" i="24"/>
  <c r="I4" i="24" s="1"/>
  <c r="I5" i="24" s="1"/>
  <c r="I6" i="24" s="1"/>
  <c r="I7" i="24" s="1"/>
  <c r="I8" i="24" s="1"/>
  <c r="I9" i="24" s="1"/>
  <c r="I10" i="24" s="1"/>
  <c r="I11" i="24" s="1"/>
  <c r="I12" i="24" s="1"/>
  <c r="I13" i="24" s="1"/>
  <c r="I14" i="24" s="1"/>
  <c r="I15" i="24" s="1"/>
  <c r="I16" i="24" s="1"/>
  <c r="I17" i="24" s="1"/>
  <c r="I18" i="24" s="1"/>
  <c r="I19" i="24" s="1"/>
  <c r="I20" i="24" s="1"/>
  <c r="I21" i="24" s="1"/>
  <c r="I22" i="24" s="1"/>
  <c r="I23" i="24" s="1"/>
  <c r="I24" i="24" s="1"/>
  <c r="I25" i="24" s="1"/>
  <c r="I26" i="24" s="1"/>
  <c r="I27" i="24" s="1"/>
  <c r="I28" i="24" s="1"/>
  <c r="I29" i="24" s="1"/>
  <c r="I30" i="24" s="1"/>
  <c r="I31" i="24" s="1"/>
  <c r="I32" i="24" s="1"/>
  <c r="I33" i="24" s="1"/>
  <c r="I34" i="24" s="1"/>
  <c r="I35" i="24" s="1"/>
  <c r="I36" i="24" s="1"/>
  <c r="I37" i="24" s="1"/>
  <c r="I38" i="24" s="1"/>
  <c r="I39" i="24" s="1"/>
  <c r="I40" i="24" s="1"/>
  <c r="I41" i="24" s="1"/>
  <c r="I42" i="24" s="1"/>
  <c r="I43" i="24" s="1"/>
  <c r="I44" i="24" s="1"/>
  <c r="I45" i="24" s="1"/>
  <c r="I46" i="24" s="1"/>
  <c r="I47" i="24" s="1"/>
  <c r="I48" i="24" s="1"/>
  <c r="I49" i="24" s="1"/>
  <c r="I50" i="24" s="1"/>
  <c r="I51" i="24" s="1"/>
  <c r="I52" i="24" s="1"/>
  <c r="I53" i="24" s="1"/>
  <c r="I54" i="24" s="1"/>
  <c r="I55" i="24" s="1"/>
  <c r="I56" i="24" s="1"/>
  <c r="I57" i="24" s="1"/>
  <c r="I58" i="24" s="1"/>
  <c r="I59" i="24" s="1"/>
  <c r="I60" i="24" s="1"/>
  <c r="I61" i="24" s="1"/>
  <c r="I62" i="24" s="1"/>
  <c r="I63" i="24" s="1"/>
  <c r="I64" i="24" s="1"/>
  <c r="I65" i="24" s="1"/>
  <c r="I66" i="24" s="1"/>
  <c r="I67" i="24" s="1"/>
  <c r="I68" i="24" s="1"/>
  <c r="I69" i="24" s="1"/>
  <c r="I70" i="24" s="1"/>
  <c r="I71" i="24" s="1"/>
  <c r="I72" i="24" s="1"/>
  <c r="I73" i="24" s="1"/>
  <c r="I74" i="24" s="1"/>
  <c r="I75" i="24" s="1"/>
  <c r="I76" i="24" s="1"/>
  <c r="I77" i="24" s="1"/>
  <c r="I78" i="24" s="1"/>
  <c r="I79" i="24" s="1"/>
  <c r="I80" i="24" s="1"/>
  <c r="I81" i="24" s="1"/>
  <c r="I82" i="24" s="1"/>
  <c r="I83" i="24" s="1"/>
  <c r="I84" i="24" s="1"/>
  <c r="I85" i="24" s="1"/>
  <c r="I86" i="24" s="1"/>
  <c r="I87" i="24" s="1"/>
  <c r="I88" i="24" s="1"/>
  <c r="I89" i="24" s="1"/>
  <c r="I90" i="24" s="1"/>
  <c r="I91" i="24" s="1"/>
  <c r="I92" i="24" s="1"/>
  <c r="I93" i="24" s="1"/>
  <c r="I94" i="24" s="1"/>
  <c r="I95" i="24" s="1"/>
  <c r="I96" i="24" s="1"/>
  <c r="H4" i="24"/>
  <c r="J151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H500" i="1"/>
  <c r="H500" i="24"/>
  <c r="H540" i="1"/>
  <c r="H539" i="1"/>
  <c r="J375" i="1"/>
  <c r="J426" i="1"/>
  <c r="J427" i="1"/>
  <c r="J428" i="1"/>
  <c r="J429" i="1"/>
  <c r="J430" i="1"/>
  <c r="J431" i="1"/>
  <c r="J432" i="1"/>
  <c r="J683" i="1"/>
  <c r="J678" i="1"/>
  <c r="J679" i="1"/>
  <c r="J90" i="1"/>
  <c r="J91" i="1"/>
  <c r="J104" i="1"/>
  <c r="J105" i="1"/>
  <c r="J107" i="1"/>
  <c r="J108" i="1"/>
  <c r="J109" i="1"/>
  <c r="J103" i="1"/>
  <c r="H86" i="1"/>
  <c r="J86" i="1"/>
  <c r="H87" i="1"/>
  <c r="J87" i="1"/>
  <c r="J88" i="1"/>
  <c r="J89" i="1"/>
  <c r="J92" i="1"/>
  <c r="J93" i="1"/>
  <c r="J94" i="1"/>
  <c r="J95" i="1"/>
  <c r="J96" i="1"/>
  <c r="J97" i="1"/>
  <c r="J98" i="1"/>
  <c r="J99" i="1"/>
  <c r="J102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9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9" i="1"/>
  <c r="J180" i="1"/>
  <c r="J181" i="1"/>
  <c r="J182" i="1"/>
  <c r="J187" i="1"/>
  <c r="J188" i="1"/>
  <c r="J189" i="1"/>
  <c r="J190" i="1"/>
  <c r="J191" i="1"/>
  <c r="J192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41" i="1"/>
  <c r="J242" i="1"/>
  <c r="J244" i="1"/>
  <c r="J245" i="1"/>
  <c r="J246" i="1"/>
  <c r="J247" i="1"/>
  <c r="J248" i="1"/>
  <c r="H85" i="1"/>
  <c r="J538" i="1"/>
  <c r="J654" i="1"/>
  <c r="J541" i="1"/>
  <c r="J551" i="1"/>
  <c r="J549" i="1"/>
  <c r="J400" i="1"/>
  <c r="H7" i="1"/>
  <c r="H4" i="1"/>
  <c r="J423" i="1"/>
  <c r="J424" i="1"/>
  <c r="J425" i="1"/>
  <c r="J470" i="1"/>
  <c r="J653" i="1"/>
  <c r="J374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9" i="1"/>
  <c r="J540" i="1"/>
  <c r="J542" i="1"/>
  <c r="J543" i="1"/>
  <c r="J544" i="1"/>
  <c r="J545" i="1"/>
  <c r="J546" i="1"/>
  <c r="J547" i="1"/>
  <c r="J548" i="1"/>
  <c r="J550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80" i="1"/>
  <c r="J681" i="1"/>
  <c r="J682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8" i="1"/>
  <c r="J79" i="1"/>
  <c r="J80" i="1"/>
  <c r="J81" i="1"/>
  <c r="J82" i="1"/>
  <c r="J83" i="1"/>
  <c r="J84" i="1"/>
  <c r="J85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4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H502" i="1"/>
  <c r="H502" i="24"/>
  <c r="H503" i="1"/>
  <c r="H503" i="24"/>
  <c r="H504" i="1"/>
  <c r="H504" i="24"/>
  <c r="H505" i="1"/>
  <c r="H505" i="24"/>
  <c r="H506" i="1"/>
  <c r="H506" i="24"/>
  <c r="H507" i="1"/>
  <c r="H507" i="24"/>
  <c r="H508" i="1"/>
  <c r="H508" i="24"/>
  <c r="H509" i="1"/>
  <c r="H509" i="24"/>
  <c r="H510" i="1"/>
  <c r="H510" i="24"/>
  <c r="H511" i="1"/>
  <c r="H511" i="24"/>
  <c r="H512" i="1"/>
  <c r="H512" i="24"/>
  <c r="H513" i="1"/>
  <c r="H513" i="24"/>
  <c r="H514" i="1"/>
  <c r="H514" i="24"/>
  <c r="H515" i="1"/>
  <c r="H515" i="24"/>
  <c r="H516" i="1"/>
  <c r="H516" i="24"/>
  <c r="H517" i="1"/>
  <c r="H517" i="24"/>
  <c r="H518" i="1"/>
  <c r="H518" i="24"/>
  <c r="H519" i="1"/>
  <c r="H519" i="24"/>
  <c r="H520" i="1"/>
  <c r="H520" i="24"/>
  <c r="H521" i="1"/>
  <c r="H521" i="24"/>
  <c r="H522" i="1"/>
  <c r="H522" i="24"/>
  <c r="H523" i="1"/>
  <c r="H523" i="24"/>
  <c r="H524" i="1"/>
  <c r="H524" i="24"/>
  <c r="H525" i="1"/>
  <c r="H525" i="24"/>
  <c r="H526" i="1"/>
  <c r="H526" i="24"/>
  <c r="H527" i="1"/>
  <c r="H527" i="24"/>
  <c r="H528" i="1"/>
  <c r="H528" i="24"/>
  <c r="H529" i="1"/>
  <c r="H529" i="24"/>
  <c r="H530" i="1"/>
  <c r="H530" i="24"/>
  <c r="H531" i="1"/>
  <c r="H531" i="24"/>
  <c r="H532" i="1"/>
  <c r="H532" i="24"/>
  <c r="H533" i="1"/>
  <c r="H533" i="24"/>
  <c r="H535" i="1"/>
  <c r="H535" i="24"/>
  <c r="H536" i="1"/>
  <c r="H536" i="24"/>
  <c r="H537" i="1"/>
  <c r="H537" i="24"/>
  <c r="H538" i="1"/>
  <c r="H538" i="24"/>
  <c r="H541" i="1"/>
  <c r="H541" i="24"/>
  <c r="H542" i="1"/>
  <c r="H542" i="24"/>
  <c r="H543" i="1"/>
  <c r="H543" i="24"/>
  <c r="H544" i="1"/>
  <c r="H544" i="24"/>
  <c r="H545" i="1"/>
  <c r="H545" i="24"/>
  <c r="H546" i="1"/>
  <c r="H546" i="24"/>
  <c r="H547" i="1"/>
  <c r="H547" i="24"/>
  <c r="H548" i="1"/>
  <c r="H548" i="24"/>
  <c r="H549" i="1"/>
  <c r="H549" i="24"/>
  <c r="H550" i="1"/>
  <c r="H550" i="24"/>
  <c r="H551" i="1"/>
  <c r="H551" i="24"/>
  <c r="H552" i="1"/>
  <c r="H552" i="24"/>
  <c r="H553" i="1"/>
  <c r="H553" i="24"/>
  <c r="H554" i="1"/>
  <c r="H554" i="24"/>
  <c r="H555" i="1"/>
  <c r="H555" i="24"/>
  <c r="H556" i="1"/>
  <c r="H556" i="24"/>
  <c r="H557" i="1"/>
  <c r="H557" i="24"/>
  <c r="H558" i="1"/>
  <c r="H558" i="24"/>
  <c r="H559" i="1"/>
  <c r="H559" i="24"/>
  <c r="H560" i="1"/>
  <c r="H560" i="24"/>
  <c r="H561" i="1"/>
  <c r="H561" i="24"/>
  <c r="H562" i="1"/>
  <c r="H562" i="24"/>
  <c r="H563" i="1"/>
  <c r="H563" i="24"/>
  <c r="H564" i="1"/>
  <c r="H564" i="24"/>
  <c r="H565" i="1"/>
  <c r="H565" i="24"/>
  <c r="H566" i="1"/>
  <c r="H566" i="24"/>
  <c r="H567" i="1"/>
  <c r="H567" i="24"/>
  <c r="H568" i="1"/>
  <c r="H568" i="24"/>
  <c r="H569" i="1"/>
  <c r="H569" i="24"/>
  <c r="H570" i="1"/>
  <c r="H570" i="24"/>
  <c r="H571" i="1"/>
  <c r="H571" i="24"/>
  <c r="H572" i="1"/>
  <c r="H572" i="24"/>
  <c r="H573" i="1"/>
  <c r="H573" i="24"/>
  <c r="H574" i="1"/>
  <c r="H574" i="24"/>
  <c r="H575" i="1"/>
  <c r="H575" i="24"/>
  <c r="H576" i="1"/>
  <c r="H576" i="24"/>
  <c r="H577" i="1"/>
  <c r="H577" i="24"/>
  <c r="H578" i="1"/>
  <c r="H578" i="24"/>
  <c r="H579" i="1"/>
  <c r="H579" i="24"/>
  <c r="H580" i="1"/>
  <c r="H580" i="24"/>
  <c r="I97" i="24" l="1"/>
  <c r="I104" i="24"/>
  <c r="I113" i="24" s="1"/>
  <c r="I121" i="24" s="1"/>
  <c r="I130" i="24" s="1"/>
  <c r="I93" i="27"/>
  <c r="I94" i="27" s="1"/>
  <c r="I95" i="27" s="1"/>
  <c r="I96" i="27" s="1"/>
  <c r="I97" i="27" s="1"/>
  <c r="I91" i="27"/>
  <c r="I92" i="27" s="1"/>
  <c r="I97" i="1"/>
  <c r="I103" i="1"/>
  <c r="I112" i="1" s="1"/>
  <c r="I120" i="1" s="1"/>
  <c r="I129" i="1" s="1"/>
  <c r="I104" i="28"/>
  <c r="I112" i="28" s="1"/>
  <c r="I120" i="28" s="1"/>
  <c r="I128" i="28" s="1"/>
  <c r="I97" i="28"/>
  <c r="I104" i="29"/>
  <c r="I113" i="29" s="1"/>
  <c r="I121" i="29" s="1"/>
  <c r="I130" i="29" s="1"/>
  <c r="I97" i="29"/>
  <c r="I105" i="29" l="1"/>
  <c r="I114" i="29" s="1"/>
  <c r="I122" i="29" s="1"/>
  <c r="I98" i="29"/>
  <c r="I138" i="29"/>
  <c r="I146" i="29" s="1"/>
  <c r="I157" i="29"/>
  <c r="I165" i="29" s="1"/>
  <c r="I173" i="29" s="1"/>
  <c r="I181" i="29" s="1"/>
  <c r="I189" i="29" s="1"/>
  <c r="I199" i="29" s="1"/>
  <c r="I207" i="29" s="1"/>
  <c r="I105" i="28"/>
  <c r="I113" i="28" s="1"/>
  <c r="I121" i="28" s="1"/>
  <c r="I98" i="28"/>
  <c r="I136" i="28"/>
  <c r="I144" i="28" s="1"/>
  <c r="I155" i="28"/>
  <c r="I163" i="28" s="1"/>
  <c r="I171" i="28" s="1"/>
  <c r="I179" i="28" s="1"/>
  <c r="I187" i="28" s="1"/>
  <c r="I197" i="28" s="1"/>
  <c r="I205" i="28" s="1"/>
  <c r="I158" i="1"/>
  <c r="I166" i="1" s="1"/>
  <c r="I137" i="1"/>
  <c r="I145" i="1" s="1"/>
  <c r="I98" i="1"/>
  <c r="I104" i="1"/>
  <c r="I113" i="1" s="1"/>
  <c r="I121" i="1" s="1"/>
  <c r="I105" i="27"/>
  <c r="I113" i="27" s="1"/>
  <c r="I121" i="27" s="1"/>
  <c r="I129" i="27" s="1"/>
  <c r="I98" i="27"/>
  <c r="I157" i="24"/>
  <c r="I165" i="24" s="1"/>
  <c r="I173" i="24" s="1"/>
  <c r="I181" i="24" s="1"/>
  <c r="I189" i="24" s="1"/>
  <c r="I199" i="24" s="1"/>
  <c r="I207" i="24" s="1"/>
  <c r="I138" i="24"/>
  <c r="I146" i="24" s="1"/>
  <c r="I105" i="24"/>
  <c r="I114" i="24" s="1"/>
  <c r="I122" i="24" s="1"/>
  <c r="I98" i="24"/>
  <c r="I156" i="27" l="1"/>
  <c r="I164" i="27" s="1"/>
  <c r="I172" i="27" s="1"/>
  <c r="I180" i="27" s="1"/>
  <c r="I188" i="27" s="1"/>
  <c r="I196" i="27" s="1"/>
  <c r="I204" i="27" s="1"/>
  <c r="I137" i="27"/>
  <c r="I145" i="27" s="1"/>
  <c r="I107" i="29"/>
  <c r="I115" i="29" s="1"/>
  <c r="I123" i="29" s="1"/>
  <c r="I99" i="29"/>
  <c r="I106" i="29"/>
  <c r="I106" i="27"/>
  <c r="I114" i="27" s="1"/>
  <c r="I122" i="27" s="1"/>
  <c r="I99" i="27"/>
  <c r="I130" i="1"/>
  <c r="I138" i="1" s="1"/>
  <c r="I146" i="1" s="1"/>
  <c r="I151" i="1"/>
  <c r="I99" i="1"/>
  <c r="I105" i="1"/>
  <c r="I114" i="1" s="1"/>
  <c r="I122" i="1" s="1"/>
  <c r="I106" i="28"/>
  <c r="I114" i="28" s="1"/>
  <c r="I122" i="28" s="1"/>
  <c r="I99" i="28"/>
  <c r="I148" i="28"/>
  <c r="I129" i="28"/>
  <c r="I137" i="28" s="1"/>
  <c r="I145" i="28" s="1"/>
  <c r="I106" i="24"/>
  <c r="I107" i="24"/>
  <c r="I115" i="24" s="1"/>
  <c r="I123" i="24" s="1"/>
  <c r="I99" i="24"/>
  <c r="I150" i="24"/>
  <c r="I131" i="24"/>
  <c r="I139" i="24" s="1"/>
  <c r="I147" i="24" s="1"/>
  <c r="I150" i="29"/>
  <c r="I131" i="29"/>
  <c r="I139" i="29" s="1"/>
  <c r="I147" i="29" s="1"/>
  <c r="I107" i="28" l="1"/>
  <c r="I115" i="28" s="1"/>
  <c r="I123" i="28" s="1"/>
  <c r="I100" i="28"/>
  <c r="I149" i="28"/>
  <c r="I157" i="28" s="1"/>
  <c r="I165" i="28" s="1"/>
  <c r="I173" i="28" s="1"/>
  <c r="I181" i="28" s="1"/>
  <c r="I189" i="28" s="1"/>
  <c r="I130" i="28"/>
  <c r="I138" i="28" s="1"/>
  <c r="I146" i="28" s="1"/>
  <c r="I131" i="1"/>
  <c r="I139" i="1" s="1"/>
  <c r="I147" i="1" s="1"/>
  <c r="I152" i="1"/>
  <c r="I160" i="1" s="1"/>
  <c r="I168" i="1" s="1"/>
  <c r="I173" i="1" s="1"/>
  <c r="I178" i="1" s="1"/>
  <c r="I183" i="1" s="1"/>
  <c r="I188" i="1" s="1"/>
  <c r="I193" i="1" s="1"/>
  <c r="I198" i="1" s="1"/>
  <c r="I203" i="1" s="1"/>
  <c r="I100" i="1"/>
  <c r="I106" i="1"/>
  <c r="I107" i="1"/>
  <c r="I115" i="1" s="1"/>
  <c r="I123" i="1" s="1"/>
  <c r="I100" i="27"/>
  <c r="I107" i="27"/>
  <c r="I115" i="27" s="1"/>
  <c r="I123" i="27" s="1"/>
  <c r="I149" i="27"/>
  <c r="I130" i="27"/>
  <c r="I138" i="27" s="1"/>
  <c r="I146" i="27" s="1"/>
  <c r="I108" i="24"/>
  <c r="I116" i="24" s="1"/>
  <c r="I124" i="24" s="1"/>
  <c r="I100" i="24"/>
  <c r="I108" i="29"/>
  <c r="I116" i="29" s="1"/>
  <c r="I124" i="29" s="1"/>
  <c r="I100" i="29"/>
  <c r="I132" i="24"/>
  <c r="I140" i="24" s="1"/>
  <c r="I148" i="24" s="1"/>
  <c r="I151" i="24"/>
  <c r="I159" i="24" s="1"/>
  <c r="I167" i="24" s="1"/>
  <c r="I175" i="24" s="1"/>
  <c r="I183" i="24" s="1"/>
  <c r="I191" i="24" s="1"/>
  <c r="I151" i="29"/>
  <c r="I159" i="29" s="1"/>
  <c r="I167" i="29" s="1"/>
  <c r="I175" i="29" s="1"/>
  <c r="I183" i="29" s="1"/>
  <c r="I191" i="29" s="1"/>
  <c r="I132" i="29"/>
  <c r="I140" i="29" s="1"/>
  <c r="I148" i="29" s="1"/>
  <c r="I131" i="27" l="1"/>
  <c r="I139" i="27" s="1"/>
  <c r="I147" i="27" s="1"/>
  <c r="I150" i="27"/>
  <c r="I158" i="27" s="1"/>
  <c r="I166" i="27" s="1"/>
  <c r="I174" i="27" s="1"/>
  <c r="I182" i="27" s="1"/>
  <c r="I190" i="27" s="1"/>
  <c r="I198" i="27" s="1"/>
  <c r="I108" i="27"/>
  <c r="I116" i="27" s="1"/>
  <c r="I124" i="27" s="1"/>
  <c r="I101" i="27"/>
  <c r="I132" i="1"/>
  <c r="I140" i="1" s="1"/>
  <c r="I148" i="1" s="1"/>
  <c r="I159" i="1" s="1"/>
  <c r="I167" i="1" s="1"/>
  <c r="I153" i="1"/>
  <c r="I161" i="1" s="1"/>
  <c r="I169" i="1" s="1"/>
  <c r="I174" i="1" s="1"/>
  <c r="I179" i="1" s="1"/>
  <c r="I184" i="1" s="1"/>
  <c r="I189" i="1" s="1"/>
  <c r="I194" i="1" s="1"/>
  <c r="I199" i="1" s="1"/>
  <c r="I101" i="1"/>
  <c r="I108" i="1"/>
  <c r="I116" i="1" s="1"/>
  <c r="I124" i="1" s="1"/>
  <c r="I109" i="1"/>
  <c r="I117" i="1" s="1"/>
  <c r="I125" i="1" s="1"/>
  <c r="I201" i="29"/>
  <c r="I192" i="29"/>
  <c r="I193" i="29" s="1"/>
  <c r="I201" i="24"/>
  <c r="I192" i="24"/>
  <c r="I193" i="24" s="1"/>
  <c r="I152" i="24"/>
  <c r="I160" i="24" s="1"/>
  <c r="I168" i="24" s="1"/>
  <c r="I176" i="24" s="1"/>
  <c r="I184" i="24" s="1"/>
  <c r="I194" i="24" s="1"/>
  <c r="I202" i="24" s="1"/>
  <c r="I133" i="24"/>
  <c r="I141" i="24" s="1"/>
  <c r="I149" i="24" s="1"/>
  <c r="I158" i="24" s="1"/>
  <c r="I166" i="24" s="1"/>
  <c r="I174" i="24" s="1"/>
  <c r="I182" i="24" s="1"/>
  <c r="I190" i="24" s="1"/>
  <c r="I200" i="24" s="1"/>
  <c r="I208" i="24" s="1"/>
  <c r="I209" i="24" s="1"/>
  <c r="I210" i="24" s="1"/>
  <c r="I211" i="24" s="1"/>
  <c r="I212" i="24" s="1"/>
  <c r="I213" i="24" s="1"/>
  <c r="I214" i="24" s="1"/>
  <c r="I215" i="24" s="1"/>
  <c r="I216" i="24" s="1"/>
  <c r="I217" i="24" s="1"/>
  <c r="I218" i="24" s="1"/>
  <c r="I219" i="24" s="1"/>
  <c r="I220" i="24" s="1"/>
  <c r="I221" i="24" s="1"/>
  <c r="I222" i="24" s="1"/>
  <c r="I223" i="24" s="1"/>
  <c r="I224" i="24" s="1"/>
  <c r="I225" i="24" s="1"/>
  <c r="I226" i="24" s="1"/>
  <c r="I227" i="24" s="1"/>
  <c r="I228" i="24" s="1"/>
  <c r="I229" i="24" s="1"/>
  <c r="I230" i="24" s="1"/>
  <c r="I231" i="24" s="1"/>
  <c r="I232" i="24" s="1"/>
  <c r="I233" i="24" s="1"/>
  <c r="I234" i="24" s="1"/>
  <c r="I235" i="24" s="1"/>
  <c r="I236" i="24" s="1"/>
  <c r="I237" i="24" s="1"/>
  <c r="I238" i="24" s="1"/>
  <c r="I239" i="24" s="1"/>
  <c r="I240" i="24" s="1"/>
  <c r="I241" i="24" s="1"/>
  <c r="I242" i="24" s="1"/>
  <c r="I101" i="29"/>
  <c r="I109" i="29"/>
  <c r="I117" i="29" s="1"/>
  <c r="I125" i="29" s="1"/>
  <c r="I199" i="28"/>
  <c r="I190" i="28"/>
  <c r="I191" i="28" s="1"/>
  <c r="I152" i="29"/>
  <c r="I160" i="29" s="1"/>
  <c r="I168" i="29" s="1"/>
  <c r="I176" i="29" s="1"/>
  <c r="I184" i="29" s="1"/>
  <c r="I194" i="29" s="1"/>
  <c r="I202" i="29" s="1"/>
  <c r="I133" i="29"/>
  <c r="I141" i="29" s="1"/>
  <c r="I149" i="29" s="1"/>
  <c r="I158" i="29" s="1"/>
  <c r="I166" i="29" s="1"/>
  <c r="I174" i="29" s="1"/>
  <c r="I182" i="29" s="1"/>
  <c r="I190" i="29" s="1"/>
  <c r="I200" i="29" s="1"/>
  <c r="I208" i="29" s="1"/>
  <c r="I209" i="29" s="1"/>
  <c r="I210" i="29" s="1"/>
  <c r="I211" i="29" s="1"/>
  <c r="I212" i="29" s="1"/>
  <c r="I213" i="29" s="1"/>
  <c r="I214" i="29" s="1"/>
  <c r="I215" i="29" s="1"/>
  <c r="I216" i="29" s="1"/>
  <c r="I217" i="29" s="1"/>
  <c r="I218" i="29" s="1"/>
  <c r="I219" i="29" s="1"/>
  <c r="I220" i="29" s="1"/>
  <c r="I221" i="29" s="1"/>
  <c r="I222" i="29" s="1"/>
  <c r="I223" i="29" s="1"/>
  <c r="I224" i="29" s="1"/>
  <c r="I225" i="29" s="1"/>
  <c r="I226" i="29" s="1"/>
  <c r="I227" i="29" s="1"/>
  <c r="I228" i="29" s="1"/>
  <c r="I229" i="29" s="1"/>
  <c r="I230" i="29" s="1"/>
  <c r="I231" i="29" s="1"/>
  <c r="I232" i="29" s="1"/>
  <c r="I233" i="29" s="1"/>
  <c r="I234" i="29" s="1"/>
  <c r="I235" i="29" s="1"/>
  <c r="I236" i="29" s="1"/>
  <c r="I237" i="29" s="1"/>
  <c r="I238" i="29" s="1"/>
  <c r="I239" i="29" s="1"/>
  <c r="I240" i="29" s="1"/>
  <c r="I241" i="29" s="1"/>
  <c r="I242" i="29" s="1"/>
  <c r="I108" i="28"/>
  <c r="I116" i="28" s="1"/>
  <c r="I124" i="28" s="1"/>
  <c r="I101" i="28"/>
  <c r="I109" i="24"/>
  <c r="I117" i="24" s="1"/>
  <c r="I125" i="24" s="1"/>
  <c r="I101" i="24"/>
  <c r="I150" i="28"/>
  <c r="I158" i="28" s="1"/>
  <c r="I166" i="28" s="1"/>
  <c r="I174" i="28" s="1"/>
  <c r="I182" i="28" s="1"/>
  <c r="I192" i="28" s="1"/>
  <c r="I200" i="28" s="1"/>
  <c r="I131" i="28"/>
  <c r="I139" i="28" s="1"/>
  <c r="I147" i="28" s="1"/>
  <c r="I156" i="28" s="1"/>
  <c r="I164" i="28" s="1"/>
  <c r="I172" i="28" s="1"/>
  <c r="I180" i="28" s="1"/>
  <c r="I188" i="28" s="1"/>
  <c r="I198" i="28" s="1"/>
  <c r="I206" i="28" s="1"/>
  <c r="I207" i="28" s="1"/>
  <c r="I208" i="28" s="1"/>
  <c r="I209" i="28" s="1"/>
  <c r="I210" i="28" s="1"/>
  <c r="I211" i="28" s="1"/>
  <c r="I212" i="28" s="1"/>
  <c r="I213" i="28" s="1"/>
  <c r="I214" i="28" s="1"/>
  <c r="I215" i="28" s="1"/>
  <c r="I216" i="28" s="1"/>
  <c r="I217" i="28" s="1"/>
  <c r="I218" i="28" s="1"/>
  <c r="I219" i="28" s="1"/>
  <c r="I220" i="28" s="1"/>
  <c r="I221" i="28" s="1"/>
  <c r="I222" i="28" s="1"/>
  <c r="I223" i="28" s="1"/>
  <c r="I224" i="28" s="1"/>
  <c r="I225" i="28" s="1"/>
  <c r="I226" i="28" s="1"/>
  <c r="I227" i="28" s="1"/>
  <c r="I228" i="28" s="1"/>
  <c r="I229" i="28" s="1"/>
  <c r="I230" i="28" s="1"/>
  <c r="I231" i="28" s="1"/>
  <c r="I232" i="28" s="1"/>
  <c r="I233" i="28" s="1"/>
  <c r="I234" i="28" s="1"/>
  <c r="I235" i="28" s="1"/>
  <c r="I236" i="28" s="1"/>
  <c r="I237" i="28" s="1"/>
  <c r="I238" i="28" s="1"/>
  <c r="I239" i="28" s="1"/>
  <c r="I240" i="28" s="1"/>
  <c r="I241" i="28" s="1"/>
  <c r="I242" i="28" s="1"/>
  <c r="I243" i="28" s="1"/>
  <c r="I244" i="28" s="1"/>
  <c r="I245" i="28" s="1"/>
  <c r="I246" i="28" s="1"/>
  <c r="I247" i="28" s="1"/>
  <c r="I248" i="28" s="1"/>
  <c r="I249" i="28" s="1"/>
  <c r="I250" i="28" s="1"/>
  <c r="I251" i="28" s="1"/>
  <c r="I252" i="28" s="1"/>
  <c r="I253" i="28" s="1"/>
  <c r="I254" i="28" s="1"/>
  <c r="I255" i="28" s="1"/>
  <c r="I256" i="28" s="1"/>
  <c r="I257" i="28" s="1"/>
  <c r="I258" i="28" s="1"/>
  <c r="I259" i="28" s="1"/>
  <c r="I260" i="28" s="1"/>
  <c r="I261" i="28" s="1"/>
  <c r="I262" i="28" s="1"/>
  <c r="I263" i="28" s="1"/>
  <c r="I264" i="28" s="1"/>
  <c r="I265" i="28" s="1"/>
  <c r="I266" i="28" s="1"/>
  <c r="I267" i="28" s="1"/>
  <c r="I268" i="28" s="1"/>
  <c r="I269" i="28" s="1"/>
  <c r="I270" i="28" s="1"/>
  <c r="I271" i="28" s="1"/>
  <c r="I272" i="28" s="1"/>
  <c r="I273" i="28" s="1"/>
  <c r="I274" i="28" s="1"/>
  <c r="I275" i="28" s="1"/>
  <c r="I276" i="28" s="1"/>
  <c r="I277" i="28" s="1"/>
  <c r="I278" i="28" s="1"/>
  <c r="I279" i="28" s="1"/>
  <c r="I280" i="28" s="1"/>
  <c r="I281" i="28" s="1"/>
  <c r="I282" i="28" s="1"/>
  <c r="I283" i="28" s="1"/>
  <c r="I284" i="28" s="1"/>
  <c r="I285" i="28" s="1"/>
  <c r="I286" i="28" s="1"/>
  <c r="I287" i="28" s="1"/>
  <c r="I288" i="28" s="1"/>
  <c r="I289" i="28" s="1"/>
  <c r="I290" i="28" s="1"/>
  <c r="I291" i="28" s="1"/>
  <c r="I292" i="28" s="1"/>
  <c r="I293" i="28" s="1"/>
  <c r="I294" i="28" s="1"/>
  <c r="I295" i="28" s="1"/>
  <c r="I296" i="28" s="1"/>
  <c r="I297" i="28" s="1"/>
  <c r="I298" i="28" s="1"/>
  <c r="I299" i="28" s="1"/>
  <c r="I300" i="28" s="1"/>
  <c r="I301" i="28" s="1"/>
  <c r="I302" i="28" s="1"/>
  <c r="I303" i="28" s="1"/>
  <c r="I304" i="28" s="1"/>
  <c r="I305" i="28" s="1"/>
  <c r="I306" i="28" s="1"/>
  <c r="I307" i="28" s="1"/>
  <c r="I308" i="28" s="1"/>
  <c r="I309" i="28" s="1"/>
  <c r="I310" i="28" s="1"/>
  <c r="I311" i="28" s="1"/>
  <c r="I312" i="28" s="1"/>
  <c r="I313" i="28" s="1"/>
  <c r="I314" i="28" s="1"/>
  <c r="I315" i="28" s="1"/>
  <c r="I316" i="28" s="1"/>
  <c r="I317" i="28" s="1"/>
  <c r="I318" i="28" s="1"/>
  <c r="I319" i="28" s="1"/>
  <c r="I320" i="28" s="1"/>
  <c r="I321" i="28" s="1"/>
  <c r="I322" i="28" s="1"/>
  <c r="I323" i="28" s="1"/>
  <c r="I324" i="28" s="1"/>
  <c r="I325" i="28" s="1"/>
  <c r="I326" i="28" s="1"/>
  <c r="I327" i="28" s="1"/>
  <c r="I328" i="28" s="1"/>
  <c r="I329" i="28" s="1"/>
  <c r="I330" i="28" s="1"/>
  <c r="I331" i="28" s="1"/>
  <c r="I332" i="28" s="1"/>
  <c r="I333" i="28" s="1"/>
  <c r="I334" i="28" s="1"/>
  <c r="I335" i="28" s="1"/>
  <c r="I336" i="28" s="1"/>
  <c r="I337" i="28" s="1"/>
  <c r="I338" i="28" s="1"/>
  <c r="I339" i="28" s="1"/>
  <c r="I340" i="28" s="1"/>
  <c r="I341" i="28" s="1"/>
  <c r="I342" i="28" s="1"/>
  <c r="I343" i="28" s="1"/>
  <c r="I344" i="28" s="1"/>
  <c r="I345" i="28" s="1"/>
  <c r="I346" i="28" s="1"/>
  <c r="I347" i="28" s="1"/>
  <c r="I348" i="28" s="1"/>
  <c r="I349" i="28" s="1"/>
  <c r="I350" i="28" s="1"/>
  <c r="I351" i="28" s="1"/>
  <c r="I352" i="28" s="1"/>
  <c r="I353" i="28" s="1"/>
  <c r="I354" i="28" s="1"/>
  <c r="I355" i="28" s="1"/>
  <c r="I356" i="28" s="1"/>
  <c r="I357" i="28" s="1"/>
  <c r="I358" i="28" s="1"/>
  <c r="I359" i="28" s="1"/>
  <c r="I360" i="28" s="1"/>
  <c r="I361" i="28" s="1"/>
  <c r="I362" i="28" s="1"/>
  <c r="I363" i="28" s="1"/>
  <c r="I364" i="28" s="1"/>
  <c r="I365" i="28" s="1"/>
  <c r="I366" i="28" s="1"/>
  <c r="I367" i="28" s="1"/>
  <c r="I368" i="28" s="1"/>
  <c r="I369" i="28" s="1"/>
  <c r="I370" i="28" s="1"/>
  <c r="I371" i="28" s="1"/>
  <c r="I372" i="28" s="1"/>
  <c r="I373" i="28" s="1"/>
  <c r="I243" i="24" l="1"/>
  <c r="I244" i="24"/>
  <c r="I245" i="24" s="1"/>
  <c r="I246" i="24" s="1"/>
  <c r="I247" i="24" s="1"/>
  <c r="I248" i="24" s="1"/>
  <c r="I249" i="24" s="1"/>
  <c r="I250" i="24" s="1"/>
  <c r="I251" i="24" s="1"/>
  <c r="I252" i="24" s="1"/>
  <c r="I253" i="24" s="1"/>
  <c r="I254" i="24" s="1"/>
  <c r="I255" i="24" s="1"/>
  <c r="I256" i="24" s="1"/>
  <c r="I257" i="24" s="1"/>
  <c r="I258" i="24" s="1"/>
  <c r="I259" i="24" s="1"/>
  <c r="I260" i="24" s="1"/>
  <c r="I261" i="24" s="1"/>
  <c r="I262" i="24" s="1"/>
  <c r="I263" i="24" s="1"/>
  <c r="I264" i="24" s="1"/>
  <c r="I265" i="24" s="1"/>
  <c r="I266" i="24" s="1"/>
  <c r="I267" i="24" s="1"/>
  <c r="I268" i="24" s="1"/>
  <c r="I269" i="24" s="1"/>
  <c r="I270" i="24" s="1"/>
  <c r="I271" i="24" s="1"/>
  <c r="I272" i="24" s="1"/>
  <c r="I273" i="24" s="1"/>
  <c r="I274" i="24" s="1"/>
  <c r="I275" i="24" s="1"/>
  <c r="I276" i="24" s="1"/>
  <c r="I277" i="24" s="1"/>
  <c r="I278" i="24" s="1"/>
  <c r="I279" i="24" s="1"/>
  <c r="I280" i="24" s="1"/>
  <c r="I281" i="24" s="1"/>
  <c r="I282" i="24" s="1"/>
  <c r="I283" i="24" s="1"/>
  <c r="I284" i="24" s="1"/>
  <c r="I285" i="24" s="1"/>
  <c r="I286" i="24" s="1"/>
  <c r="I287" i="24" s="1"/>
  <c r="I288" i="24" s="1"/>
  <c r="I289" i="24" s="1"/>
  <c r="I290" i="24" s="1"/>
  <c r="I291" i="24" s="1"/>
  <c r="I292" i="24" s="1"/>
  <c r="I293" i="24" s="1"/>
  <c r="I294" i="24" s="1"/>
  <c r="I295" i="24" s="1"/>
  <c r="I296" i="24" s="1"/>
  <c r="I297" i="24" s="1"/>
  <c r="I298" i="24" s="1"/>
  <c r="I299" i="24" s="1"/>
  <c r="I300" i="24" s="1"/>
  <c r="I301" i="24" s="1"/>
  <c r="I302" i="24" s="1"/>
  <c r="I303" i="24" s="1"/>
  <c r="I304" i="24" s="1"/>
  <c r="I305" i="24" s="1"/>
  <c r="I306" i="24" s="1"/>
  <c r="I307" i="24" s="1"/>
  <c r="I308" i="24" s="1"/>
  <c r="I309" i="24" s="1"/>
  <c r="I310" i="24" s="1"/>
  <c r="I311" i="24" s="1"/>
  <c r="I312" i="24" s="1"/>
  <c r="I313" i="24" s="1"/>
  <c r="I314" i="24" s="1"/>
  <c r="I315" i="24" s="1"/>
  <c r="I316" i="24" s="1"/>
  <c r="I317" i="24" s="1"/>
  <c r="I318" i="24" s="1"/>
  <c r="I319" i="24" s="1"/>
  <c r="I320" i="24" s="1"/>
  <c r="I321" i="24" s="1"/>
  <c r="I322" i="24" s="1"/>
  <c r="I323" i="24" s="1"/>
  <c r="I324" i="24" s="1"/>
  <c r="I325" i="24" s="1"/>
  <c r="I326" i="24" s="1"/>
  <c r="I327" i="24" s="1"/>
  <c r="I328" i="24" s="1"/>
  <c r="I329" i="24" s="1"/>
  <c r="I330" i="24" s="1"/>
  <c r="I331" i="24" s="1"/>
  <c r="I332" i="24" s="1"/>
  <c r="I333" i="24" s="1"/>
  <c r="I334" i="24" s="1"/>
  <c r="I335" i="24" s="1"/>
  <c r="I336" i="24" s="1"/>
  <c r="I337" i="24" s="1"/>
  <c r="I338" i="24" s="1"/>
  <c r="I339" i="24" s="1"/>
  <c r="I340" i="24" s="1"/>
  <c r="I341" i="24" s="1"/>
  <c r="I342" i="24" s="1"/>
  <c r="I343" i="24" s="1"/>
  <c r="I344" i="24" s="1"/>
  <c r="I345" i="24" s="1"/>
  <c r="I346" i="24" s="1"/>
  <c r="I347" i="24" s="1"/>
  <c r="I348" i="24" s="1"/>
  <c r="I349" i="24" s="1"/>
  <c r="I350" i="24" s="1"/>
  <c r="I351" i="24" s="1"/>
  <c r="I352" i="24" s="1"/>
  <c r="I353" i="24" s="1"/>
  <c r="I354" i="24" s="1"/>
  <c r="I355" i="24" s="1"/>
  <c r="I356" i="24" s="1"/>
  <c r="I357" i="24" s="1"/>
  <c r="I358" i="24" s="1"/>
  <c r="I359" i="24" s="1"/>
  <c r="I360" i="24" s="1"/>
  <c r="I361" i="24" s="1"/>
  <c r="I362" i="24" s="1"/>
  <c r="I363" i="24" s="1"/>
  <c r="I364" i="24" s="1"/>
  <c r="I365" i="24" s="1"/>
  <c r="I366" i="24" s="1"/>
  <c r="I367" i="24" s="1"/>
  <c r="I368" i="24" s="1"/>
  <c r="I369" i="24" s="1"/>
  <c r="I370" i="24" s="1"/>
  <c r="I371" i="24" s="1"/>
  <c r="I372" i="24" s="1"/>
  <c r="I373" i="24" s="1"/>
  <c r="I374" i="24" s="1"/>
  <c r="I375" i="24" s="1"/>
  <c r="I376" i="24" s="1"/>
  <c r="I155" i="1"/>
  <c r="I163" i="1" s="1"/>
  <c r="I171" i="1" s="1"/>
  <c r="I176" i="1" s="1"/>
  <c r="I181" i="1" s="1"/>
  <c r="I186" i="1" s="1"/>
  <c r="I191" i="1" s="1"/>
  <c r="I196" i="1" s="1"/>
  <c r="I201" i="1" s="1"/>
  <c r="I134" i="1"/>
  <c r="I142" i="1" s="1"/>
  <c r="I150" i="1" s="1"/>
  <c r="I374" i="28"/>
  <c r="I375" i="28"/>
  <c r="I376" i="28" s="1"/>
  <c r="I377" i="28" s="1"/>
  <c r="I378" i="28" s="1"/>
  <c r="I379" i="28" s="1"/>
  <c r="I380" i="28" s="1"/>
  <c r="I381" i="28" s="1"/>
  <c r="I382" i="28" s="1"/>
  <c r="I383" i="28" s="1"/>
  <c r="I384" i="28" s="1"/>
  <c r="I385" i="28" s="1"/>
  <c r="I386" i="28" s="1"/>
  <c r="I387" i="28" s="1"/>
  <c r="I388" i="28" s="1"/>
  <c r="I389" i="28" s="1"/>
  <c r="I390" i="28" s="1"/>
  <c r="I391" i="28" s="1"/>
  <c r="I392" i="28" s="1"/>
  <c r="I393" i="28" s="1"/>
  <c r="I394" i="28" s="1"/>
  <c r="I395" i="28" s="1"/>
  <c r="I396" i="28" s="1"/>
  <c r="I397" i="28" s="1"/>
  <c r="I398" i="28" s="1"/>
  <c r="I153" i="24"/>
  <c r="I161" i="24" s="1"/>
  <c r="I169" i="24" s="1"/>
  <c r="I177" i="24" s="1"/>
  <c r="I185" i="24" s="1"/>
  <c r="I195" i="24" s="1"/>
  <c r="I203" i="24" s="1"/>
  <c r="I134" i="24"/>
  <c r="I142" i="24" s="1"/>
  <c r="I243" i="29"/>
  <c r="I244" i="29"/>
  <c r="I245" i="29" s="1"/>
  <c r="I246" i="29" s="1"/>
  <c r="I247" i="29" s="1"/>
  <c r="I248" i="29" s="1"/>
  <c r="I249" i="29" s="1"/>
  <c r="I250" i="29" s="1"/>
  <c r="I251" i="29" s="1"/>
  <c r="I252" i="29" s="1"/>
  <c r="I253" i="29" s="1"/>
  <c r="I254" i="29" s="1"/>
  <c r="I255" i="29" s="1"/>
  <c r="I256" i="29" s="1"/>
  <c r="I257" i="29" s="1"/>
  <c r="I258" i="29" s="1"/>
  <c r="I259" i="29" s="1"/>
  <c r="I260" i="29" s="1"/>
  <c r="I261" i="29" s="1"/>
  <c r="I262" i="29" s="1"/>
  <c r="I263" i="29" s="1"/>
  <c r="I264" i="29" s="1"/>
  <c r="I265" i="29" s="1"/>
  <c r="I266" i="29" s="1"/>
  <c r="I267" i="29" s="1"/>
  <c r="I268" i="29" s="1"/>
  <c r="I269" i="29" s="1"/>
  <c r="I270" i="29" s="1"/>
  <c r="I271" i="29" s="1"/>
  <c r="I272" i="29" s="1"/>
  <c r="I273" i="29" s="1"/>
  <c r="I274" i="29" s="1"/>
  <c r="I275" i="29" s="1"/>
  <c r="I276" i="29" s="1"/>
  <c r="I277" i="29" s="1"/>
  <c r="I278" i="29" s="1"/>
  <c r="I279" i="29" s="1"/>
  <c r="I280" i="29" s="1"/>
  <c r="I281" i="29" s="1"/>
  <c r="I282" i="29" s="1"/>
  <c r="I283" i="29" s="1"/>
  <c r="I284" i="29" s="1"/>
  <c r="I285" i="29" s="1"/>
  <c r="I286" i="29" s="1"/>
  <c r="I287" i="29" s="1"/>
  <c r="I288" i="29" s="1"/>
  <c r="I289" i="29" s="1"/>
  <c r="I290" i="29" s="1"/>
  <c r="I291" i="29" s="1"/>
  <c r="I292" i="29" s="1"/>
  <c r="I293" i="29" s="1"/>
  <c r="I294" i="29" s="1"/>
  <c r="I295" i="29" s="1"/>
  <c r="I296" i="29" s="1"/>
  <c r="I297" i="29" s="1"/>
  <c r="I298" i="29" s="1"/>
  <c r="I299" i="29" s="1"/>
  <c r="I300" i="29" s="1"/>
  <c r="I301" i="29" s="1"/>
  <c r="I302" i="29" s="1"/>
  <c r="I303" i="29" s="1"/>
  <c r="I304" i="29" s="1"/>
  <c r="I305" i="29" s="1"/>
  <c r="I306" i="29" s="1"/>
  <c r="I307" i="29" s="1"/>
  <c r="I308" i="29" s="1"/>
  <c r="I309" i="29" s="1"/>
  <c r="I310" i="29" s="1"/>
  <c r="I311" i="29" s="1"/>
  <c r="I312" i="29" s="1"/>
  <c r="I313" i="29" s="1"/>
  <c r="I314" i="29" s="1"/>
  <c r="I315" i="29" s="1"/>
  <c r="I316" i="29" s="1"/>
  <c r="I317" i="29" s="1"/>
  <c r="I318" i="29" s="1"/>
  <c r="I319" i="29" s="1"/>
  <c r="I320" i="29" s="1"/>
  <c r="I321" i="29" s="1"/>
  <c r="I322" i="29" s="1"/>
  <c r="I323" i="29" s="1"/>
  <c r="I324" i="29" s="1"/>
  <c r="I325" i="29" s="1"/>
  <c r="I326" i="29" s="1"/>
  <c r="I327" i="29" s="1"/>
  <c r="I328" i="29" s="1"/>
  <c r="I329" i="29" s="1"/>
  <c r="I330" i="29" s="1"/>
  <c r="I331" i="29" s="1"/>
  <c r="I332" i="29" s="1"/>
  <c r="I333" i="29" s="1"/>
  <c r="I334" i="29" s="1"/>
  <c r="I335" i="29" s="1"/>
  <c r="I336" i="29" s="1"/>
  <c r="I337" i="29" s="1"/>
  <c r="I338" i="29" s="1"/>
  <c r="I339" i="29" s="1"/>
  <c r="I340" i="29" s="1"/>
  <c r="I341" i="29" s="1"/>
  <c r="I342" i="29" s="1"/>
  <c r="I343" i="29" s="1"/>
  <c r="I344" i="29" s="1"/>
  <c r="I345" i="29" s="1"/>
  <c r="I346" i="29" s="1"/>
  <c r="I347" i="29" s="1"/>
  <c r="I348" i="29" s="1"/>
  <c r="I349" i="29" s="1"/>
  <c r="I350" i="29" s="1"/>
  <c r="I351" i="29" s="1"/>
  <c r="I352" i="29" s="1"/>
  <c r="I353" i="29" s="1"/>
  <c r="I354" i="29" s="1"/>
  <c r="I355" i="29" s="1"/>
  <c r="I356" i="29" s="1"/>
  <c r="I357" i="29" s="1"/>
  <c r="I358" i="29" s="1"/>
  <c r="I359" i="29" s="1"/>
  <c r="I360" i="29" s="1"/>
  <c r="I361" i="29" s="1"/>
  <c r="I362" i="29" s="1"/>
  <c r="I363" i="29" s="1"/>
  <c r="I364" i="29" s="1"/>
  <c r="I365" i="29" s="1"/>
  <c r="I366" i="29" s="1"/>
  <c r="I367" i="29" s="1"/>
  <c r="I368" i="29" s="1"/>
  <c r="I369" i="29" s="1"/>
  <c r="I370" i="29" s="1"/>
  <c r="I371" i="29" s="1"/>
  <c r="I372" i="29" s="1"/>
  <c r="I373" i="29" s="1"/>
  <c r="I374" i="29" s="1"/>
  <c r="I375" i="29" s="1"/>
  <c r="I376" i="29" s="1"/>
  <c r="I204" i="1"/>
  <c r="I207" i="1"/>
  <c r="I110" i="24"/>
  <c r="I118" i="24" s="1"/>
  <c r="I126" i="24" s="1"/>
  <c r="I102" i="24"/>
  <c r="I109" i="28"/>
  <c r="I117" i="28" s="1"/>
  <c r="I125" i="28" s="1"/>
  <c r="I102" i="28"/>
  <c r="I151" i="28"/>
  <c r="I159" i="28" s="1"/>
  <c r="I167" i="28" s="1"/>
  <c r="I175" i="28" s="1"/>
  <c r="I183" i="28" s="1"/>
  <c r="I193" i="28" s="1"/>
  <c r="I201" i="28" s="1"/>
  <c r="I132" i="28"/>
  <c r="I140" i="28" s="1"/>
  <c r="I154" i="1"/>
  <c r="I162" i="1" s="1"/>
  <c r="I170" i="1" s="1"/>
  <c r="I175" i="1" s="1"/>
  <c r="I180" i="1" s="1"/>
  <c r="I185" i="1" s="1"/>
  <c r="I190" i="1" s="1"/>
  <c r="I195" i="1" s="1"/>
  <c r="I200" i="1" s="1"/>
  <c r="I133" i="1"/>
  <c r="I141" i="1" s="1"/>
  <c r="I149" i="1" s="1"/>
  <c r="I102" i="1"/>
  <c r="I111" i="1" s="1"/>
  <c r="I119" i="1" s="1"/>
  <c r="I110" i="1"/>
  <c r="I118" i="1" s="1"/>
  <c r="I126" i="1" s="1"/>
  <c r="I109" i="27"/>
  <c r="I117" i="27" s="1"/>
  <c r="I125" i="27" s="1"/>
  <c r="I102" i="27"/>
  <c r="I134" i="29"/>
  <c r="I142" i="29" s="1"/>
  <c r="I153" i="29"/>
  <c r="I161" i="29" s="1"/>
  <c r="I169" i="29" s="1"/>
  <c r="I177" i="29" s="1"/>
  <c r="I185" i="29" s="1"/>
  <c r="I195" i="29" s="1"/>
  <c r="I203" i="29" s="1"/>
  <c r="I132" i="27"/>
  <c r="I140" i="27" s="1"/>
  <c r="I148" i="27" s="1"/>
  <c r="I157" i="27" s="1"/>
  <c r="I165" i="27" s="1"/>
  <c r="I173" i="27" s="1"/>
  <c r="I181" i="27" s="1"/>
  <c r="I189" i="27" s="1"/>
  <c r="I197" i="27" s="1"/>
  <c r="I205" i="27" s="1"/>
  <c r="I206" i="27" s="1"/>
  <c r="I207" i="27" s="1"/>
  <c r="I208" i="27" s="1"/>
  <c r="I209" i="27" s="1"/>
  <c r="I210" i="27" s="1"/>
  <c r="I211" i="27" s="1"/>
  <c r="I212" i="27" s="1"/>
  <c r="I213" i="27" s="1"/>
  <c r="I214" i="27" s="1"/>
  <c r="I215" i="27" s="1"/>
  <c r="I216" i="27" s="1"/>
  <c r="I217" i="27" s="1"/>
  <c r="I218" i="27" s="1"/>
  <c r="I219" i="27" s="1"/>
  <c r="I220" i="27" s="1"/>
  <c r="I221" i="27" s="1"/>
  <c r="I222" i="27" s="1"/>
  <c r="I223" i="27" s="1"/>
  <c r="I224" i="27" s="1"/>
  <c r="I225" i="27" s="1"/>
  <c r="I226" i="27" s="1"/>
  <c r="I227" i="27" s="1"/>
  <c r="I228" i="27" s="1"/>
  <c r="I229" i="27" s="1"/>
  <c r="I230" i="27" s="1"/>
  <c r="I231" i="27" s="1"/>
  <c r="I232" i="27" s="1"/>
  <c r="I233" i="27" s="1"/>
  <c r="I234" i="27" s="1"/>
  <c r="I235" i="27" s="1"/>
  <c r="I236" i="27" s="1"/>
  <c r="I237" i="27" s="1"/>
  <c r="I238" i="27" s="1"/>
  <c r="I239" i="27" s="1"/>
  <c r="I240" i="27" s="1"/>
  <c r="I241" i="27" s="1"/>
  <c r="I242" i="27" s="1"/>
  <c r="I243" i="27" s="1"/>
  <c r="I244" i="27" s="1"/>
  <c r="I245" i="27" s="1"/>
  <c r="I246" i="27" s="1"/>
  <c r="I247" i="27" s="1"/>
  <c r="I248" i="27" s="1"/>
  <c r="I249" i="27" s="1"/>
  <c r="I250" i="27" s="1"/>
  <c r="I251" i="27" s="1"/>
  <c r="I252" i="27" s="1"/>
  <c r="I253" i="27" s="1"/>
  <c r="I254" i="27" s="1"/>
  <c r="I255" i="27" s="1"/>
  <c r="I256" i="27" s="1"/>
  <c r="I257" i="27" s="1"/>
  <c r="I258" i="27" s="1"/>
  <c r="I259" i="27" s="1"/>
  <c r="I260" i="27" s="1"/>
  <c r="I261" i="27" s="1"/>
  <c r="I262" i="27" s="1"/>
  <c r="I263" i="27" s="1"/>
  <c r="I264" i="27" s="1"/>
  <c r="I265" i="27" s="1"/>
  <c r="I266" i="27" s="1"/>
  <c r="I267" i="27" s="1"/>
  <c r="I268" i="27" s="1"/>
  <c r="I269" i="27" s="1"/>
  <c r="I270" i="27" s="1"/>
  <c r="I271" i="27" s="1"/>
  <c r="I272" i="27" s="1"/>
  <c r="I273" i="27" s="1"/>
  <c r="I274" i="27" s="1"/>
  <c r="I275" i="27" s="1"/>
  <c r="I276" i="27" s="1"/>
  <c r="I277" i="27" s="1"/>
  <c r="I278" i="27" s="1"/>
  <c r="I279" i="27" s="1"/>
  <c r="I280" i="27" s="1"/>
  <c r="I281" i="27" s="1"/>
  <c r="I282" i="27" s="1"/>
  <c r="I283" i="27" s="1"/>
  <c r="I284" i="27" s="1"/>
  <c r="I285" i="27" s="1"/>
  <c r="I286" i="27" s="1"/>
  <c r="I287" i="27" s="1"/>
  <c r="I288" i="27" s="1"/>
  <c r="I289" i="27" s="1"/>
  <c r="I290" i="27" s="1"/>
  <c r="I291" i="27" s="1"/>
  <c r="I292" i="27" s="1"/>
  <c r="I293" i="27" s="1"/>
  <c r="I294" i="27" s="1"/>
  <c r="I295" i="27" s="1"/>
  <c r="I296" i="27" s="1"/>
  <c r="I297" i="27" s="1"/>
  <c r="I298" i="27" s="1"/>
  <c r="I299" i="27" s="1"/>
  <c r="I300" i="27" s="1"/>
  <c r="I301" i="27" s="1"/>
  <c r="I302" i="27" s="1"/>
  <c r="I303" i="27" s="1"/>
  <c r="I304" i="27" s="1"/>
  <c r="I305" i="27" s="1"/>
  <c r="I306" i="27" s="1"/>
  <c r="I307" i="27" s="1"/>
  <c r="I308" i="27" s="1"/>
  <c r="I309" i="27" s="1"/>
  <c r="I310" i="27" s="1"/>
  <c r="I311" i="27" s="1"/>
  <c r="I312" i="27" s="1"/>
  <c r="I313" i="27" s="1"/>
  <c r="I314" i="27" s="1"/>
  <c r="I315" i="27" s="1"/>
  <c r="I316" i="27" s="1"/>
  <c r="I317" i="27" s="1"/>
  <c r="I318" i="27" s="1"/>
  <c r="I319" i="27" s="1"/>
  <c r="I320" i="27" s="1"/>
  <c r="I321" i="27" s="1"/>
  <c r="I322" i="27" s="1"/>
  <c r="I323" i="27" s="1"/>
  <c r="I324" i="27" s="1"/>
  <c r="I325" i="27" s="1"/>
  <c r="I326" i="27" s="1"/>
  <c r="I327" i="27" s="1"/>
  <c r="I328" i="27" s="1"/>
  <c r="I329" i="27" s="1"/>
  <c r="I330" i="27" s="1"/>
  <c r="I331" i="27" s="1"/>
  <c r="I332" i="27" s="1"/>
  <c r="I333" i="27" s="1"/>
  <c r="I334" i="27" s="1"/>
  <c r="I335" i="27" s="1"/>
  <c r="I336" i="27" s="1"/>
  <c r="I337" i="27" s="1"/>
  <c r="I338" i="27" s="1"/>
  <c r="I339" i="27" s="1"/>
  <c r="I340" i="27" s="1"/>
  <c r="I341" i="27" s="1"/>
  <c r="I342" i="27" s="1"/>
  <c r="I343" i="27" s="1"/>
  <c r="I344" i="27" s="1"/>
  <c r="I345" i="27" s="1"/>
  <c r="I346" i="27" s="1"/>
  <c r="I347" i="27" s="1"/>
  <c r="I348" i="27" s="1"/>
  <c r="I349" i="27" s="1"/>
  <c r="I350" i="27" s="1"/>
  <c r="I351" i="27" s="1"/>
  <c r="I352" i="27" s="1"/>
  <c r="I353" i="27" s="1"/>
  <c r="I354" i="27" s="1"/>
  <c r="I355" i="27" s="1"/>
  <c r="I356" i="27" s="1"/>
  <c r="I357" i="27" s="1"/>
  <c r="I358" i="27" s="1"/>
  <c r="I359" i="27" s="1"/>
  <c r="I360" i="27" s="1"/>
  <c r="I361" i="27" s="1"/>
  <c r="I362" i="27" s="1"/>
  <c r="I363" i="27" s="1"/>
  <c r="I364" i="27" s="1"/>
  <c r="I365" i="27" s="1"/>
  <c r="I366" i="27" s="1"/>
  <c r="I367" i="27" s="1"/>
  <c r="I368" i="27" s="1"/>
  <c r="I369" i="27" s="1"/>
  <c r="I370" i="27" s="1"/>
  <c r="I371" i="27" s="1"/>
  <c r="I151" i="27"/>
  <c r="I159" i="27" s="1"/>
  <c r="I167" i="27" s="1"/>
  <c r="I175" i="27" s="1"/>
  <c r="I183" i="27" s="1"/>
  <c r="I191" i="27" s="1"/>
  <c r="I199" i="27" s="1"/>
  <c r="I110" i="29"/>
  <c r="I118" i="29" s="1"/>
  <c r="I126" i="29" s="1"/>
  <c r="I102" i="29"/>
  <c r="I111" i="24" l="1"/>
  <c r="I119" i="24" s="1"/>
  <c r="I103" i="24"/>
  <c r="I112" i="24" s="1"/>
  <c r="I120" i="24" s="1"/>
  <c r="I129" i="24" s="1"/>
  <c r="I373" i="27"/>
  <c r="I374" i="27" s="1"/>
  <c r="I375" i="27" s="1"/>
  <c r="I376" i="27" s="1"/>
  <c r="I377" i="27" s="1"/>
  <c r="I378" i="27" s="1"/>
  <c r="I379" i="27" s="1"/>
  <c r="I380" i="27" s="1"/>
  <c r="I381" i="27" s="1"/>
  <c r="I382" i="27" s="1"/>
  <c r="I383" i="27" s="1"/>
  <c r="I384" i="27" s="1"/>
  <c r="I385" i="27" s="1"/>
  <c r="I386" i="27" s="1"/>
  <c r="I387" i="27" s="1"/>
  <c r="I388" i="27" s="1"/>
  <c r="I389" i="27" s="1"/>
  <c r="I390" i="27" s="1"/>
  <c r="I391" i="27" s="1"/>
  <c r="I392" i="27" s="1"/>
  <c r="I393" i="27" s="1"/>
  <c r="I394" i="27" s="1"/>
  <c r="I395" i="27" s="1"/>
  <c r="I396" i="27" s="1"/>
  <c r="I372" i="27"/>
  <c r="I135" i="24"/>
  <c r="I143" i="24" s="1"/>
  <c r="I154" i="24"/>
  <c r="I162" i="24" s="1"/>
  <c r="I170" i="24" s="1"/>
  <c r="I178" i="24" s="1"/>
  <c r="I186" i="24" s="1"/>
  <c r="I196" i="24" s="1"/>
  <c r="I204" i="24" s="1"/>
  <c r="I103" i="27"/>
  <c r="I110" i="27"/>
  <c r="I118" i="27" s="1"/>
  <c r="I126" i="27" s="1"/>
  <c r="I378" i="29"/>
  <c r="I379" i="29" s="1"/>
  <c r="I380" i="29" s="1"/>
  <c r="I381" i="29" s="1"/>
  <c r="I382" i="29" s="1"/>
  <c r="I383" i="29" s="1"/>
  <c r="I384" i="29" s="1"/>
  <c r="I385" i="29" s="1"/>
  <c r="I386" i="29" s="1"/>
  <c r="I387" i="29" s="1"/>
  <c r="I388" i="29" s="1"/>
  <c r="I389" i="29" s="1"/>
  <c r="I390" i="29" s="1"/>
  <c r="I391" i="29" s="1"/>
  <c r="I392" i="29" s="1"/>
  <c r="I393" i="29" s="1"/>
  <c r="I394" i="29" s="1"/>
  <c r="I395" i="29" s="1"/>
  <c r="I396" i="29" s="1"/>
  <c r="I397" i="29" s="1"/>
  <c r="I398" i="29" s="1"/>
  <c r="I399" i="29" s="1"/>
  <c r="I400" i="29" s="1"/>
  <c r="I401" i="29" s="1"/>
  <c r="I377" i="29"/>
  <c r="I152" i="27"/>
  <c r="I160" i="27" s="1"/>
  <c r="I168" i="27" s="1"/>
  <c r="I176" i="27" s="1"/>
  <c r="I184" i="27" s="1"/>
  <c r="I192" i="27" s="1"/>
  <c r="I200" i="27" s="1"/>
  <c r="I133" i="27"/>
  <c r="I141" i="27" s="1"/>
  <c r="I135" i="1"/>
  <c r="I143" i="1" s="1"/>
  <c r="I156" i="1"/>
  <c r="I164" i="1" s="1"/>
  <c r="I172" i="1" s="1"/>
  <c r="I177" i="1" s="1"/>
  <c r="I182" i="1" s="1"/>
  <c r="I187" i="1" s="1"/>
  <c r="I192" i="1" s="1"/>
  <c r="I197" i="1" s="1"/>
  <c r="I202" i="1" s="1"/>
  <c r="I127" i="1"/>
  <c r="I128" i="1"/>
  <c r="I400" i="28"/>
  <c r="I401" i="28" s="1"/>
  <c r="I402" i="28" s="1"/>
  <c r="I403" i="28" s="1"/>
  <c r="I404" i="28" s="1"/>
  <c r="I405" i="28" s="1"/>
  <c r="I406" i="28" s="1"/>
  <c r="I407" i="28" s="1"/>
  <c r="I408" i="28" s="1"/>
  <c r="I409" i="28" s="1"/>
  <c r="I410" i="28" s="1"/>
  <c r="I411" i="28" s="1"/>
  <c r="I412" i="28" s="1"/>
  <c r="I413" i="28" s="1"/>
  <c r="I414" i="28" s="1"/>
  <c r="I415" i="28" s="1"/>
  <c r="I416" i="28" s="1"/>
  <c r="I417" i="28" s="1"/>
  <c r="I418" i="28" s="1"/>
  <c r="I419" i="28" s="1"/>
  <c r="I420" i="28" s="1"/>
  <c r="I421" i="28" s="1"/>
  <c r="I399" i="28"/>
  <c r="I205" i="1"/>
  <c r="I208" i="1"/>
  <c r="I206" i="1"/>
  <c r="I209" i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111" i="29"/>
  <c r="I119" i="29" s="1"/>
  <c r="I103" i="29"/>
  <c r="I112" i="29" s="1"/>
  <c r="I120" i="29" s="1"/>
  <c r="I129" i="29" s="1"/>
  <c r="I103" i="28"/>
  <c r="I111" i="28" s="1"/>
  <c r="I119" i="28" s="1"/>
  <c r="I127" i="28" s="1"/>
  <c r="I110" i="28"/>
  <c r="I118" i="28" s="1"/>
  <c r="I126" i="28" s="1"/>
  <c r="I377" i="24"/>
  <c r="I378" i="24"/>
  <c r="I379" i="24" s="1"/>
  <c r="I380" i="24" s="1"/>
  <c r="I381" i="24" s="1"/>
  <c r="I382" i="24" s="1"/>
  <c r="I383" i="24" s="1"/>
  <c r="I384" i="24" s="1"/>
  <c r="I385" i="24" s="1"/>
  <c r="I386" i="24" s="1"/>
  <c r="I387" i="24" s="1"/>
  <c r="I388" i="24" s="1"/>
  <c r="I389" i="24" s="1"/>
  <c r="I390" i="24" s="1"/>
  <c r="I391" i="24" s="1"/>
  <c r="I392" i="24" s="1"/>
  <c r="I393" i="24" s="1"/>
  <c r="I394" i="24" s="1"/>
  <c r="I395" i="24" s="1"/>
  <c r="I396" i="24" s="1"/>
  <c r="I397" i="24" s="1"/>
  <c r="I135" i="29"/>
  <c r="I143" i="29" s="1"/>
  <c r="I154" i="29"/>
  <c r="I162" i="29" s="1"/>
  <c r="I170" i="29" s="1"/>
  <c r="I178" i="29" s="1"/>
  <c r="I186" i="29" s="1"/>
  <c r="I196" i="29" s="1"/>
  <c r="I204" i="29" s="1"/>
  <c r="I152" i="28"/>
  <c r="I160" i="28" s="1"/>
  <c r="I168" i="28" s="1"/>
  <c r="I176" i="28" s="1"/>
  <c r="I184" i="28" s="1"/>
  <c r="I194" i="28" s="1"/>
  <c r="I202" i="28" s="1"/>
  <c r="I133" i="28"/>
  <c r="I141" i="28" s="1"/>
  <c r="I157" i="1" l="1"/>
  <c r="I165" i="1" s="1"/>
  <c r="I136" i="1"/>
  <c r="I144" i="1" s="1"/>
  <c r="I156" i="29"/>
  <c r="I164" i="29" s="1"/>
  <c r="I172" i="29" s="1"/>
  <c r="I180" i="29" s="1"/>
  <c r="I188" i="29" s="1"/>
  <c r="I198" i="29" s="1"/>
  <c r="I206" i="29" s="1"/>
  <c r="I137" i="29"/>
  <c r="I145" i="29" s="1"/>
  <c r="I128" i="29"/>
  <c r="I127" i="29"/>
  <c r="I134" i="27"/>
  <c r="I142" i="27" s="1"/>
  <c r="I153" i="27"/>
  <c r="I161" i="27" s="1"/>
  <c r="I169" i="27" s="1"/>
  <c r="I177" i="27" s="1"/>
  <c r="I185" i="27" s="1"/>
  <c r="I193" i="27" s="1"/>
  <c r="I201" i="27" s="1"/>
  <c r="I399" i="24"/>
  <c r="I400" i="24" s="1"/>
  <c r="I401" i="24" s="1"/>
  <c r="I402" i="24" s="1"/>
  <c r="I403" i="24" s="1"/>
  <c r="I404" i="24" s="1"/>
  <c r="I405" i="24" s="1"/>
  <c r="I406" i="24" s="1"/>
  <c r="I407" i="24" s="1"/>
  <c r="I408" i="24" s="1"/>
  <c r="I409" i="24" s="1"/>
  <c r="I410" i="24" s="1"/>
  <c r="I411" i="24" s="1"/>
  <c r="I412" i="24" s="1"/>
  <c r="I413" i="24" s="1"/>
  <c r="I414" i="24" s="1"/>
  <c r="I415" i="24" s="1"/>
  <c r="I416" i="24" s="1"/>
  <c r="I417" i="24" s="1"/>
  <c r="I418" i="24" s="1"/>
  <c r="I419" i="24" s="1"/>
  <c r="I420" i="24" s="1"/>
  <c r="I398" i="24"/>
  <c r="I134" i="28"/>
  <c r="I142" i="28" s="1"/>
  <c r="I153" i="28"/>
  <c r="I161" i="28" s="1"/>
  <c r="I169" i="28" s="1"/>
  <c r="I177" i="28" s="1"/>
  <c r="I185" i="28" s="1"/>
  <c r="I195" i="28" s="1"/>
  <c r="I203" i="28" s="1"/>
  <c r="I154" i="28"/>
  <c r="I162" i="28" s="1"/>
  <c r="I170" i="28" s="1"/>
  <c r="I178" i="28" s="1"/>
  <c r="I186" i="28" s="1"/>
  <c r="I196" i="28" s="1"/>
  <c r="I204" i="28" s="1"/>
  <c r="I135" i="28"/>
  <c r="I143" i="28" s="1"/>
  <c r="I403" i="29"/>
  <c r="I404" i="29" s="1"/>
  <c r="I405" i="29" s="1"/>
  <c r="I406" i="29" s="1"/>
  <c r="I407" i="29" s="1"/>
  <c r="I408" i="29" s="1"/>
  <c r="I409" i="29" s="1"/>
  <c r="I410" i="29" s="1"/>
  <c r="I411" i="29" s="1"/>
  <c r="I412" i="29" s="1"/>
  <c r="I413" i="29" s="1"/>
  <c r="I414" i="29" s="1"/>
  <c r="I415" i="29" s="1"/>
  <c r="I416" i="29" s="1"/>
  <c r="I417" i="29" s="1"/>
  <c r="I418" i="29" s="1"/>
  <c r="I419" i="29" s="1"/>
  <c r="I420" i="29" s="1"/>
  <c r="I421" i="29" s="1"/>
  <c r="I422" i="29" s="1"/>
  <c r="I423" i="29" s="1"/>
  <c r="I424" i="29" s="1"/>
  <c r="I425" i="29" s="1"/>
  <c r="I426" i="29" s="1"/>
  <c r="I427" i="29" s="1"/>
  <c r="I428" i="29" s="1"/>
  <c r="I429" i="29" s="1"/>
  <c r="I430" i="29" s="1"/>
  <c r="I431" i="29" s="1"/>
  <c r="I432" i="29" s="1"/>
  <c r="I433" i="29" s="1"/>
  <c r="I434" i="29" s="1"/>
  <c r="I435" i="29" s="1"/>
  <c r="I436" i="29" s="1"/>
  <c r="I437" i="29" s="1"/>
  <c r="I438" i="29" s="1"/>
  <c r="I439" i="29" s="1"/>
  <c r="I440" i="29" s="1"/>
  <c r="I441" i="29" s="1"/>
  <c r="I442" i="29" s="1"/>
  <c r="I443" i="29" s="1"/>
  <c r="I444" i="29" s="1"/>
  <c r="I445" i="29" s="1"/>
  <c r="I446" i="29" s="1"/>
  <c r="I447" i="29" s="1"/>
  <c r="I448" i="29" s="1"/>
  <c r="I449" i="29" s="1"/>
  <c r="I450" i="29" s="1"/>
  <c r="I451" i="29" s="1"/>
  <c r="I452" i="29" s="1"/>
  <c r="I453" i="29" s="1"/>
  <c r="I454" i="29" s="1"/>
  <c r="I455" i="29" s="1"/>
  <c r="I456" i="29" s="1"/>
  <c r="I457" i="29" s="1"/>
  <c r="I458" i="29" s="1"/>
  <c r="I459" i="29" s="1"/>
  <c r="I460" i="29" s="1"/>
  <c r="I461" i="29" s="1"/>
  <c r="I462" i="29" s="1"/>
  <c r="I463" i="29" s="1"/>
  <c r="I464" i="29" s="1"/>
  <c r="I465" i="29" s="1"/>
  <c r="I466" i="29" s="1"/>
  <c r="I402" i="29"/>
  <c r="I111" i="27"/>
  <c r="I119" i="27" s="1"/>
  <c r="I127" i="27" s="1"/>
  <c r="I104" i="27"/>
  <c r="I112" i="27" s="1"/>
  <c r="I120" i="27" s="1"/>
  <c r="I128" i="27" s="1"/>
  <c r="I422" i="28"/>
  <c r="I423" i="28" s="1"/>
  <c r="I424" i="28" s="1"/>
  <c r="I425" i="28" s="1"/>
  <c r="I426" i="28" s="1"/>
  <c r="I427" i="28" s="1"/>
  <c r="I428" i="28" s="1"/>
  <c r="I429" i="28" s="1"/>
  <c r="I430" i="28" s="1"/>
  <c r="I431" i="28"/>
  <c r="I432" i="28" s="1"/>
  <c r="I433" i="28" s="1"/>
  <c r="I434" i="28" s="1"/>
  <c r="I435" i="28" s="1"/>
  <c r="I436" i="28" s="1"/>
  <c r="I437" i="28" s="1"/>
  <c r="I438" i="28" s="1"/>
  <c r="I439" i="28" s="1"/>
  <c r="I440" i="28" s="1"/>
  <c r="I441" i="28" s="1"/>
  <c r="I442" i="28" s="1"/>
  <c r="I443" i="28" s="1"/>
  <c r="I444" i="28" s="1"/>
  <c r="I445" i="28" s="1"/>
  <c r="I446" i="28" s="1"/>
  <c r="I447" i="28" s="1"/>
  <c r="I448" i="28" s="1"/>
  <c r="I449" i="28" s="1"/>
  <c r="I450" i="28" s="1"/>
  <c r="I451" i="28" s="1"/>
  <c r="I452" i="28" s="1"/>
  <c r="I453" i="28" s="1"/>
  <c r="I454" i="28" s="1"/>
  <c r="I455" i="28" s="1"/>
  <c r="I456" i="28" s="1"/>
  <c r="I457" i="28" s="1"/>
  <c r="I458" i="28" s="1"/>
  <c r="I459" i="28" s="1"/>
  <c r="I460" i="28" s="1"/>
  <c r="I461" i="28" s="1"/>
  <c r="I462" i="28" s="1"/>
  <c r="I463" i="28" s="1"/>
  <c r="I464" i="28" s="1"/>
  <c r="I465" i="28" s="1"/>
  <c r="I466" i="28" s="1"/>
  <c r="I467" i="28" s="1"/>
  <c r="I468" i="28" s="1"/>
  <c r="I127" i="24"/>
  <c r="I128" i="24"/>
  <c r="I243" i="1"/>
  <c r="I244" i="1"/>
  <c r="I245" i="1" s="1"/>
  <c r="I246" i="1" s="1"/>
  <c r="I247" i="1" s="1"/>
  <c r="I248" i="1" s="1"/>
  <c r="I397" i="27"/>
  <c r="I398" i="27"/>
  <c r="I399" i="27" s="1"/>
  <c r="I400" i="27" s="1"/>
  <c r="I401" i="27" s="1"/>
  <c r="I402" i="27" s="1"/>
  <c r="I403" i="27" s="1"/>
  <c r="I404" i="27" s="1"/>
  <c r="I405" i="27" s="1"/>
  <c r="I406" i="27" s="1"/>
  <c r="I407" i="27" s="1"/>
  <c r="I408" i="27" s="1"/>
  <c r="I409" i="27" s="1"/>
  <c r="I410" i="27" s="1"/>
  <c r="I411" i="27" s="1"/>
  <c r="I412" i="27" s="1"/>
  <c r="I413" i="27" s="1"/>
  <c r="I414" i="27" s="1"/>
  <c r="I415" i="27" s="1"/>
  <c r="I416" i="27" s="1"/>
  <c r="I417" i="27" s="1"/>
  <c r="I418" i="27" s="1"/>
  <c r="I419" i="27" s="1"/>
  <c r="I156" i="24"/>
  <c r="I164" i="24" s="1"/>
  <c r="I172" i="24" s="1"/>
  <c r="I180" i="24" s="1"/>
  <c r="I188" i="24" s="1"/>
  <c r="I198" i="24" s="1"/>
  <c r="I206" i="24" s="1"/>
  <c r="I137" i="24"/>
  <c r="I145" i="24" s="1"/>
  <c r="I467" i="29" l="1"/>
  <c r="I468" i="29"/>
  <c r="I469" i="29" s="1"/>
  <c r="I470" i="29" s="1"/>
  <c r="I471" i="29" s="1"/>
  <c r="I472" i="29" s="1"/>
  <c r="I473" i="29" s="1"/>
  <c r="I474" i="29" s="1"/>
  <c r="I475" i="29" s="1"/>
  <c r="I476" i="29" s="1"/>
  <c r="I477" i="29" s="1"/>
  <c r="I478" i="29" s="1"/>
  <c r="I479" i="29" s="1"/>
  <c r="I480" i="29" s="1"/>
  <c r="I481" i="29" s="1"/>
  <c r="I482" i="29" s="1"/>
  <c r="I483" i="29" s="1"/>
  <c r="I484" i="29" s="1"/>
  <c r="I485" i="29" s="1"/>
  <c r="I486" i="29" s="1"/>
  <c r="I487" i="29" s="1"/>
  <c r="I488" i="29" s="1"/>
  <c r="I489" i="29" s="1"/>
  <c r="I490" i="29" s="1"/>
  <c r="I491" i="29" s="1"/>
  <c r="I492" i="29" s="1"/>
  <c r="I493" i="29" s="1"/>
  <c r="I494" i="29" s="1"/>
  <c r="I495" i="29" s="1"/>
  <c r="I496" i="29" s="1"/>
  <c r="I497" i="29" s="1"/>
  <c r="I498" i="29" s="1"/>
  <c r="I499" i="29" s="1"/>
  <c r="I500" i="29" s="1"/>
  <c r="I501" i="29" s="1"/>
  <c r="I502" i="29" s="1"/>
  <c r="I503" i="29" s="1"/>
  <c r="I504" i="29" s="1"/>
  <c r="I505" i="29" s="1"/>
  <c r="I506" i="29" s="1"/>
  <c r="I507" i="29" s="1"/>
  <c r="I508" i="29" s="1"/>
  <c r="I509" i="29" s="1"/>
  <c r="I510" i="29" s="1"/>
  <c r="I511" i="29" s="1"/>
  <c r="I512" i="29" s="1"/>
  <c r="I513" i="29" s="1"/>
  <c r="I514" i="29" s="1"/>
  <c r="I515" i="29" s="1"/>
  <c r="I516" i="29" s="1"/>
  <c r="I517" i="29" s="1"/>
  <c r="I518" i="29" s="1"/>
  <c r="I519" i="29" s="1"/>
  <c r="I520" i="29" s="1"/>
  <c r="I521" i="29" s="1"/>
  <c r="I522" i="29" s="1"/>
  <c r="I523" i="29" s="1"/>
  <c r="I524" i="29" s="1"/>
  <c r="I525" i="29" s="1"/>
  <c r="I526" i="29" s="1"/>
  <c r="I527" i="29" s="1"/>
  <c r="I528" i="29" s="1"/>
  <c r="I529" i="29" s="1"/>
  <c r="I530" i="29" s="1"/>
  <c r="I531" i="29" s="1"/>
  <c r="I532" i="29" s="1"/>
  <c r="I533" i="29" s="1"/>
  <c r="I534" i="29" s="1"/>
  <c r="I535" i="29" s="1"/>
  <c r="I536" i="29" s="1"/>
  <c r="I537" i="29" s="1"/>
  <c r="I429" i="27"/>
  <c r="I430" i="27" s="1"/>
  <c r="I431" i="27" s="1"/>
  <c r="I432" i="27" s="1"/>
  <c r="I433" i="27" s="1"/>
  <c r="I434" i="27" s="1"/>
  <c r="I435" i="27" s="1"/>
  <c r="I436" i="27" s="1"/>
  <c r="I437" i="27" s="1"/>
  <c r="I438" i="27" s="1"/>
  <c r="I439" i="27" s="1"/>
  <c r="I440" i="27" s="1"/>
  <c r="I441" i="27" s="1"/>
  <c r="I442" i="27" s="1"/>
  <c r="I443" i="27" s="1"/>
  <c r="I444" i="27" s="1"/>
  <c r="I445" i="27" s="1"/>
  <c r="I446" i="27" s="1"/>
  <c r="I447" i="27" s="1"/>
  <c r="I448" i="27" s="1"/>
  <c r="I449" i="27" s="1"/>
  <c r="I450" i="27" s="1"/>
  <c r="I451" i="27" s="1"/>
  <c r="I452" i="27" s="1"/>
  <c r="I453" i="27" s="1"/>
  <c r="I454" i="27" s="1"/>
  <c r="I455" i="27" s="1"/>
  <c r="I456" i="27" s="1"/>
  <c r="I457" i="27" s="1"/>
  <c r="I458" i="27" s="1"/>
  <c r="I459" i="27" s="1"/>
  <c r="I460" i="27" s="1"/>
  <c r="I461" i="27" s="1"/>
  <c r="I462" i="27" s="1"/>
  <c r="I463" i="27" s="1"/>
  <c r="I464" i="27" s="1"/>
  <c r="I465" i="27" s="1"/>
  <c r="I466" i="27" s="1"/>
  <c r="I420" i="27"/>
  <c r="I421" i="27" s="1"/>
  <c r="I422" i="27" s="1"/>
  <c r="I423" i="27" s="1"/>
  <c r="I424" i="27" s="1"/>
  <c r="I425" i="27" s="1"/>
  <c r="I426" i="27" s="1"/>
  <c r="I427" i="27" s="1"/>
  <c r="I428" i="27" s="1"/>
  <c r="I249" i="1"/>
  <c r="I250" i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28"/>
  <c r="I471" i="28" s="1"/>
  <c r="I472" i="28" s="1"/>
  <c r="I473" i="28" s="1"/>
  <c r="I474" i="28" s="1"/>
  <c r="I475" i="28" s="1"/>
  <c r="I476" i="28" s="1"/>
  <c r="I477" i="28" s="1"/>
  <c r="I478" i="28" s="1"/>
  <c r="I479" i="28" s="1"/>
  <c r="I480" i="28" s="1"/>
  <c r="I481" i="28" s="1"/>
  <c r="I482" i="28" s="1"/>
  <c r="I483" i="28" s="1"/>
  <c r="I484" i="28" s="1"/>
  <c r="I485" i="28" s="1"/>
  <c r="I486" i="28" s="1"/>
  <c r="I487" i="28" s="1"/>
  <c r="I488" i="28" s="1"/>
  <c r="I489" i="28" s="1"/>
  <c r="I490" i="28" s="1"/>
  <c r="I491" i="28" s="1"/>
  <c r="I492" i="28" s="1"/>
  <c r="I493" i="28" s="1"/>
  <c r="I494" i="28" s="1"/>
  <c r="I495" i="28" s="1"/>
  <c r="I496" i="28" s="1"/>
  <c r="I497" i="28" s="1"/>
  <c r="I498" i="28" s="1"/>
  <c r="I499" i="28" s="1"/>
  <c r="I500" i="28" s="1"/>
  <c r="I501" i="28" s="1"/>
  <c r="I502" i="28" s="1"/>
  <c r="I503" i="28" s="1"/>
  <c r="I504" i="28" s="1"/>
  <c r="I505" i="28" s="1"/>
  <c r="I506" i="28" s="1"/>
  <c r="I507" i="28" s="1"/>
  <c r="I508" i="28" s="1"/>
  <c r="I509" i="28" s="1"/>
  <c r="I510" i="28" s="1"/>
  <c r="I511" i="28" s="1"/>
  <c r="I512" i="28" s="1"/>
  <c r="I513" i="28" s="1"/>
  <c r="I514" i="28" s="1"/>
  <c r="I515" i="28" s="1"/>
  <c r="I516" i="28" s="1"/>
  <c r="I517" i="28" s="1"/>
  <c r="I518" i="28" s="1"/>
  <c r="I519" i="28" s="1"/>
  <c r="I520" i="28" s="1"/>
  <c r="I521" i="28" s="1"/>
  <c r="I522" i="28" s="1"/>
  <c r="I523" i="28" s="1"/>
  <c r="I524" i="28" s="1"/>
  <c r="I525" i="28" s="1"/>
  <c r="I526" i="28" s="1"/>
  <c r="I527" i="28" s="1"/>
  <c r="I528" i="28" s="1"/>
  <c r="I529" i="28" s="1"/>
  <c r="I530" i="28" s="1"/>
  <c r="I531" i="28" s="1"/>
  <c r="I532" i="28" s="1"/>
  <c r="I533" i="28" s="1"/>
  <c r="I534" i="28" s="1"/>
  <c r="I535" i="28" s="1"/>
  <c r="I536" i="28" s="1"/>
  <c r="I537" i="28" s="1"/>
  <c r="I538" i="28" s="1"/>
  <c r="I539" i="28" s="1"/>
  <c r="I540" i="28" s="1"/>
  <c r="I541" i="28" s="1"/>
  <c r="I469" i="28"/>
  <c r="I136" i="29"/>
  <c r="I144" i="29" s="1"/>
  <c r="I155" i="29"/>
  <c r="I163" i="29" s="1"/>
  <c r="I171" i="29" s="1"/>
  <c r="I179" i="29" s="1"/>
  <c r="I187" i="29" s="1"/>
  <c r="I197" i="29" s="1"/>
  <c r="I205" i="29" s="1"/>
  <c r="I135" i="27"/>
  <c r="I143" i="27" s="1"/>
  <c r="I154" i="27"/>
  <c r="I162" i="27" s="1"/>
  <c r="I170" i="27" s="1"/>
  <c r="I178" i="27" s="1"/>
  <c r="I186" i="27" s="1"/>
  <c r="I194" i="27" s="1"/>
  <c r="I202" i="27" s="1"/>
  <c r="I430" i="24"/>
  <c r="I431" i="24" s="1"/>
  <c r="I432" i="24" s="1"/>
  <c r="I433" i="24" s="1"/>
  <c r="I434" i="24" s="1"/>
  <c r="I435" i="24" s="1"/>
  <c r="I436" i="24" s="1"/>
  <c r="I437" i="24" s="1"/>
  <c r="I438" i="24" s="1"/>
  <c r="I439" i="24" s="1"/>
  <c r="I440" i="24" s="1"/>
  <c r="I441" i="24" s="1"/>
  <c r="I442" i="24" s="1"/>
  <c r="I443" i="24" s="1"/>
  <c r="I444" i="24" s="1"/>
  <c r="I445" i="24" s="1"/>
  <c r="I446" i="24" s="1"/>
  <c r="I447" i="24" s="1"/>
  <c r="I448" i="24" s="1"/>
  <c r="I449" i="24" s="1"/>
  <c r="I450" i="24" s="1"/>
  <c r="I451" i="24" s="1"/>
  <c r="I452" i="24" s="1"/>
  <c r="I453" i="24" s="1"/>
  <c r="I454" i="24" s="1"/>
  <c r="I455" i="24" s="1"/>
  <c r="I456" i="24" s="1"/>
  <c r="I457" i="24" s="1"/>
  <c r="I458" i="24" s="1"/>
  <c r="I459" i="24" s="1"/>
  <c r="I460" i="24" s="1"/>
  <c r="I461" i="24" s="1"/>
  <c r="I462" i="24" s="1"/>
  <c r="I463" i="24" s="1"/>
  <c r="I464" i="24" s="1"/>
  <c r="I465" i="24" s="1"/>
  <c r="I466" i="24" s="1"/>
  <c r="I467" i="24" s="1"/>
  <c r="I421" i="24"/>
  <c r="I422" i="24" s="1"/>
  <c r="I423" i="24" s="1"/>
  <c r="I424" i="24" s="1"/>
  <c r="I425" i="24" s="1"/>
  <c r="I426" i="24" s="1"/>
  <c r="I427" i="24" s="1"/>
  <c r="I428" i="24" s="1"/>
  <c r="I429" i="24" s="1"/>
  <c r="I155" i="24"/>
  <c r="I163" i="24" s="1"/>
  <c r="I171" i="24" s="1"/>
  <c r="I179" i="24" s="1"/>
  <c r="I187" i="24" s="1"/>
  <c r="I197" i="24" s="1"/>
  <c r="I205" i="24" s="1"/>
  <c r="I136" i="24"/>
  <c r="I144" i="24" s="1"/>
  <c r="I155" i="27"/>
  <c r="I163" i="27" s="1"/>
  <c r="I171" i="27" s="1"/>
  <c r="I179" i="27" s="1"/>
  <c r="I187" i="27" s="1"/>
  <c r="I195" i="27" s="1"/>
  <c r="I203" i="27" s="1"/>
  <c r="I136" i="27"/>
  <c r="I144" i="27" s="1"/>
  <c r="I468" i="24" l="1"/>
  <c r="I469" i="24"/>
  <c r="I470" i="24" s="1"/>
  <c r="I471" i="24" s="1"/>
  <c r="I472" i="24" s="1"/>
  <c r="I473" i="24" s="1"/>
  <c r="I474" i="24" s="1"/>
  <c r="I475" i="24" s="1"/>
  <c r="I476" i="24" s="1"/>
  <c r="I477" i="24" s="1"/>
  <c r="I478" i="24" s="1"/>
  <c r="I479" i="24" s="1"/>
  <c r="I480" i="24" s="1"/>
  <c r="I481" i="24" s="1"/>
  <c r="I482" i="24" s="1"/>
  <c r="I483" i="24" s="1"/>
  <c r="I484" i="24" s="1"/>
  <c r="I485" i="24" s="1"/>
  <c r="I486" i="24" s="1"/>
  <c r="I487" i="24" s="1"/>
  <c r="I488" i="24" s="1"/>
  <c r="I489" i="24" s="1"/>
  <c r="I490" i="24" s="1"/>
  <c r="I491" i="24" s="1"/>
  <c r="I492" i="24" s="1"/>
  <c r="I493" i="24" s="1"/>
  <c r="I494" i="24" s="1"/>
  <c r="I495" i="24" s="1"/>
  <c r="I496" i="24" s="1"/>
  <c r="I497" i="24" s="1"/>
  <c r="I498" i="24" s="1"/>
  <c r="I499" i="24" s="1"/>
  <c r="I500" i="24" s="1"/>
  <c r="I501" i="24" s="1"/>
  <c r="I502" i="24" s="1"/>
  <c r="I503" i="24" s="1"/>
  <c r="I504" i="24" s="1"/>
  <c r="I505" i="24" s="1"/>
  <c r="I506" i="24" s="1"/>
  <c r="I507" i="24" s="1"/>
  <c r="I508" i="24" s="1"/>
  <c r="I509" i="24" s="1"/>
  <c r="I510" i="24" s="1"/>
  <c r="I511" i="24" s="1"/>
  <c r="I512" i="24" s="1"/>
  <c r="I513" i="24" s="1"/>
  <c r="I514" i="24" s="1"/>
  <c r="I515" i="24" s="1"/>
  <c r="I516" i="24" s="1"/>
  <c r="I517" i="24" s="1"/>
  <c r="I518" i="24" s="1"/>
  <c r="I519" i="24" s="1"/>
  <c r="I520" i="24" s="1"/>
  <c r="I521" i="24" s="1"/>
  <c r="I522" i="24" s="1"/>
  <c r="I523" i="24" s="1"/>
  <c r="I524" i="24" s="1"/>
  <c r="I525" i="24" s="1"/>
  <c r="I526" i="24" s="1"/>
  <c r="I527" i="24" s="1"/>
  <c r="I528" i="24" s="1"/>
  <c r="I529" i="24" s="1"/>
  <c r="I530" i="24" s="1"/>
  <c r="I531" i="24" s="1"/>
  <c r="I532" i="24" s="1"/>
  <c r="I533" i="24" s="1"/>
  <c r="I534" i="24" s="1"/>
  <c r="I535" i="24" s="1"/>
  <c r="I536" i="24" s="1"/>
  <c r="I537" i="24" s="1"/>
  <c r="I470" i="1"/>
  <c r="I471" i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43" i="28"/>
  <c r="I544" i="28" s="1"/>
  <c r="I542" i="28"/>
  <c r="I468" i="27"/>
  <c r="I469" i="27" s="1"/>
  <c r="I470" i="27" s="1"/>
  <c r="I471" i="27" s="1"/>
  <c r="I472" i="27" s="1"/>
  <c r="I473" i="27" s="1"/>
  <c r="I474" i="27" s="1"/>
  <c r="I475" i="27" s="1"/>
  <c r="I476" i="27" s="1"/>
  <c r="I477" i="27" s="1"/>
  <c r="I478" i="27" s="1"/>
  <c r="I479" i="27" s="1"/>
  <c r="I480" i="27" s="1"/>
  <c r="I481" i="27" s="1"/>
  <c r="I482" i="27" s="1"/>
  <c r="I483" i="27" s="1"/>
  <c r="I484" i="27" s="1"/>
  <c r="I485" i="27" s="1"/>
  <c r="I486" i="27" s="1"/>
  <c r="I487" i="27" s="1"/>
  <c r="I488" i="27" s="1"/>
  <c r="I489" i="27" s="1"/>
  <c r="I490" i="27" s="1"/>
  <c r="I491" i="27" s="1"/>
  <c r="I492" i="27" s="1"/>
  <c r="I493" i="27" s="1"/>
  <c r="I494" i="27" s="1"/>
  <c r="I495" i="27" s="1"/>
  <c r="I496" i="27" s="1"/>
  <c r="I497" i="27" s="1"/>
  <c r="I498" i="27" s="1"/>
  <c r="I499" i="27" s="1"/>
  <c r="I500" i="27" s="1"/>
  <c r="I501" i="27" s="1"/>
  <c r="I502" i="27" s="1"/>
  <c r="I503" i="27" s="1"/>
  <c r="I504" i="27" s="1"/>
  <c r="I505" i="27" s="1"/>
  <c r="I506" i="27" s="1"/>
  <c r="I507" i="27" s="1"/>
  <c r="I508" i="27" s="1"/>
  <c r="I509" i="27" s="1"/>
  <c r="I510" i="27" s="1"/>
  <c r="I511" i="27" s="1"/>
  <c r="I512" i="27" s="1"/>
  <c r="I513" i="27" s="1"/>
  <c r="I514" i="27" s="1"/>
  <c r="I515" i="27" s="1"/>
  <c r="I516" i="27" s="1"/>
  <c r="I517" i="27" s="1"/>
  <c r="I518" i="27" s="1"/>
  <c r="I519" i="27" s="1"/>
  <c r="I520" i="27" s="1"/>
  <c r="I521" i="27" s="1"/>
  <c r="I522" i="27" s="1"/>
  <c r="I523" i="27" s="1"/>
  <c r="I524" i="27" s="1"/>
  <c r="I525" i="27" s="1"/>
  <c r="I526" i="27" s="1"/>
  <c r="I527" i="27" s="1"/>
  <c r="I528" i="27" s="1"/>
  <c r="I529" i="27" s="1"/>
  <c r="I530" i="27" s="1"/>
  <c r="I531" i="27" s="1"/>
  <c r="I532" i="27" s="1"/>
  <c r="I533" i="27" s="1"/>
  <c r="I534" i="27" s="1"/>
  <c r="I535" i="27" s="1"/>
  <c r="I536" i="27" s="1"/>
  <c r="I537" i="27" s="1"/>
  <c r="I538" i="27" s="1"/>
  <c r="I539" i="27" s="1"/>
  <c r="I467" i="27"/>
  <c r="I538" i="29"/>
  <c r="I539" i="29"/>
  <c r="I540" i="29" s="1"/>
  <c r="I540" i="27" l="1"/>
  <c r="I541" i="27"/>
  <c r="I542" i="27" s="1"/>
  <c r="I546" i="28"/>
  <c r="I547" i="28" s="1"/>
  <c r="I548" i="28" s="1"/>
  <c r="I549" i="28" s="1"/>
  <c r="I550" i="28" s="1"/>
  <c r="I551" i="28" s="1"/>
  <c r="I552" i="28" s="1"/>
  <c r="I545" i="28"/>
  <c r="I541" i="29"/>
  <c r="I542" i="29"/>
  <c r="I543" i="29" s="1"/>
  <c r="I544" i="29" s="1"/>
  <c r="I545" i="29" s="1"/>
  <c r="I546" i="29" s="1"/>
  <c r="I547" i="29" s="1"/>
  <c r="I548" i="29" s="1"/>
  <c r="I538" i="1"/>
  <c r="I539" i="1"/>
  <c r="I540" i="1" s="1"/>
  <c r="I538" i="24"/>
  <c r="I539" i="24"/>
  <c r="I540" i="24" s="1"/>
  <c r="I541" i="24" l="1"/>
  <c r="I542" i="24"/>
  <c r="I543" i="24" s="1"/>
  <c r="I544" i="24" s="1"/>
  <c r="I545" i="24" s="1"/>
  <c r="I546" i="24" s="1"/>
  <c r="I547" i="24" s="1"/>
  <c r="I548" i="24" s="1"/>
  <c r="I542" i="1"/>
  <c r="I543" i="1" s="1"/>
  <c r="I544" i="1" s="1"/>
  <c r="I545" i="1" s="1"/>
  <c r="I546" i="1" s="1"/>
  <c r="I547" i="1" s="1"/>
  <c r="I548" i="1" s="1"/>
  <c r="I541" i="1"/>
  <c r="I550" i="29"/>
  <c r="I552" i="29" s="1"/>
  <c r="I553" i="29" s="1"/>
  <c r="I554" i="29" s="1"/>
  <c r="I555" i="29" s="1"/>
  <c r="I556" i="29" s="1"/>
  <c r="I557" i="29" s="1"/>
  <c r="I558" i="29" s="1"/>
  <c r="I559" i="29" s="1"/>
  <c r="I560" i="29" s="1"/>
  <c r="I561" i="29" s="1"/>
  <c r="I562" i="29" s="1"/>
  <c r="I563" i="29" s="1"/>
  <c r="I564" i="29" s="1"/>
  <c r="I565" i="29" s="1"/>
  <c r="I566" i="29" s="1"/>
  <c r="I567" i="29" s="1"/>
  <c r="I568" i="29" s="1"/>
  <c r="I569" i="29" s="1"/>
  <c r="I570" i="29" s="1"/>
  <c r="I571" i="29" s="1"/>
  <c r="I572" i="29" s="1"/>
  <c r="I573" i="29" s="1"/>
  <c r="I574" i="29" s="1"/>
  <c r="I575" i="29" s="1"/>
  <c r="I576" i="29" s="1"/>
  <c r="I577" i="29" s="1"/>
  <c r="I578" i="29" s="1"/>
  <c r="I579" i="29" s="1"/>
  <c r="I580" i="29" s="1"/>
  <c r="I581" i="29" s="1"/>
  <c r="I582" i="29" s="1"/>
  <c r="I583" i="29" s="1"/>
  <c r="I584" i="29" s="1"/>
  <c r="I585" i="29" s="1"/>
  <c r="I586" i="29" s="1"/>
  <c r="I587" i="29" s="1"/>
  <c r="I588" i="29" s="1"/>
  <c r="I589" i="29" s="1"/>
  <c r="I590" i="29" s="1"/>
  <c r="I591" i="29" s="1"/>
  <c r="I592" i="29" s="1"/>
  <c r="I593" i="29" s="1"/>
  <c r="I594" i="29" s="1"/>
  <c r="I595" i="29" s="1"/>
  <c r="I596" i="29" s="1"/>
  <c r="I597" i="29" s="1"/>
  <c r="I598" i="29" s="1"/>
  <c r="I599" i="29" s="1"/>
  <c r="I600" i="29" s="1"/>
  <c r="I601" i="29" s="1"/>
  <c r="I602" i="29" s="1"/>
  <c r="I603" i="29" s="1"/>
  <c r="I604" i="29" s="1"/>
  <c r="I605" i="29" s="1"/>
  <c r="I606" i="29" s="1"/>
  <c r="I607" i="29" s="1"/>
  <c r="I608" i="29" s="1"/>
  <c r="I609" i="29" s="1"/>
  <c r="I610" i="29" s="1"/>
  <c r="I611" i="29" s="1"/>
  <c r="I612" i="29" s="1"/>
  <c r="I613" i="29" s="1"/>
  <c r="I614" i="29" s="1"/>
  <c r="I615" i="29" s="1"/>
  <c r="I616" i="29" s="1"/>
  <c r="I617" i="29" s="1"/>
  <c r="I618" i="29" s="1"/>
  <c r="I619" i="29" s="1"/>
  <c r="I620" i="29" s="1"/>
  <c r="I621" i="29" s="1"/>
  <c r="I622" i="29" s="1"/>
  <c r="I623" i="29" s="1"/>
  <c r="I624" i="29" s="1"/>
  <c r="I625" i="29" s="1"/>
  <c r="I626" i="29" s="1"/>
  <c r="I627" i="29" s="1"/>
  <c r="I628" i="29" s="1"/>
  <c r="I629" i="29" s="1"/>
  <c r="I630" i="29" s="1"/>
  <c r="I631" i="29" s="1"/>
  <c r="I632" i="29" s="1"/>
  <c r="I633" i="29" s="1"/>
  <c r="I634" i="29" s="1"/>
  <c r="I635" i="29" s="1"/>
  <c r="I636" i="29" s="1"/>
  <c r="I637" i="29" s="1"/>
  <c r="I638" i="29" s="1"/>
  <c r="I639" i="29" s="1"/>
  <c r="I640" i="29" s="1"/>
  <c r="I641" i="29" s="1"/>
  <c r="I642" i="29" s="1"/>
  <c r="I643" i="29" s="1"/>
  <c r="I644" i="29" s="1"/>
  <c r="I645" i="29" s="1"/>
  <c r="I646" i="29" s="1"/>
  <c r="I647" i="29" s="1"/>
  <c r="I648" i="29" s="1"/>
  <c r="I649" i="29" s="1"/>
  <c r="I650" i="29" s="1"/>
  <c r="I651" i="29" s="1"/>
  <c r="I652" i="29" s="1"/>
  <c r="I549" i="29"/>
  <c r="I551" i="29" s="1"/>
  <c r="I553" i="28"/>
  <c r="I555" i="28" s="1"/>
  <c r="I554" i="28"/>
  <c r="I556" i="28" s="1"/>
  <c r="I557" i="28" s="1"/>
  <c r="I558" i="28" s="1"/>
  <c r="I559" i="28" s="1"/>
  <c r="I560" i="28" s="1"/>
  <c r="I561" i="28" s="1"/>
  <c r="I562" i="28" s="1"/>
  <c r="I563" i="28" s="1"/>
  <c r="I564" i="28" s="1"/>
  <c r="I565" i="28" s="1"/>
  <c r="I566" i="28" s="1"/>
  <c r="I567" i="28" s="1"/>
  <c r="I568" i="28" s="1"/>
  <c r="I569" i="28" s="1"/>
  <c r="I570" i="28" s="1"/>
  <c r="I571" i="28" s="1"/>
  <c r="I572" i="28" s="1"/>
  <c r="I573" i="28" s="1"/>
  <c r="I574" i="28" s="1"/>
  <c r="I575" i="28" s="1"/>
  <c r="I576" i="28" s="1"/>
  <c r="I577" i="28" s="1"/>
  <c r="I578" i="28" s="1"/>
  <c r="I579" i="28" s="1"/>
  <c r="I580" i="28" s="1"/>
  <c r="I581" i="28" s="1"/>
  <c r="I582" i="28" s="1"/>
  <c r="I583" i="28" s="1"/>
  <c r="I584" i="28" s="1"/>
  <c r="I585" i="28" s="1"/>
  <c r="I586" i="28" s="1"/>
  <c r="I587" i="28" s="1"/>
  <c r="I588" i="28" s="1"/>
  <c r="I589" i="28" s="1"/>
  <c r="I590" i="28" s="1"/>
  <c r="I591" i="28" s="1"/>
  <c r="I592" i="28" s="1"/>
  <c r="I593" i="28" s="1"/>
  <c r="I594" i="28" s="1"/>
  <c r="I595" i="28" s="1"/>
  <c r="I596" i="28" s="1"/>
  <c r="I597" i="28" s="1"/>
  <c r="I598" i="28" s="1"/>
  <c r="I599" i="28" s="1"/>
  <c r="I600" i="28" s="1"/>
  <c r="I601" i="28" s="1"/>
  <c r="I602" i="28" s="1"/>
  <c r="I603" i="28" s="1"/>
  <c r="I604" i="28" s="1"/>
  <c r="I605" i="28" s="1"/>
  <c r="I606" i="28" s="1"/>
  <c r="I607" i="28" s="1"/>
  <c r="I608" i="28" s="1"/>
  <c r="I609" i="28" s="1"/>
  <c r="I610" i="28" s="1"/>
  <c r="I611" i="28" s="1"/>
  <c r="I612" i="28" s="1"/>
  <c r="I613" i="28" s="1"/>
  <c r="I614" i="28" s="1"/>
  <c r="I615" i="28" s="1"/>
  <c r="I616" i="28" s="1"/>
  <c r="I617" i="28" s="1"/>
  <c r="I618" i="28" s="1"/>
  <c r="I619" i="28" s="1"/>
  <c r="I620" i="28" s="1"/>
  <c r="I621" i="28" s="1"/>
  <c r="I622" i="28" s="1"/>
  <c r="I623" i="28" s="1"/>
  <c r="I624" i="28" s="1"/>
  <c r="I625" i="28" s="1"/>
  <c r="I626" i="28" s="1"/>
  <c r="I627" i="28" s="1"/>
  <c r="I628" i="28" s="1"/>
  <c r="I629" i="28" s="1"/>
  <c r="I630" i="28" s="1"/>
  <c r="I631" i="28" s="1"/>
  <c r="I632" i="28" s="1"/>
  <c r="I633" i="28" s="1"/>
  <c r="I634" i="28" s="1"/>
  <c r="I635" i="28" s="1"/>
  <c r="I636" i="28" s="1"/>
  <c r="I637" i="28" s="1"/>
  <c r="I638" i="28" s="1"/>
  <c r="I639" i="28" s="1"/>
  <c r="I640" i="28" s="1"/>
  <c r="I641" i="28" s="1"/>
  <c r="I642" i="28" s="1"/>
  <c r="I643" i="28" s="1"/>
  <c r="I644" i="28" s="1"/>
  <c r="I645" i="28" s="1"/>
  <c r="I646" i="28" s="1"/>
  <c r="I647" i="28" s="1"/>
  <c r="I648" i="28" s="1"/>
  <c r="I649" i="28" s="1"/>
  <c r="I650" i="28" s="1"/>
  <c r="I651" i="28" s="1"/>
  <c r="I652" i="28" s="1"/>
  <c r="I653" i="28" s="1"/>
  <c r="I654" i="28" s="1"/>
  <c r="I655" i="28" s="1"/>
  <c r="I656" i="28" s="1"/>
  <c r="I544" i="27"/>
  <c r="I545" i="27" s="1"/>
  <c r="I546" i="27" s="1"/>
  <c r="I547" i="27" s="1"/>
  <c r="I548" i="27" s="1"/>
  <c r="I549" i="27" s="1"/>
  <c r="I550" i="27" s="1"/>
  <c r="I543" i="27"/>
  <c r="I659" i="28" l="1"/>
  <c r="I660" i="28" s="1"/>
  <c r="I661" i="28" s="1"/>
  <c r="I662" i="28" s="1"/>
  <c r="I663" i="28" s="1"/>
  <c r="I664" i="28" s="1"/>
  <c r="I665" i="28" s="1"/>
  <c r="I666" i="28" s="1"/>
  <c r="I667" i="28" s="1"/>
  <c r="I668" i="28" s="1"/>
  <c r="I669" i="28" s="1"/>
  <c r="I670" i="28" s="1"/>
  <c r="I671" i="28" s="1"/>
  <c r="I672" i="28" s="1"/>
  <c r="I673" i="28" s="1"/>
  <c r="I674" i="28" s="1"/>
  <c r="I675" i="28" s="1"/>
  <c r="I676" i="28" s="1"/>
  <c r="I677" i="28" s="1"/>
  <c r="I678" i="28" s="1"/>
  <c r="I679" i="28" s="1"/>
  <c r="I680" i="28" s="1"/>
  <c r="I681" i="28" s="1"/>
  <c r="I657" i="28"/>
  <c r="I658" i="28" s="1"/>
  <c r="I551" i="27"/>
  <c r="I553" i="27" s="1"/>
  <c r="I552" i="27"/>
  <c r="I554" i="27" s="1"/>
  <c r="I555" i="27" s="1"/>
  <c r="I556" i="27" s="1"/>
  <c r="I557" i="27" s="1"/>
  <c r="I558" i="27" s="1"/>
  <c r="I559" i="27" s="1"/>
  <c r="I560" i="27" s="1"/>
  <c r="I561" i="27" s="1"/>
  <c r="I562" i="27" s="1"/>
  <c r="I563" i="27" s="1"/>
  <c r="I564" i="27" s="1"/>
  <c r="I565" i="27" s="1"/>
  <c r="I566" i="27" s="1"/>
  <c r="I567" i="27" s="1"/>
  <c r="I568" i="27" s="1"/>
  <c r="I569" i="27" s="1"/>
  <c r="I570" i="27" s="1"/>
  <c r="I571" i="27" s="1"/>
  <c r="I572" i="27" s="1"/>
  <c r="I573" i="27" s="1"/>
  <c r="I574" i="27" s="1"/>
  <c r="I575" i="27" s="1"/>
  <c r="I576" i="27" s="1"/>
  <c r="I577" i="27" s="1"/>
  <c r="I578" i="27" s="1"/>
  <c r="I579" i="27" s="1"/>
  <c r="I580" i="27" s="1"/>
  <c r="I581" i="27" s="1"/>
  <c r="I582" i="27" s="1"/>
  <c r="I583" i="27" s="1"/>
  <c r="I584" i="27" s="1"/>
  <c r="I585" i="27" s="1"/>
  <c r="I586" i="27" s="1"/>
  <c r="I587" i="27" s="1"/>
  <c r="I588" i="27" s="1"/>
  <c r="I589" i="27" s="1"/>
  <c r="I590" i="27" s="1"/>
  <c r="I591" i="27" s="1"/>
  <c r="I592" i="27" s="1"/>
  <c r="I593" i="27" s="1"/>
  <c r="I594" i="27" s="1"/>
  <c r="I595" i="27" s="1"/>
  <c r="I596" i="27" s="1"/>
  <c r="I597" i="27" s="1"/>
  <c r="I598" i="27" s="1"/>
  <c r="I599" i="27" s="1"/>
  <c r="I600" i="27" s="1"/>
  <c r="I601" i="27" s="1"/>
  <c r="I602" i="27" s="1"/>
  <c r="I603" i="27" s="1"/>
  <c r="I604" i="27" s="1"/>
  <c r="I605" i="27" s="1"/>
  <c r="I606" i="27" s="1"/>
  <c r="I607" i="27" s="1"/>
  <c r="I608" i="27" s="1"/>
  <c r="I609" i="27" s="1"/>
  <c r="I610" i="27" s="1"/>
  <c r="I611" i="27" s="1"/>
  <c r="I612" i="27" s="1"/>
  <c r="I613" i="27" s="1"/>
  <c r="I614" i="27" s="1"/>
  <c r="I615" i="27" s="1"/>
  <c r="I616" i="27" s="1"/>
  <c r="I617" i="27" s="1"/>
  <c r="I618" i="27" s="1"/>
  <c r="I619" i="27" s="1"/>
  <c r="I620" i="27" s="1"/>
  <c r="I621" i="27" s="1"/>
  <c r="I622" i="27" s="1"/>
  <c r="I623" i="27" s="1"/>
  <c r="I624" i="27" s="1"/>
  <c r="I625" i="27" s="1"/>
  <c r="I626" i="27" s="1"/>
  <c r="I627" i="27" s="1"/>
  <c r="I628" i="27" s="1"/>
  <c r="I629" i="27" s="1"/>
  <c r="I630" i="27" s="1"/>
  <c r="I631" i="27" s="1"/>
  <c r="I632" i="27" s="1"/>
  <c r="I633" i="27" s="1"/>
  <c r="I634" i="27" s="1"/>
  <c r="I635" i="27" s="1"/>
  <c r="I636" i="27" s="1"/>
  <c r="I637" i="27" s="1"/>
  <c r="I638" i="27" s="1"/>
  <c r="I639" i="27" s="1"/>
  <c r="I640" i="27" s="1"/>
  <c r="I641" i="27" s="1"/>
  <c r="I642" i="27" s="1"/>
  <c r="I643" i="27" s="1"/>
  <c r="I644" i="27" s="1"/>
  <c r="I645" i="27" s="1"/>
  <c r="I646" i="27" s="1"/>
  <c r="I647" i="27" s="1"/>
  <c r="I648" i="27" s="1"/>
  <c r="I649" i="27" s="1"/>
  <c r="I650" i="27" s="1"/>
  <c r="I651" i="27" s="1"/>
  <c r="I652" i="27" s="1"/>
  <c r="I653" i="27" s="1"/>
  <c r="I654" i="27" s="1"/>
  <c r="I655" i="29"/>
  <c r="I656" i="29" s="1"/>
  <c r="I657" i="29" s="1"/>
  <c r="I658" i="29" s="1"/>
  <c r="I659" i="29" s="1"/>
  <c r="I660" i="29" s="1"/>
  <c r="I661" i="29" s="1"/>
  <c r="I662" i="29" s="1"/>
  <c r="I663" i="29" s="1"/>
  <c r="I664" i="29" s="1"/>
  <c r="I665" i="29" s="1"/>
  <c r="I666" i="29" s="1"/>
  <c r="I667" i="29" s="1"/>
  <c r="I668" i="29" s="1"/>
  <c r="I669" i="29" s="1"/>
  <c r="I670" i="29" s="1"/>
  <c r="I671" i="29" s="1"/>
  <c r="I672" i="29" s="1"/>
  <c r="I673" i="29" s="1"/>
  <c r="I674" i="29" s="1"/>
  <c r="I675" i="29" s="1"/>
  <c r="I676" i="29" s="1"/>
  <c r="I677" i="29" s="1"/>
  <c r="I653" i="29"/>
  <c r="I654" i="29" s="1"/>
  <c r="I549" i="1"/>
  <c r="I551" i="1" s="1"/>
  <c r="I550" i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549" i="24"/>
  <c r="I551" i="24" s="1"/>
  <c r="I550" i="24"/>
  <c r="I552" i="24" s="1"/>
  <c r="I553" i="24" s="1"/>
  <c r="I554" i="24" s="1"/>
  <c r="I555" i="24" s="1"/>
  <c r="I556" i="24" s="1"/>
  <c r="I557" i="24" s="1"/>
  <c r="I558" i="24" s="1"/>
  <c r="I559" i="24" s="1"/>
  <c r="I560" i="24" s="1"/>
  <c r="I561" i="24" s="1"/>
  <c r="I562" i="24" s="1"/>
  <c r="I563" i="24" s="1"/>
  <c r="I564" i="24" s="1"/>
  <c r="I565" i="24" s="1"/>
  <c r="I566" i="24" s="1"/>
  <c r="I567" i="24" s="1"/>
  <c r="I568" i="24" s="1"/>
  <c r="I569" i="24" s="1"/>
  <c r="I570" i="24" s="1"/>
  <c r="I571" i="24" s="1"/>
  <c r="I572" i="24" s="1"/>
  <c r="I573" i="24" s="1"/>
  <c r="I574" i="24" s="1"/>
  <c r="I575" i="24" s="1"/>
  <c r="I576" i="24" s="1"/>
  <c r="I577" i="24" s="1"/>
  <c r="I578" i="24" s="1"/>
  <c r="I579" i="24" s="1"/>
  <c r="I580" i="24" s="1"/>
  <c r="I581" i="24" s="1"/>
  <c r="I582" i="24" s="1"/>
  <c r="I583" i="24" s="1"/>
  <c r="I584" i="24" s="1"/>
  <c r="I585" i="24" s="1"/>
  <c r="I586" i="24" s="1"/>
  <c r="I587" i="24" s="1"/>
  <c r="I588" i="24" s="1"/>
  <c r="I589" i="24" s="1"/>
  <c r="I590" i="24" s="1"/>
  <c r="I591" i="24" s="1"/>
  <c r="I592" i="24" s="1"/>
  <c r="I593" i="24" s="1"/>
  <c r="I594" i="24" s="1"/>
  <c r="I595" i="24" s="1"/>
  <c r="I596" i="24" s="1"/>
  <c r="I597" i="24" s="1"/>
  <c r="I598" i="24" s="1"/>
  <c r="I599" i="24" s="1"/>
  <c r="I600" i="24" s="1"/>
  <c r="I601" i="24" s="1"/>
  <c r="I602" i="24" s="1"/>
  <c r="I603" i="24" s="1"/>
  <c r="I604" i="24" s="1"/>
  <c r="I605" i="24" s="1"/>
  <c r="I606" i="24" s="1"/>
  <c r="I607" i="24" s="1"/>
  <c r="I608" i="24" s="1"/>
  <c r="I609" i="24" s="1"/>
  <c r="I610" i="24" s="1"/>
  <c r="I611" i="24" s="1"/>
  <c r="I612" i="24" s="1"/>
  <c r="I613" i="24" s="1"/>
  <c r="I614" i="24" s="1"/>
  <c r="I615" i="24" s="1"/>
  <c r="I616" i="24" s="1"/>
  <c r="I617" i="24" s="1"/>
  <c r="I618" i="24" s="1"/>
  <c r="I619" i="24" s="1"/>
  <c r="I620" i="24" s="1"/>
  <c r="I621" i="24" s="1"/>
  <c r="I622" i="24" s="1"/>
  <c r="I623" i="24" s="1"/>
  <c r="I624" i="24" s="1"/>
  <c r="I625" i="24" s="1"/>
  <c r="I626" i="24" s="1"/>
  <c r="I627" i="24" s="1"/>
  <c r="I628" i="24" s="1"/>
  <c r="I629" i="24" s="1"/>
  <c r="I630" i="24" s="1"/>
  <c r="I631" i="24" s="1"/>
  <c r="I632" i="24" s="1"/>
  <c r="I633" i="24" s="1"/>
  <c r="I634" i="24" s="1"/>
  <c r="I635" i="24" s="1"/>
  <c r="I636" i="24" s="1"/>
  <c r="I637" i="24" s="1"/>
  <c r="I638" i="24" s="1"/>
  <c r="I639" i="24" s="1"/>
  <c r="I640" i="24" s="1"/>
  <c r="I641" i="24" s="1"/>
  <c r="I642" i="24" s="1"/>
  <c r="I643" i="24" s="1"/>
  <c r="I644" i="24" s="1"/>
  <c r="I645" i="24" s="1"/>
  <c r="I646" i="24" s="1"/>
  <c r="I647" i="24" s="1"/>
  <c r="I648" i="24" s="1"/>
  <c r="I649" i="24" s="1"/>
  <c r="I650" i="24" s="1"/>
  <c r="I651" i="24" s="1"/>
  <c r="I652" i="24" s="1"/>
  <c r="I653" i="1" l="1"/>
  <c r="I654" i="1" s="1"/>
  <c r="I655" i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55" i="27"/>
  <c r="I656" i="27" s="1"/>
  <c r="I657" i="27"/>
  <c r="I658" i="27" s="1"/>
  <c r="I659" i="27" s="1"/>
  <c r="I660" i="27" s="1"/>
  <c r="I661" i="27" s="1"/>
  <c r="I662" i="27" s="1"/>
  <c r="I663" i="27" s="1"/>
  <c r="I664" i="27" s="1"/>
  <c r="I665" i="27" s="1"/>
  <c r="I666" i="27" s="1"/>
  <c r="I667" i="27" s="1"/>
  <c r="I668" i="27" s="1"/>
  <c r="I669" i="27" s="1"/>
  <c r="I670" i="27" s="1"/>
  <c r="I671" i="27" s="1"/>
  <c r="I672" i="27" s="1"/>
  <c r="I673" i="27" s="1"/>
  <c r="I674" i="27" s="1"/>
  <c r="I675" i="27" s="1"/>
  <c r="I676" i="27" s="1"/>
  <c r="I677" i="27" s="1"/>
  <c r="I678" i="27" s="1"/>
  <c r="I679" i="27" s="1"/>
  <c r="I653" i="24"/>
  <c r="I654" i="24" s="1"/>
  <c r="I655" i="24"/>
  <c r="I656" i="24" s="1"/>
  <c r="I657" i="24" s="1"/>
  <c r="I658" i="24" s="1"/>
  <c r="I659" i="24" s="1"/>
  <c r="I660" i="24" s="1"/>
  <c r="I661" i="24" s="1"/>
  <c r="I662" i="24" s="1"/>
  <c r="I663" i="24" s="1"/>
  <c r="I664" i="24" s="1"/>
  <c r="I665" i="24" s="1"/>
  <c r="I666" i="24" s="1"/>
  <c r="I667" i="24" s="1"/>
  <c r="I668" i="24" s="1"/>
  <c r="I669" i="24" s="1"/>
  <c r="I670" i="24" s="1"/>
  <c r="I671" i="24" s="1"/>
  <c r="I672" i="24" s="1"/>
  <c r="I673" i="24" s="1"/>
  <c r="I674" i="24" s="1"/>
  <c r="I675" i="24" s="1"/>
  <c r="I676" i="24" s="1"/>
  <c r="I677" i="24" s="1"/>
  <c r="I680" i="29"/>
  <c r="I681" i="29" s="1"/>
  <c r="I682" i="29" s="1"/>
  <c r="I678" i="29"/>
  <c r="I679" i="29" s="1"/>
  <c r="I682" i="28"/>
  <c r="I683" i="28" s="1"/>
  <c r="I684" i="28"/>
  <c r="I685" i="28" s="1"/>
  <c r="I686" i="28" s="1"/>
  <c r="I688" i="28" l="1"/>
  <c r="I689" i="28" s="1"/>
  <c r="I690" i="28" s="1"/>
  <c r="I691" i="28" s="1"/>
  <c r="I692" i="28" s="1"/>
  <c r="I693" i="28" s="1"/>
  <c r="I694" i="28" s="1"/>
  <c r="I695" i="28" s="1"/>
  <c r="I696" i="28" s="1"/>
  <c r="I697" i="28" s="1"/>
  <c r="I698" i="28" s="1"/>
  <c r="I699" i="28" s="1"/>
  <c r="I700" i="28" s="1"/>
  <c r="I701" i="28" s="1"/>
  <c r="I702" i="28" s="1"/>
  <c r="I703" i="28" s="1"/>
  <c r="I704" i="28" s="1"/>
  <c r="I705" i="28" s="1"/>
  <c r="I706" i="28" s="1"/>
  <c r="I707" i="28" s="1"/>
  <c r="I708" i="28" s="1"/>
  <c r="I709" i="28" s="1"/>
  <c r="I710" i="28" s="1"/>
  <c r="I711" i="28" s="1"/>
  <c r="I712" i="28" s="1"/>
  <c r="I713" i="28" s="1"/>
  <c r="I714" i="28" s="1"/>
  <c r="I715" i="28" s="1"/>
  <c r="I716" i="28" s="1"/>
  <c r="I717" i="28" s="1"/>
  <c r="I718" i="28" s="1"/>
  <c r="I719" i="28" s="1"/>
  <c r="I687" i="28"/>
  <c r="I680" i="24"/>
  <c r="I681" i="24" s="1"/>
  <c r="I682" i="24" s="1"/>
  <c r="I678" i="24"/>
  <c r="I679" i="24" s="1"/>
  <c r="I680" i="27"/>
  <c r="I681" i="27" s="1"/>
  <c r="I682" i="27"/>
  <c r="I683" i="27" s="1"/>
  <c r="I684" i="27" s="1"/>
  <c r="I684" i="29"/>
  <c r="I685" i="29" s="1"/>
  <c r="I686" i="29" s="1"/>
  <c r="I687" i="29" s="1"/>
  <c r="I688" i="29" s="1"/>
  <c r="I689" i="29" s="1"/>
  <c r="I690" i="29" s="1"/>
  <c r="I691" i="29" s="1"/>
  <c r="I692" i="29" s="1"/>
  <c r="I693" i="29" s="1"/>
  <c r="I694" i="29" s="1"/>
  <c r="I695" i="29" s="1"/>
  <c r="I696" i="29" s="1"/>
  <c r="I697" i="29" s="1"/>
  <c r="I698" i="29" s="1"/>
  <c r="I699" i="29" s="1"/>
  <c r="I700" i="29" s="1"/>
  <c r="I701" i="29" s="1"/>
  <c r="I702" i="29" s="1"/>
  <c r="I703" i="29" s="1"/>
  <c r="I704" i="29" s="1"/>
  <c r="I705" i="29" s="1"/>
  <c r="I706" i="29" s="1"/>
  <c r="I707" i="29" s="1"/>
  <c r="I708" i="29" s="1"/>
  <c r="I709" i="29" s="1"/>
  <c r="I710" i="29" s="1"/>
  <c r="I711" i="29" s="1"/>
  <c r="I712" i="29" s="1"/>
  <c r="I713" i="29" s="1"/>
  <c r="I714" i="29" s="1"/>
  <c r="I715" i="29" s="1"/>
  <c r="I683" i="29"/>
  <c r="I678" i="1"/>
  <c r="I679" i="1" s="1"/>
  <c r="I680" i="1"/>
  <c r="I681" i="1" s="1"/>
  <c r="I682" i="1" s="1"/>
  <c r="I684" i="24" l="1"/>
  <c r="I685" i="24" s="1"/>
  <c r="I686" i="24" s="1"/>
  <c r="I687" i="24" s="1"/>
  <c r="I688" i="24" s="1"/>
  <c r="I689" i="24" s="1"/>
  <c r="I690" i="24" s="1"/>
  <c r="I691" i="24" s="1"/>
  <c r="I692" i="24" s="1"/>
  <c r="I693" i="24" s="1"/>
  <c r="I694" i="24" s="1"/>
  <c r="I695" i="24" s="1"/>
  <c r="I696" i="24" s="1"/>
  <c r="I697" i="24" s="1"/>
  <c r="I698" i="24" s="1"/>
  <c r="I699" i="24" s="1"/>
  <c r="I700" i="24" s="1"/>
  <c r="I701" i="24" s="1"/>
  <c r="I702" i="24" s="1"/>
  <c r="I703" i="24" s="1"/>
  <c r="I704" i="24" s="1"/>
  <c r="I705" i="24" s="1"/>
  <c r="I706" i="24" s="1"/>
  <c r="I707" i="24" s="1"/>
  <c r="I708" i="24" s="1"/>
  <c r="I709" i="24" s="1"/>
  <c r="I710" i="24" s="1"/>
  <c r="I711" i="24" s="1"/>
  <c r="I712" i="24" s="1"/>
  <c r="I713" i="24" s="1"/>
  <c r="I714" i="24" s="1"/>
  <c r="I715" i="24" s="1"/>
  <c r="I683" i="24"/>
  <c r="I684" i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683" i="1"/>
  <c r="I686" i="27"/>
  <c r="I687" i="27" s="1"/>
  <c r="I688" i="27" s="1"/>
  <c r="I689" i="27" s="1"/>
  <c r="I690" i="27" s="1"/>
  <c r="I691" i="27" s="1"/>
  <c r="I692" i="27" s="1"/>
  <c r="I693" i="27" s="1"/>
  <c r="I694" i="27" s="1"/>
  <c r="I695" i="27" s="1"/>
  <c r="I696" i="27" s="1"/>
  <c r="I697" i="27" s="1"/>
  <c r="I698" i="27" s="1"/>
  <c r="I699" i="27" s="1"/>
  <c r="I700" i="27" s="1"/>
  <c r="I701" i="27" s="1"/>
  <c r="I702" i="27" s="1"/>
  <c r="I703" i="27" s="1"/>
  <c r="I704" i="27" s="1"/>
  <c r="I705" i="27" s="1"/>
  <c r="I706" i="27" s="1"/>
  <c r="I707" i="27" s="1"/>
  <c r="I708" i="27" s="1"/>
  <c r="I709" i="27" s="1"/>
  <c r="I710" i="27" s="1"/>
  <c r="I711" i="27" s="1"/>
  <c r="I712" i="27" s="1"/>
  <c r="I713" i="27" s="1"/>
  <c r="I714" i="27" s="1"/>
  <c r="I715" i="27" s="1"/>
  <c r="I716" i="27" s="1"/>
  <c r="I717" i="27" s="1"/>
  <c r="I685" i="27"/>
</calcChain>
</file>

<file path=xl/sharedStrings.xml><?xml version="1.0" encoding="utf-8"?>
<sst xmlns="http://schemas.openxmlformats.org/spreadsheetml/2006/main" count="17325" uniqueCount="736">
  <si>
    <t>FIRE</t>
  </si>
  <si>
    <t>Saturação de Transporte</t>
  </si>
  <si>
    <t>PEDIDO</t>
  </si>
  <si>
    <t>FORNECEDOR</t>
  </si>
  <si>
    <t>CÓDIGO (IMS)</t>
  </si>
  <si>
    <t>DESENHO FIAT</t>
  </si>
  <si>
    <t>QME</t>
  </si>
  <si>
    <t>DENOMINAÇÃO</t>
  </si>
  <si>
    <t>QUANTIDADE SOLICITADA</t>
  </si>
  <si>
    <t>QUANTIDADE EMBALAGENS</t>
  </si>
  <si>
    <t>DATA DA COLETA</t>
  </si>
  <si>
    <t>DATA DA SOLICITAÇÃO</t>
  </si>
  <si>
    <t>HORÁRIO DA COLETA</t>
  </si>
  <si>
    <t>ALPINO SP</t>
  </si>
  <si>
    <t>TUBO RÍGIDO BOMBA D'AGUA</t>
  </si>
  <si>
    <t>AUTOCAM -SP</t>
  </si>
  <si>
    <t>TUCHO COMANDO DE VÁLVULAS</t>
  </si>
  <si>
    <t>ALUDYNE - MG</t>
  </si>
  <si>
    <t>TAMPA DE VÁLVULA</t>
  </si>
  <si>
    <t>ALUDYNE - SP</t>
  </si>
  <si>
    <t>CONJUNTO MANCAIS CABEÇOTE</t>
  </si>
  <si>
    <t>CONJUNTO MANCAIS BLOCO</t>
  </si>
  <si>
    <t>PROPULSION SOLUTIONS*</t>
  </si>
  <si>
    <t>POLIA CONDUZIDA EIXO MOTOR</t>
  </si>
  <si>
    <t>POLIA CONDUZIDA EIXO MOTOR - D</t>
  </si>
  <si>
    <t>POLIA CONDUZIDA EIXO MOTOR - A</t>
  </si>
  <si>
    <t>POLIA CONDUZIDA</t>
  </si>
  <si>
    <t>LITENS - SP</t>
  </si>
  <si>
    <t>ROLAMENTO TENSOR CORREIA</t>
  </si>
  <si>
    <t>EATON - SP</t>
  </si>
  <si>
    <t>VÁLVULA DE ADMISSÃO</t>
  </si>
  <si>
    <t>VÁLVULA DE DESCARGA</t>
  </si>
  <si>
    <t>ELRING KLINGER -SP</t>
  </si>
  <si>
    <t>JUNTA PARA CABEÇOTE</t>
  </si>
  <si>
    <t>FEDERAL  MOGUL - MG</t>
  </si>
  <si>
    <t>VÁLVULA DE  ADMISSÃO</t>
  </si>
  <si>
    <t>FEDERAL MOGUL - SP</t>
  </si>
  <si>
    <t>EIXO COMANDO VÁLVULAS</t>
  </si>
  <si>
    <t>FEEDER - SP</t>
  </si>
  <si>
    <t>VARETA NÍVEL ÓLEO</t>
  </si>
  <si>
    <t>HBA - MG</t>
  </si>
  <si>
    <t>CORREIA ALTERNADOR ÁRVORE MOTOR</t>
  </si>
  <si>
    <t>CORREIA ÁRVORE MOTOR BOMBA DH</t>
  </si>
  <si>
    <t>CORREIA DO ALTERNADOR</t>
  </si>
  <si>
    <t>CORREIA POLY-V ELASTICA</t>
  </si>
  <si>
    <t>MAXION - MG</t>
  </si>
  <si>
    <t>REPARO DA CORREIA LATERAL ( PRETA)</t>
  </si>
  <si>
    <t>ANTEPARO PROTECÃO CORREIA (BRANCA)</t>
  </si>
  <si>
    <t>SUPORTE SUSTENTACAO COLETOR</t>
  </si>
  <si>
    <t>SUPORTE SUSTENTACAO CABO D VELA C/ PRESILHA</t>
  </si>
  <si>
    <t>MAHLE METAL - SP</t>
  </si>
  <si>
    <t>TAMPA DO CABEÇOTE</t>
  </si>
  <si>
    <t>POLISTAMPO - SP</t>
  </si>
  <si>
    <t>SUPORTE SUSTENTACAO CHICOTE</t>
  </si>
  <si>
    <t>NAKAYONE - SP</t>
  </si>
  <si>
    <t>CARTER DE ÓLEO</t>
  </si>
  <si>
    <t>CMA - MG</t>
  </si>
  <si>
    <t>REPARO CORREIA COMPLETO</t>
  </si>
  <si>
    <t>MUBEA  - SP</t>
  </si>
  <si>
    <t>MOLA DE VÁLVULA</t>
  </si>
  <si>
    <t>METALKRAFT - PR</t>
  </si>
  <si>
    <t>SUPORTE SUST.BOMBA DIR.HIDRAUL</t>
  </si>
  <si>
    <t>SUPORTE ALTERNADOR / COMPRESSOR</t>
  </si>
  <si>
    <t>SUPORTE MOTOR</t>
  </si>
  <si>
    <t>SUPORTE  FIXAÇÃO BOMBA DH</t>
  </si>
  <si>
    <t>SUPORTE  SUSTENTAÇÃO BOMBA DH</t>
  </si>
  <si>
    <t>OMR - MG</t>
  </si>
  <si>
    <t>BLOCO MOTOR INFERIOR SOTO</t>
  </si>
  <si>
    <t>VOLANTE MOTOR COMPLETO</t>
  </si>
  <si>
    <t>RIVETS - SP 2K</t>
  </si>
  <si>
    <t>DISCO SUPERIOR MOLA VÁLVULA</t>
  </si>
  <si>
    <t>KSPG - SP</t>
  </si>
  <si>
    <t>BOMBA DE ÓLEO 16v</t>
  </si>
  <si>
    <t>BOMBA DE ÓLEO 8v</t>
  </si>
  <si>
    <t>BOMBA DE ÓLEO</t>
  </si>
  <si>
    <t>VETORE - PR</t>
  </si>
  <si>
    <t>BOMBA D'AGUA</t>
  </si>
  <si>
    <t>SCORPIOS - SP</t>
  </si>
  <si>
    <t>HASTE SUST.BOMBA DIR.HIDRAULICA</t>
  </si>
  <si>
    <t>HASTE SUST.BOMBA DIR.HIDRAULIC</t>
  </si>
  <si>
    <t>SOGEFI - MG</t>
  </si>
  <si>
    <t>FILTRO DE ÓLEO</t>
  </si>
  <si>
    <t>STAMPTEC - SP</t>
  </si>
  <si>
    <t>ARRUELA ELASTICA  8 X 16 X 2,2</t>
  </si>
  <si>
    <t>ARRUELA 8X15X1,8 (1 SUPORTE DH 3 POLIA )</t>
  </si>
  <si>
    <t>ARRUELA CONICA  ELASTICA 10 X 20 X2</t>
  </si>
  <si>
    <t>ARRUELA CONICA ELASTICA</t>
  </si>
  <si>
    <t>ARRUELA CON.ELASTICA 10 X 20 X 1,9</t>
  </si>
  <si>
    <t>ARRUELA PLANA 10 X 25 X 2 MM</t>
  </si>
  <si>
    <t>ARRUELA 8X17 FIX. SUPORTE BOMBA DH</t>
  </si>
  <si>
    <t>ARRUELA 10X21 FIX. SUPORTE BOMBA DH</t>
  </si>
  <si>
    <t>SUMIRIKO - MG</t>
  </si>
  <si>
    <t>GUARNIÇÃO TUBO DO ÓLEO</t>
  </si>
  <si>
    <t>TEKSID ALUMINIO</t>
  </si>
  <si>
    <t>CABEÇOTE SEMI-USINADO</t>
  </si>
  <si>
    <t>TUPY</t>
  </si>
  <si>
    <t>VIRABREQUIM</t>
  </si>
  <si>
    <t>BLOCO MOTOR</t>
  </si>
  <si>
    <t>TURBO</t>
  </si>
  <si>
    <t>MAGNETI MARELLI SISTEMAS AUTO*</t>
  </si>
  <si>
    <t>COLETOR DE ADMISSAO T3 FL PILOT</t>
  </si>
  <si>
    <t>COLETOR DE ADMISSAO T3 BZ</t>
  </si>
  <si>
    <t>COLETOR DE ADMISSAO T3 NORMAL</t>
  </si>
  <si>
    <t>COLETOR DE ADMISSAO T4 NORMAL</t>
  </si>
  <si>
    <t>COLETOR DE ADMISSAO T4 ORVR</t>
  </si>
  <si>
    <t>COLETOR ADMISSAO GSE T3 ACAC PL8 (CC21/CC22)</t>
  </si>
  <si>
    <t>COLETOR ADMISSAO T4 PL8
MOTORES: 7816, 7817 e 7818</t>
  </si>
  <si>
    <t>SISTEMA DE INJEÇÃO</t>
  </si>
  <si>
    <t>APTIV MANUFATURA E SERVI. DE *</t>
  </si>
  <si>
    <t>CHICOTE DE INJECAO ( BRIGLIA PSA ) T3</t>
  </si>
  <si>
    <t>CHICOTE INJEÇAO  (PSA) T3</t>
  </si>
  <si>
    <t>CHICOTE DE INJECAO ( BRIGLIA ) T3</t>
  </si>
  <si>
    <t xml:space="preserve">CHICOTE DE INJECAO </t>
  </si>
  <si>
    <t>CHICOTE DE INJECAO ( BRIGLIA ) T4</t>
  </si>
  <si>
    <t xml:space="preserve">CHICOTE SISTEMA INJECAO T3                                 </t>
  </si>
  <si>
    <t>CHICOTE DE INJECAO ( BRIGLIA )</t>
  </si>
  <si>
    <t>CHICOTE DE INJECAO (FLEX T4)</t>
  </si>
  <si>
    <t xml:space="preserve">CHICOTE SISTEMA INJECAO ( FLEX )T4 </t>
  </si>
  <si>
    <t>CHICOTE DE INJECAO 281 T3 PL8</t>
  </si>
  <si>
    <t>CHICOTE DE INJECAO GSE T3 ACAC PL8 (CC21/CC22)</t>
  </si>
  <si>
    <t>CHICOTE DE INJECAO T3 ACAC PL8 BSG (P21/P24)</t>
  </si>
  <si>
    <t>CHICOTE DE INJECAO T4 376 PL8</t>
  </si>
  <si>
    <t>CHICOTE DE INJECAO T4 PL8</t>
  </si>
  <si>
    <t>CISER FIXADORES AUTOMOTIVOS S</t>
  </si>
  <si>
    <t>PARAFUSO BOMBA COMBUSTIVEL</t>
  </si>
  <si>
    <t>PARAFUSO DE FIXACAO - M6 X 18</t>
  </si>
  <si>
    <t>PARAFUSO DE FIXACAO DA BOMBA D</t>
  </si>
  <si>
    <t>PARAFUSO ESPECIAL</t>
  </si>
  <si>
    <t>PARAFUSO ESPECIAL M6X46</t>
  </si>
  <si>
    <t>PARAFUSO FIXACAO BOMBA DE AGUA</t>
  </si>
  <si>
    <t>PARAFUSO FIXACAO COLETOR</t>
  </si>
  <si>
    <t>PARAFUSO FIXACAO M6 X 40</t>
  </si>
  <si>
    <t>PARAFUSO M6 X 37.5</t>
  </si>
  <si>
    <t>PARAFUSO M6X14</t>
  </si>
  <si>
    <t>PARAFUSO M8 X 80</t>
  </si>
  <si>
    <t>PARAFUSO TE FLANGEADO M6X30</t>
  </si>
  <si>
    <t>PARAFUSO TE FLANGEADO M8X40</t>
  </si>
  <si>
    <t>CONTINENTAL SP</t>
  </si>
  <si>
    <t>MAHLE METAL LEVE S.A.        *</t>
  </si>
  <si>
    <t>BRONZINA DE BIELA INFERIOR STD. B</t>
  </si>
  <si>
    <t>BRONZINA DE BIELA INFERIOR STD. C</t>
  </si>
  <si>
    <t>BRONZINA DE BIELA SUPERIOR STD. A</t>
  </si>
  <si>
    <t>BRONZINA DE BIELA SUPERIOR STD. B</t>
  </si>
  <si>
    <t>BRONZINA DE BIELA SUPERIOR STD. C</t>
  </si>
  <si>
    <t>BRONZINA INFERIOR STD. A</t>
  </si>
  <si>
    <t>BRONZINA INFERIOR STD. B</t>
  </si>
  <si>
    <t>BRONZINA INFERIOR STD. C</t>
  </si>
  <si>
    <t>BRONZINA SUPERIOR STD. A</t>
  </si>
  <si>
    <t>BRONZINA SUPERIOR STD. B</t>
  </si>
  <si>
    <t>BRONZINA SUPERIOR STD. C</t>
  </si>
  <si>
    <t>PISTAO COMPL. CLASSE A</t>
  </si>
  <si>
    <t>PISTAO COMPL. CLASSE B</t>
  </si>
  <si>
    <t>PISTAO COMPL. CLASSE C</t>
  </si>
  <si>
    <t>METALDYNE COMP. AUTO DO BRASI</t>
  </si>
  <si>
    <t>BIELA MOTOR COMPLETA</t>
  </si>
  <si>
    <t>TAMPA CABECOTE MOTOR COMPLETA</t>
  </si>
  <si>
    <t>MANN+HUMMEL BRASIL LTDA.     *</t>
  </si>
  <si>
    <t>FILTRO DE OLEO</t>
  </si>
  <si>
    <t>TEKNIA BRASIL LTDA.</t>
  </si>
  <si>
    <t>TUBO DE ACO</t>
  </si>
  <si>
    <t>THYSSENKRUPP BRASIL LTDA</t>
  </si>
  <si>
    <t>EIXO COMANDO DE VALVULAS T3</t>
  </si>
  <si>
    <t>EIXO COMANDO DE VALVULAS T4</t>
  </si>
  <si>
    <t>EATON LTDA</t>
  </si>
  <si>
    <t>VALVULA DE ADMISSAO</t>
  </si>
  <si>
    <t>VALVULA DE DESCARGA</t>
  </si>
  <si>
    <t>JUNTA DE ARTICULACAO</t>
  </si>
  <si>
    <t>RIVETS INDUSTRIA E COMERCIO L</t>
  </si>
  <si>
    <t>DISCO SUPERIOR MOLA VALVULA</t>
  </si>
  <si>
    <t>ELRING KLINGER SP</t>
  </si>
  <si>
    <t>JUNTA METALOPLASTICA</t>
  </si>
  <si>
    <t xml:space="preserve">JUNTA CABECOTE MOTOR T3                 </t>
  </si>
  <si>
    <t xml:space="preserve">JUNTA DA FLANGE COLETOR DESCARGA  T3    </t>
  </si>
  <si>
    <t>JUNTA METALOPLASTICA T4</t>
  </si>
  <si>
    <t xml:space="preserve">JUNTA CABECOTE MOTOR T4                 </t>
  </si>
  <si>
    <t xml:space="preserve">JUNTA DA FLANGE COLETOR DESCARGA  T4    </t>
  </si>
  <si>
    <t>MUBEA DO BRASIL LTDA</t>
  </si>
  <si>
    <t>MOLA PARA VALVULA</t>
  </si>
  <si>
    <t>OMR - COMPONENTES AUTOMOTIVOS</t>
  </si>
  <si>
    <t>BLOCO MOTOR INFERIOR (BEDPLATE</t>
  </si>
  <si>
    <t>BLOCO MOTOR INFERIOR T4 (BEDPL</t>
  </si>
  <si>
    <t>METALKRAFT S/A SISTEMAS AUTOM</t>
  </si>
  <si>
    <t>CAPA MANCAL POSTERIOR DO CABEC</t>
  </si>
  <si>
    <t>NEUMAYER TEKFOR AUTOMOTIVE BR</t>
  </si>
  <si>
    <t>PORCA</t>
  </si>
  <si>
    <t>PRISIONEIRO</t>
  </si>
  <si>
    <t>TAMPAO</t>
  </si>
  <si>
    <t>TAMPAO CONICO</t>
  </si>
  <si>
    <t>TAMPAO CONICO M18</t>
  </si>
  <si>
    <t>METALAC SP</t>
  </si>
  <si>
    <t xml:space="preserve">PARAFUSO ESPECIAL M6     </t>
  </si>
  <si>
    <t xml:space="preserve">PARAFUSO M10 X 1.5 FIX.CABECOTE/BLOCO   </t>
  </si>
  <si>
    <t xml:space="preserve">PARAFUSO DE FIXACAO - M6 X 28 </t>
  </si>
  <si>
    <t>ACUMENT BRASIL SISTEMAS DE FI</t>
  </si>
  <si>
    <t>TAMPAO CONICO M10</t>
  </si>
  <si>
    <t>TAMPAO OBTURADOR</t>
  </si>
  <si>
    <t>PARAFUSO TE FLANGEADO M6 X 18M</t>
  </si>
  <si>
    <t>TEKSID DO BRASIL LTDA</t>
  </si>
  <si>
    <t>BLOCO MOTOR SEMI-USINADO T3</t>
  </si>
  <si>
    <t>BLOCO MOTOR SEMI-USINADO T4</t>
  </si>
  <si>
    <t>NEMAK</t>
  </si>
  <si>
    <t>BLOCO MOTOR INFERIOR T3</t>
  </si>
  <si>
    <t>CABECOTE MOTOR INFERIOR T3</t>
  </si>
  <si>
    <t>CABECOTE MOTOR INF.SEMI T3</t>
  </si>
  <si>
    <t>CABECOTE MOTOR INF.SEMI-USIN T</t>
  </si>
  <si>
    <t>FEEDER INDUSTRIAL LTDA</t>
  </si>
  <si>
    <t>TAMPA COM VARETA</t>
  </si>
  <si>
    <t>BORGWARNER BRASIL LTDA</t>
  </si>
  <si>
    <t>TURBO COMPRESSOR 281</t>
  </si>
  <si>
    <t>TURBO COMPRESSOR PSA</t>
  </si>
  <si>
    <t>TURBO COMPRESSOR T3</t>
  </si>
  <si>
    <t>KIT CORRENTE 463358700/702</t>
  </si>
  <si>
    <t>CONJUNTO CORRENTE DO SISTEMA</t>
  </si>
  <si>
    <t>TURBO COMPRESSOR T4</t>
  </si>
  <si>
    <t>VETORE INDUSTRIA E COMERCIO D</t>
  </si>
  <si>
    <t>BOMBA DE AGUA COMPLETA</t>
  </si>
  <si>
    <t>(FRONT COVER) TAMPA FRONTAL</t>
  </si>
  <si>
    <t>TAMPA DA BOMBA d'AGUA</t>
  </si>
  <si>
    <t>HBA HUTCHINSON BRASIL AUTOMOT</t>
  </si>
  <si>
    <t>GUARNICAO DO EIXO VIRABREQUIM</t>
  </si>
  <si>
    <t>ANEL DE VEDACAO</t>
  </si>
  <si>
    <t>JUNTA DE BORRACHA</t>
  </si>
  <si>
    <t>ANEL DE ENGRENAGEM + FIREFLY</t>
  </si>
  <si>
    <t>HBA HUTCHINSON BRASIL AUTOMOT*</t>
  </si>
  <si>
    <t>TUBO RIGIDO BLOW-BY</t>
  </si>
  <si>
    <t>POLISTAMPO INDUSTRIA  METALUR</t>
  </si>
  <si>
    <t>SUPORTE PARA FILTRO AR</t>
  </si>
  <si>
    <t>SUPORTE PARA CABO ELETRICO</t>
  </si>
  <si>
    <t>CHAPA DEFLETORA</t>
  </si>
  <si>
    <t>BONTAZ CENTRE B. I. C. A. LTD</t>
  </si>
  <si>
    <t>PULVERIZADOR</t>
  </si>
  <si>
    <t>ELDOR DO BRASIL COMPONENTES A</t>
  </si>
  <si>
    <t>BOBINA DE IGNICAO COMPLETA</t>
  </si>
  <si>
    <t>ROCHLING AUTOMOTIVE DO BRASIL</t>
  </si>
  <si>
    <t>TUBO PESCADOR DE OLEO</t>
  </si>
  <si>
    <t>METALURGICA NAKAYONE LTDA    *</t>
  </si>
  <si>
    <t>CARTER OLEO COMPLETO T3</t>
  </si>
  <si>
    <t>CARTER OLEO COMPLETO T4</t>
  </si>
  <si>
    <t>ADLER PTI S A                *</t>
  </si>
  <si>
    <t>INSONORIZANTE</t>
  </si>
  <si>
    <t>POLIA DO ALTERNADOR T3</t>
  </si>
  <si>
    <t>POLIA DO ALTERNADOR T4</t>
  </si>
  <si>
    <t>REFAL IND COM REBITES E REBIT*</t>
  </si>
  <si>
    <t>SEPARADOR D'AGUA</t>
  </si>
  <si>
    <t>METALURGICA HASSMANN SA</t>
  </si>
  <si>
    <t>PARAFUSO FIXACAO TERMOSTATO</t>
  </si>
  <si>
    <t>PARAFUSO FIXACAO TUBO RIGIDO M</t>
  </si>
  <si>
    <t>PARAFUSO M8X30</t>
  </si>
  <si>
    <t>SUMIDENSO MG</t>
  </si>
  <si>
    <t>CHICOTE INJEÇÃO</t>
  </si>
  <si>
    <t>APTIV</t>
  </si>
  <si>
    <t>CHICOTE INJEÇÃO 552583160</t>
  </si>
  <si>
    <t>CHICOTE INJEÇÃO 552583170</t>
  </si>
  <si>
    <t>CHICOTE INJEÇÃO 552583180</t>
  </si>
  <si>
    <t>MAGNETTI MARELLI</t>
  </si>
  <si>
    <t>COLETOR ADMISSÃO ( CIF- 59 )</t>
  </si>
  <si>
    <t>COLETOR ADMISSÃO ( CIF- 60 )</t>
  </si>
  <si>
    <t>COLETOR ADMISSÃO( CAB1400)</t>
  </si>
  <si>
    <t>COLETOR ADMISSÃO( CW )</t>
  </si>
  <si>
    <t>COLETOR ADMISSÃO( CW 2458)</t>
  </si>
  <si>
    <t>COLETOR ADMISSÃO( CW 1671) 463381010</t>
  </si>
  <si>
    <t>COLETOR ADMISSÃO( CW 1570)</t>
  </si>
  <si>
    <t>COLETOR ADMISSÃO( CW 1568 )</t>
  </si>
  <si>
    <t>COLETOR ADMISSÃO</t>
  </si>
  <si>
    <t>PHINIA (BORGWARNER) SP</t>
  </si>
  <si>
    <t>BOBINA IGNIÇÃO</t>
  </si>
  <si>
    <t>MAHLE SP</t>
  </si>
  <si>
    <t>COMPRESSOR</t>
  </si>
  <si>
    <t>COMPRESSOR  300  160</t>
  </si>
  <si>
    <t>BOSCH SP</t>
  </si>
  <si>
    <t>SENSOR ELETROMAGNETICO</t>
  </si>
  <si>
    <t>SENSOR DE FASE</t>
  </si>
  <si>
    <t>SUPORTE DA BOBINA</t>
  </si>
  <si>
    <t>COLETOR</t>
  </si>
  <si>
    <t>COLETOR X1H BZ</t>
  </si>
  <si>
    <t>SEG AUTOMOTIVE</t>
  </si>
  <si>
    <t>ALTERNADOR 110 A</t>
  </si>
  <si>
    <t>DENSO MG</t>
  </si>
  <si>
    <t xml:space="preserve">ALTERNADOR 14V-110A BR </t>
  </si>
  <si>
    <t>ALTERNADOR</t>
  </si>
  <si>
    <t>ARLINGTON SP</t>
  </si>
  <si>
    <t>VALVULA TERMOSTATICA</t>
  </si>
  <si>
    <t>TEKNIA SP</t>
  </si>
  <si>
    <t>TUBO P/ VARETA NIVEL DE OLEO    ( EVO )</t>
  </si>
  <si>
    <t>TUBO VARETA NIVEL OLEO              ( NP )</t>
  </si>
  <si>
    <t>TUBO VARETA NIVEL OLEO              ( CANETINHA )</t>
  </si>
  <si>
    <t>MIBA</t>
  </si>
  <si>
    <t>ENGRENAGEM EIXO COMANDO DE VÁLVULAS</t>
  </si>
  <si>
    <t>NEXTEER PR</t>
  </si>
  <si>
    <t>BOMBA DIRECAO HIDRAULICA</t>
  </si>
  <si>
    <t>SCHAEFFLER SP</t>
  </si>
  <si>
    <t>KIT EMBREAGEM</t>
  </si>
  <si>
    <t>WHB PR</t>
  </si>
  <si>
    <t>BIELA COMPLETA</t>
  </si>
  <si>
    <t>METALDYNE SP</t>
  </si>
  <si>
    <t>M.LEVE PISTÕES</t>
  </si>
  <si>
    <t>PISTÃO LETRA A</t>
  </si>
  <si>
    <t>PISTÃO LETRA B</t>
  </si>
  <si>
    <t>PISTÃO LETRA C</t>
  </si>
  <si>
    <t>M.LEVE BRONZ</t>
  </si>
  <si>
    <t>LATERAL VERMELHA 5%</t>
  </si>
  <si>
    <t>LATERAL AZUL 95%</t>
  </si>
  <si>
    <t>LATERAL AMARELA  5%</t>
  </si>
  <si>
    <t>CENTRAL VERMELHA 5%</t>
  </si>
  <si>
    <t>CENTRAL AZUL 100%</t>
  </si>
  <si>
    <t>CENTRAL AMARELA 0%</t>
  </si>
  <si>
    <t>BRONZINA DE BIELA VERMELHA</t>
  </si>
  <si>
    <t>BRONZINA DE BIELA AZUL</t>
  </si>
  <si>
    <t>BRONZINA DE BIELA AMARELA</t>
  </si>
  <si>
    <t>GKN SINTER SP</t>
  </si>
  <si>
    <t>BUCHA CENTRAGEM CAPA MANCAIS</t>
  </si>
  <si>
    <t>HASSMANN S.A  PR</t>
  </si>
  <si>
    <t>PARAFUSO M8X18</t>
  </si>
  <si>
    <t>PARAFUSO TE M10X1,25X60</t>
  </si>
  <si>
    <t>PARAFUSO M9 X 1,25 FIX.CABECOTE</t>
  </si>
  <si>
    <t>PARAFUSO FLANGEADO M8X50</t>
  </si>
  <si>
    <t>NEUMAYER SP</t>
  </si>
  <si>
    <t>PORCA  E  C/ FLANGE M8</t>
  </si>
  <si>
    <t>PORCA SEXTAVADA</t>
  </si>
  <si>
    <t>PORCA HEXAGONAL</t>
  </si>
  <si>
    <t>ACUMENT MG</t>
  </si>
  <si>
    <t>PARAFUSO NORMAL</t>
  </si>
  <si>
    <t>PARAFUSO TE M10X1,25X35</t>
  </si>
  <si>
    <t>PARAFUSO NORMAL TCE M10X1,25X70</t>
  </si>
  <si>
    <t>PARAFUSO M10 X 1,25 X 90MM</t>
  </si>
  <si>
    <t>PARAFUSO TE M6X22 C/ ARRUELA</t>
  </si>
  <si>
    <t>PARAFUSO TE M6X32 C/ ARRUELA</t>
  </si>
  <si>
    <t>PARAFUSO M8X35 P/ FIX.TAMPAO</t>
  </si>
  <si>
    <t>PARAFUSO CABECA SEXT. M8 X 18</t>
  </si>
  <si>
    <t>PARAFUSO FLANGEADO M8X35</t>
  </si>
  <si>
    <t>PARAFUSO TE FLANG. M10X1,25X20</t>
  </si>
  <si>
    <t>PARAFUSO TE M6X32 FLANGEADO</t>
  </si>
  <si>
    <t>PRISIONEIRO COD.P10986</t>
  </si>
  <si>
    <t>PARAFUSO ESPECIAL M6 X 22MM</t>
  </si>
  <si>
    <t>PARAFUSO TE M8X25 FLANGEADO</t>
  </si>
  <si>
    <t>PARAFUSO M10X1,25 FIX.ENGR.</t>
  </si>
  <si>
    <t>PARAFUSO M10X96 FIX.BLOCO INF</t>
  </si>
  <si>
    <t>PARAFUSO FIX.ENGRENAGEM DIST</t>
  </si>
  <si>
    <t>PARAFUSO M8X40 FIX.BLOCO INF</t>
  </si>
  <si>
    <t>PRISIONEIRO M6 X 1 X 18</t>
  </si>
  <si>
    <t>CISER MG</t>
  </si>
  <si>
    <t>PARAFUSO FLANGEADO M8X16</t>
  </si>
  <si>
    <t>PARAFUSO ESPECIAL M10 X 1.25</t>
  </si>
  <si>
    <t>METAL LIPOS SP</t>
  </si>
  <si>
    <t>PARAFUSO C/ARRUELA M6X14</t>
  </si>
  <si>
    <t>PARAFUSO M10X1,25X55</t>
  </si>
  <si>
    <t>PARAFUSO NORMAL TCE M10X1,25X45</t>
  </si>
  <si>
    <t>(2000 QME) PARAFUSO M10 X 1,25 X 110</t>
  </si>
  <si>
    <t>PARAFUSO TE FLANGEADO M6X16</t>
  </si>
  <si>
    <t>PARAFUSO TE FLANGEADO M8X35</t>
  </si>
  <si>
    <t>PARAFUSO TE FLANGEADO    M6</t>
  </si>
  <si>
    <t>PARAF M10 FIXACAO MANCAL/BLOCO</t>
  </si>
  <si>
    <t>PARAFUSO FIXACAO MANCAL CABEÇOTE</t>
  </si>
  <si>
    <t>FIX. SUPORTE COMPRESSOR</t>
  </si>
  <si>
    <t>A. RAYMOND</t>
  </si>
  <si>
    <t>ABRACADEIRA FIX.TUBO DIAM. 14. - de acordo programa</t>
  </si>
  <si>
    <t>CONECTOR</t>
  </si>
  <si>
    <t>ACUMENT BRASIL</t>
  </si>
  <si>
    <t>PARAFUSO ESPECIAL M10 X 1.5 FIXAÇÃO BED PLATE AO BLOCO (USINAGEM)</t>
  </si>
  <si>
    <t>PARAFUSO ESPECIAL FIXAÇÃO BOBINA DE IGNIÇÃO</t>
  </si>
  <si>
    <t xml:space="preserve">PARAFUSO ESPECIAL M10 X 1.5 FIXAÇÃO CABEÇOTE AO BLOCO (utiliza no indireto)
</t>
  </si>
  <si>
    <t>PARAFUSO ESPECIAL  M8 X 1.25 (Fixação do Volante) (Firefly + Fire)</t>
  </si>
  <si>
    <t>BUJAO CONICO FILETADO 18 X 1,5 (USINAGEM)</t>
  </si>
  <si>
    <t xml:space="preserve">PARAFUSO FLANG.NORM. MONTAG (USINAGEM Bloc.)
Nacionalização </t>
  </si>
  <si>
    <t>PARAFUSO M6 X 40 FIXAÇÃO DO FRONT COVER AO BLOCO / BED / CABEÇOTE</t>
  </si>
  <si>
    <t>FIXAÇÃO DA BOMBA D'AGUA</t>
  </si>
  <si>
    <t>FIXAÇÃO DO CARTER TT </t>
  </si>
  <si>
    <t>ALPINO</t>
  </si>
  <si>
    <t>BONTAZ</t>
  </si>
  <si>
    <t>BORGWARNER</t>
  </si>
  <si>
    <t>CONJUNTO CORRENTE DO SISTEMA D</t>
  </si>
  <si>
    <t>THERMANSOL</t>
  </si>
  <si>
    <t>CISER</t>
  </si>
  <si>
    <t>PARAFUSO ESPECIAL EGR M6 X 20</t>
  </si>
  <si>
    <t>PARAFUSO ESPECIAL TUBO EGR</t>
  </si>
  <si>
    <t>CONTINENTAL SENSORES</t>
  </si>
  <si>
    <t>SENSOR DE GIRO</t>
  </si>
  <si>
    <t>CONTINENTAL PARAFUSOS</t>
  </si>
  <si>
    <t>PARAFUSO DE FIXACAO M6X16 FIXAÇÃO RODA FÔNICA (USINAGEM)</t>
  </si>
  <si>
    <t>PARAFUSO ESPECIAL M8
(FIXAÇÃO FRONT COVER AO BLOCO)</t>
  </si>
  <si>
    <t>PARAFUSO ESPECIAL M6X22 FIXAÇÃO VALVULA TERMOSTÁTICA</t>
  </si>
  <si>
    <t>PARAFUSO ESPECIAL M6X20 FIXAÇÃO DA EMBREAGEM</t>
  </si>
  <si>
    <t>PARAFUSO ESPECIAL FLANGEADO FIXAÇÃO VARIADOR DE FASE</t>
  </si>
  <si>
    <t>PARAFUSO ESPECIAL M8 X 80 TORX T45 FIXAÇÃO DO BED PLATE AO BLOCO</t>
  </si>
  <si>
    <t>PARAFUSO TCE M6X35 FIXAÇÃO DA TAMPA DA BOMBA D'AGUA</t>
  </si>
  <si>
    <t xml:space="preserve">PARAFUSO FLANGEADO </t>
  </si>
  <si>
    <t>PINO DE CENTRAGEM ENTRE BLOCO E CABEÇOTE</t>
  </si>
  <si>
    <t>PRISIONEIRO 12 X 1,25 DO SUPORTE BARICÊNTRICO NO FRONT COVER</t>
  </si>
  <si>
    <t>PRISIONEIRO M8X16XGAMBO 25 FIXAÇÃO DO COLETOR DE ADMISSÃO</t>
  </si>
  <si>
    <t>PARAFUSO M6 x 46 FIXAÇÃO DAS CAPAS DE MANCAL DO CABEÇOTE (USINAGEM)</t>
  </si>
  <si>
    <t>PARAFUSO ESPECIAL M6 X 22</t>
  </si>
  <si>
    <t>MUVIQ (PROPULSION)</t>
  </si>
  <si>
    <t>CHICOTE DE INJECAO PS01 1.0 N3</t>
  </si>
  <si>
    <t>CHICOTE DE INJECAO 1.0 N3 MT F</t>
  </si>
  <si>
    <t>CHICOTE DE INJECAO</t>
  </si>
  <si>
    <t>CHICOTE DE INJECAO 1.0CC AC</t>
  </si>
  <si>
    <t>EATON</t>
  </si>
  <si>
    <t>VALVULA DE ADMISSAO (PRÉ-MONTAGEM)</t>
  </si>
  <si>
    <t>VALVULA DE DESCARGA (PRÉ-MONTAGEM)</t>
  </si>
  <si>
    <t>ELDOR</t>
  </si>
  <si>
    <t>BOBINA DE IGNICAO (TOP COIL)</t>
  </si>
  <si>
    <t>ELRING KLINGER</t>
  </si>
  <si>
    <t>JUNTA CABECOTE MOTOR</t>
  </si>
  <si>
    <t>TENNECO (MG)</t>
  </si>
  <si>
    <t>BRONZINA DE BIELA STD. A</t>
  </si>
  <si>
    <t>BRONZINA DE BIELA STD. B</t>
  </si>
  <si>
    <t>BRONZINA DE BIELA STD. C</t>
  </si>
  <si>
    <t>GUIA DE VALVULA ADMISSAO/DESCA (USINAGEM)</t>
  </si>
  <si>
    <t>SEDE DE VALVULA DE DESCARGA (USINAGEM)</t>
  </si>
  <si>
    <t>SEMI-ANEL ENCOSTO ARVORE DE MANIVELA</t>
  </si>
  <si>
    <t>TENNECO (SP)</t>
  </si>
  <si>
    <t>EIXO COMANDO DE VALVULAS</t>
  </si>
  <si>
    <t>FEEDER</t>
  </si>
  <si>
    <t>TAMPAO INTRODUCAO OLEO</t>
  </si>
  <si>
    <t>GKN SINTER</t>
  </si>
  <si>
    <t>PINO DE CENTRAGEM DO BLOCO A TRANSMISSÃO GRANO</t>
  </si>
  <si>
    <t>PINO DE CENTRAGEM ENTRE BLOCO E BED PLATE- DOWEL</t>
  </si>
  <si>
    <t>HBA MONTE ALTO</t>
  </si>
  <si>
    <t>RETENTOR ARV.MOT.(LD VOLANTE)</t>
  </si>
  <si>
    <t>GUARNICAO VEDACAO 2,62X26,64 ENTRE VIRABREQUIM E ENGRENAGEM DA BOMBA D'AGUA</t>
  </si>
  <si>
    <t>GUARNICAO VEDACAO OLEO ENTRE BED PLATE E BLOCO MOTOR (VARETA DE ÓLEO)</t>
  </si>
  <si>
    <t>HBA EXTREMA</t>
  </si>
  <si>
    <t>VETORE</t>
  </si>
  <si>
    <t>FRONTCOVER CVT</t>
  </si>
  <si>
    <t>TAMPA FRONTAL BOMBA DE AGUA CVT</t>
  </si>
  <si>
    <t>BOMBA DE AGUA</t>
  </si>
  <si>
    <t>TAMPA FRONTAL BOMBA AGUA</t>
  </si>
  <si>
    <t>KSPG</t>
  </si>
  <si>
    <t>TAMPA FRONTAL (FRONT COVER)</t>
  </si>
  <si>
    <t>MAGNETI MARELLI</t>
  </si>
  <si>
    <t>COLETOR DE ADMISSAO N3 PL7</t>
  </si>
  <si>
    <t>COLETOR DE ADMISSAO BZ</t>
  </si>
  <si>
    <t>COLETOR DE ADMISSÃO N4 ORVR</t>
  </si>
  <si>
    <t>COLETOR DE ADMISSÃO
 CW.0183387.AFIT</t>
  </si>
  <si>
    <t>MAHLE</t>
  </si>
  <si>
    <t>PISTAO MOTOR COMPLETO - CL.A</t>
  </si>
  <si>
    <t>PISTAO MOTOR COMPLETO - CL.B</t>
  </si>
  <si>
    <t>PISTAO MOTOR COMPLETO - CL.C</t>
  </si>
  <si>
    <t>ANEL ELASTICO PISTAO</t>
  </si>
  <si>
    <t>HASSMANN</t>
  </si>
  <si>
    <t>PARAFUSO ESPECIAL M6 X 22 FIXAÇÃO BOMBA D'AGUA AO FRONT COVER</t>
  </si>
  <si>
    <t>PARAFUSO TE FLANGEADO M6X30 FIXAÇÃO DO COLETOR DE ADMISSÃO</t>
  </si>
  <si>
    <t>PARAFUSO ESPECIAL M12X1 FIXAÇÃO POLIA AUX. AO VIRABREQUIM</t>
  </si>
  <si>
    <t>PARAFUSO TE FLANG.NORM. MONTAG.AUTOM FIXAÇÃO - TUBO PESCADOR DE ÓLEO NA BOMBA / CARTER NO BLOCO MOTOR / COBERTURA FRONTAL /TENSIONADOR</t>
  </si>
  <si>
    <t>PARAFUSO TE FLANG. M6X12 FIXAÇÃO DO CABO DE ATERRAMENTO</t>
  </si>
  <si>
    <t>PARAFUSO TCE M6X20 FIXAÇÃO DO SENSOR DE GIRO</t>
  </si>
  <si>
    <t>MUBEA</t>
  </si>
  <si>
    <t>MOLA P/ VALVULA</t>
  </si>
  <si>
    <t>NAKAYONE</t>
  </si>
  <si>
    <t>CARTER MOTOR 1.3CC</t>
  </si>
  <si>
    <t>CARTER MOTOR 1.0CC</t>
  </si>
  <si>
    <t>TEKFOR</t>
  </si>
  <si>
    <t>OMR</t>
  </si>
  <si>
    <t>BLOCO MOTOR INFERIOR  N4 - SEMI-USINADO - BED PLATE (USINAGEM)</t>
  </si>
  <si>
    <t>BLOCO MOTOR INFERIOR N3 - SEMI-USINADO - BED PLATE (USINAGEM)</t>
  </si>
  <si>
    <t>VOLANTE MOTOR COMPLETO N4</t>
  </si>
  <si>
    <t>VOLANTE MOTOR COMPLETO N3</t>
  </si>
  <si>
    <t>REFAL</t>
  </si>
  <si>
    <t>SCHAEFFLER</t>
  </si>
  <si>
    <t>EIXO BALANCIM</t>
  </si>
  <si>
    <t>TUCHO HIDRAULICO</t>
  </si>
  <si>
    <t>KIT EMBREAGEM  MT (MOBI/UNO/ARGO N3)</t>
  </si>
  <si>
    <t xml:space="preserve">KIT EMBREAGEM MT
  (ARGO N4) </t>
  </si>
  <si>
    <t>TEKSID</t>
  </si>
  <si>
    <t>CABECOTE MOTOR N3 INF.SEMI-USINADO (USINAGEM)</t>
  </si>
  <si>
    <t>CABECOTE MOTOR N4 INF.SEMI-USINADO (USINAGEM)</t>
  </si>
  <si>
    <t>BLOCO MOTOR SEMI-USINADO N4  (1.3) (USINAGEM)</t>
  </si>
  <si>
    <t>BLOCO MOTOR N3 SEMI-USINADO (1.0) (USINAGEM)</t>
  </si>
  <si>
    <t>EIXO VIRABREQUIM (SEMI-USINADO) N4 (USINAGEM)</t>
  </si>
  <si>
    <t>EIXO VIRABREQUIM (SEMI-USINADO)  N3 (USINAGEM)</t>
  </si>
  <si>
    <t>METALDYNE</t>
  </si>
  <si>
    <t>FRAM (EAGLE)</t>
  </si>
  <si>
    <t>AISIN</t>
  </si>
  <si>
    <t>ITAESBRA</t>
  </si>
  <si>
    <t>CONJUNTO SUPORTE E ABRACADEIRA</t>
  </si>
  <si>
    <t>MECA</t>
  </si>
  <si>
    <t>Engr. 3ª Desliz. (rel. 38/25) - 1572</t>
  </si>
  <si>
    <t>Engr. 3ª Desliz. (rel. 39/27)</t>
  </si>
  <si>
    <t>Engr. 3ª Fixa (rel. 38/25)</t>
  </si>
  <si>
    <t>Engr. 3ª Fixa (rel. 39/27)</t>
  </si>
  <si>
    <t>Engr. 4ª Desliz. (rel. 35/34)</t>
  </si>
  <si>
    <t>Engr. 4ª Desliz. (rel. 37/32)</t>
  </si>
  <si>
    <t>Engr. 4ª Fixa (rel.35/34)</t>
  </si>
  <si>
    <t>Engr. 4ª Fixa (rel.37/32)</t>
  </si>
  <si>
    <t>Engr. 5ª Desliz. (rel. 39/34) FIAPE (1967 + 18B2) - 1974</t>
  </si>
  <si>
    <t>Engr. 5ª Desliz. (rel. 37/31)</t>
  </si>
  <si>
    <t>Engr. 5ª Desliz. (rel. 39/31)</t>
  </si>
  <si>
    <t>Engr. 5ª Desliz. (rel. 37/34)</t>
  </si>
  <si>
    <t>Engr. 5ª Desliz. (rel.34/45) - (X6H) 18B4 / 13B6</t>
  </si>
  <si>
    <t>Engr. 5ª Desliz. (rel. 37/35)</t>
  </si>
  <si>
    <t>Engr. 5ª Desliz. (rel. 34/33) JTD</t>
  </si>
  <si>
    <t>Engr. 5ª Fixa (rel.35/37)</t>
  </si>
  <si>
    <t>Engr. 5ª Fixa (rel.34/37)</t>
  </si>
  <si>
    <t>Engr. 5ª Fixa (rel.34/39) + PERNAMBUCO</t>
  </si>
  <si>
    <t>Engr. 5ª Fixa (rel.31/37)</t>
  </si>
  <si>
    <t>Engr. 5ª Fixa (rel.31/39)</t>
  </si>
  <si>
    <t>Engr. 5ª Fixa. (rel.34/45) - (X6H) 18B4 / 13B6</t>
  </si>
  <si>
    <t>Coroa Sincroniz.</t>
  </si>
  <si>
    <t>Engr. 1ª Desliz 17Ni 47/11  Dobló Adventure + FIAPE ( 1967 + 18B2)</t>
  </si>
  <si>
    <t>Engr. 1ª Desliz 19Mn ( Rel. 47/11)</t>
  </si>
  <si>
    <t>Engr. 1ª Desliz 19Mn ( Rel. 43/11) -18B4</t>
  </si>
  <si>
    <t>Engr. 2ª Desliz 19Mn Rel. 47/21 - 18B4</t>
  </si>
  <si>
    <t xml:space="preserve">Engr. 2ª Conduzida semi-usin Rel. 19/44 (FIAPE 1967 +18B2) - 1C - </t>
  </si>
  <si>
    <t>Engr 2°Conduzida 281-  51/21</t>
  </si>
  <si>
    <t>Engr. 2ª Desliz 19Mn ( Rel. 44/19) 2C</t>
  </si>
  <si>
    <t>Engr. Ré  19Mn  (C513)</t>
  </si>
  <si>
    <t>Engr. Ré 17Ni(JTD/DOBLO/FIAPE 1967) - C510</t>
  </si>
  <si>
    <t>Engr. Ré (GSE)</t>
  </si>
  <si>
    <t>Engr. Ré (TORO 18B2)</t>
  </si>
  <si>
    <t>Engr. Planetária</t>
  </si>
  <si>
    <t>Engr. Satelite (C513)</t>
  </si>
  <si>
    <t>Luva 1ª/ 2ª vel. (c513) + 1899</t>
  </si>
  <si>
    <t>Luva 1ª/ 2ª vel.  17Ni(JTD/DOBLO/FIAPE 1967) - C510</t>
  </si>
  <si>
    <t>Luva 1ª/ 2ª vel.  TORO (18B2)</t>
  </si>
  <si>
    <t>Luva 5° velocidade</t>
  </si>
  <si>
    <t>Tampa Diferencial</t>
  </si>
  <si>
    <t>Caixa Diferencial</t>
  </si>
  <si>
    <t>CIE FORJAS</t>
  </si>
  <si>
    <t>Coroa C513 - 13C3</t>
  </si>
  <si>
    <t>Coroa (C-513) 19Ni</t>
  </si>
  <si>
    <t xml:space="preserve">Coroa C513 - 17Ni
</t>
  </si>
  <si>
    <t>Coroa 17Ni</t>
  </si>
  <si>
    <t xml:space="preserve">Coroa 17Ni (C-513) </t>
  </si>
  <si>
    <t>Eixo Secundário 19Mn 14/52</t>
  </si>
  <si>
    <t>Eixo Secundário 19Mn 14/61</t>
  </si>
  <si>
    <t>EIXO SECUNDARIO 15/59 (GSE)</t>
  </si>
  <si>
    <t>Eixo secundario 13C3</t>
  </si>
  <si>
    <t>Eixo Secundário15X69</t>
  </si>
  <si>
    <t>Eixo Secundário 17Ni  15/66</t>
  </si>
  <si>
    <t xml:space="preserve">Eixo Secundário 17Ni 15/66 </t>
  </si>
  <si>
    <t xml:space="preserve">Eixo Secundário 19Mn 15/61 </t>
  </si>
  <si>
    <t xml:space="preserve">EIXO SECUNDÁRIO19Mn 15X63 </t>
  </si>
  <si>
    <t xml:space="preserve">Eixo Secundário 17 Ni  15/59 </t>
  </si>
  <si>
    <t xml:space="preserve">Eixo Secundário 17 Ni 15/59 </t>
  </si>
  <si>
    <t>Eixo Secundário 17 Ni  15/56</t>
  </si>
  <si>
    <t>Eixo Secundário 19 Mn  15/56</t>
  </si>
  <si>
    <t xml:space="preserve">Eixo Secundário 17Ni 15/61 </t>
  </si>
  <si>
    <t>.Eixo Secundário 17Ni  15/63 + FIAPE (1967)</t>
  </si>
  <si>
    <t xml:space="preserve">Eixo Secundário 17Ni  15/63 </t>
  </si>
  <si>
    <t xml:space="preserve">Eixo Secundário 17NI  15/69 </t>
  </si>
  <si>
    <t xml:space="preserve">Eixo Secundário 17NI </t>
  </si>
  <si>
    <t>Eixo Primario Usinado 47/11</t>
  </si>
  <si>
    <t>Eixo Primario Usinado 4.2</t>
  </si>
  <si>
    <t xml:space="preserve">Eixo Primário 17Ni  11/43 </t>
  </si>
  <si>
    <t xml:space="preserve">Eixo Primário 17Ni  11/47 </t>
  </si>
  <si>
    <t>Eixo Primário 17Ni  11/47</t>
  </si>
  <si>
    <t>Eixo Primário 19Mn  11/43</t>
  </si>
  <si>
    <t>Eixo Primário 19Mn  11/47</t>
  </si>
  <si>
    <t xml:space="preserve">Eixo Primário 19Mn 19/44 </t>
  </si>
  <si>
    <t xml:space="preserve">EIXO PRIMARIO 19 Ni HCR - LONGO </t>
  </si>
  <si>
    <t>EIXO PRIMARIO  19 Ni HCR - CURTO.</t>
  </si>
  <si>
    <t>Eixo Primário 17Ni (FIAPE 1967) 19/44</t>
  </si>
  <si>
    <t>ACUMENT</t>
  </si>
  <si>
    <t>PARAFUSO T.E.FLANGEADO -M8/48M</t>
  </si>
  <si>
    <t>PRISIONEIRO M12 X 1,25 X 24MM</t>
  </si>
  <si>
    <t>PARAFUSO CAB.CILINDR. M8 X 22M</t>
  </si>
  <si>
    <t>PARAFUSO M8 X 45</t>
  </si>
  <si>
    <t>PARAFUSO M10 X 30</t>
  </si>
  <si>
    <t>PARAFUSO M8 X 48MM</t>
  </si>
  <si>
    <t>PARAFUSO T.E.FLANGEADO M8 X 28</t>
  </si>
  <si>
    <t>PARAFUSO TE FLANG.NORM.MONT.AU</t>
  </si>
  <si>
    <t>PARAFUSO NORMAL AUTOTRAV. M8X4</t>
  </si>
  <si>
    <t>PARAFUSO ESPECIAL M11X1,25X27.</t>
  </si>
  <si>
    <t>PARAFUSO DE FIX. COROA CILINDR</t>
  </si>
  <si>
    <t>PARAFUSO TE M6 X 11 FLANGEADO</t>
  </si>
  <si>
    <t>PARAFUSO TE FLANGEADO</t>
  </si>
  <si>
    <t>PARAFUSO FIXACAO PLACA GUIA</t>
  </si>
  <si>
    <t>AUTOCAM SJ</t>
  </si>
  <si>
    <t>ARRUELA (PRIMARIO)</t>
  </si>
  <si>
    <t>ESPACADOR</t>
  </si>
  <si>
    <t>EIXO COMANDO EMBREAGEM</t>
  </si>
  <si>
    <t>CONJUNTO ARVORE COMANDO COMPLE</t>
  </si>
  <si>
    <t>CONJUNTO ARVORE COMPLETA</t>
  </si>
  <si>
    <t>EIXO MARCHA-RE</t>
  </si>
  <si>
    <t>PINO PORTA ENGRENAGEM SATELITE</t>
  </si>
  <si>
    <t>CONJUNTO ARVORE COMPLETA COXINIZADA</t>
  </si>
  <si>
    <t>AUTOMETAL</t>
  </si>
  <si>
    <t>GARFO COMANDO 1/2A VELOCIDADE</t>
  </si>
  <si>
    <t>GARFO COMANDO 3/4A VELOCIDADE</t>
  </si>
  <si>
    <t>GARFO COMANDO 1/2A VELOC.</t>
  </si>
  <si>
    <t>GARFO COMANDO 3/4 VELOC.</t>
  </si>
  <si>
    <t>PARAFUSO T.E.FLANGEADO M8 X 90</t>
  </si>
  <si>
    <t>PARAFUSO FIXACAO SUPORTE</t>
  </si>
  <si>
    <t>PARAFUSO TE M8X52</t>
  </si>
  <si>
    <t>PARAFUSO FLANGEADO M6X19</t>
  </si>
  <si>
    <t>DIEHL</t>
  </si>
  <si>
    <t>ANEL SINCRONIZADOR 3A/4A VEL.</t>
  </si>
  <si>
    <t>ANEL SINCRONIZADOR 5A VEL</t>
  </si>
  <si>
    <t>ANEL SINCRONIZADOR INTERNO 1a/</t>
  </si>
  <si>
    <t>ANEL SINCRONIZADOR EXTERNO 1a/</t>
  </si>
  <si>
    <t>ANEL SINCRONIZADOR 3A/4A VEL</t>
  </si>
  <si>
    <t>FREUDENBERG</t>
  </si>
  <si>
    <t>GUARNICAO VEDACAO OLEO EIXO DI</t>
  </si>
  <si>
    <t>RETENTOR 22,8 X 40 X 6,5/8 MM</t>
  </si>
  <si>
    <t>FUPRESA S.A.</t>
  </si>
  <si>
    <t>ALAVANCA INTERNA COMANDO DO CAMBIO</t>
  </si>
  <si>
    <t>GKN
10223148-40</t>
  </si>
  <si>
    <t>EIXO DIFERENCIAL ESQUERDO</t>
  </si>
  <si>
    <t>EIXO DIFERENCIAL ESQUERDO (TUL</t>
  </si>
  <si>
    <t>TRAVA DE SEGURANCA DA MARCHA RE</t>
  </si>
  <si>
    <t>BUCHA P/CENTRAGEM SUPORTE UNIÃO</t>
  </si>
  <si>
    <t>DISTANCIAL (RM)</t>
  </si>
  <si>
    <t>DISTANCIAL (PRIMARIO)</t>
  </si>
  <si>
    <t>PARAFUSO M8X55</t>
  </si>
  <si>
    <t>PARAFUSO CABECA SEXTAVADA M6 X</t>
  </si>
  <si>
    <t>PARAFUSO  M6X16</t>
  </si>
  <si>
    <t>HBA</t>
  </si>
  <si>
    <t>JUNTA FLANGE TAMPA POST CX MUD</t>
  </si>
  <si>
    <t>ANEL RETENTOR MARCHA-RE</t>
  </si>
  <si>
    <t>GUARNIZ.TENUTA TOR. 1,78X72,75</t>
  </si>
  <si>
    <t>GUARNICAO TOROIDAL VEDACAO</t>
  </si>
  <si>
    <t>IMAG</t>
  </si>
  <si>
    <t>ELEMENTO MAGNETICO FILTRO OLEO</t>
  </si>
  <si>
    <t>ESPACADOR CAIXA CAMBIO</t>
  </si>
  <si>
    <t>LIPOS</t>
  </si>
  <si>
    <t>PARAFUSO M6X20 FIX. CONTAQUILO</t>
  </si>
  <si>
    <t>METALKRAFT</t>
  </si>
  <si>
    <t>ESPAÇADOR DE ALUMÍNIO</t>
  </si>
  <si>
    <t>ESPACADOR DE ALUMINIO</t>
  </si>
  <si>
    <t>FLANGE DIFERENCIAL COMPLETA</t>
  </si>
  <si>
    <t>TAMPA CAIXA DE CAMBIO NP</t>
  </si>
  <si>
    <t>SUPORTE EM ALUMINIO P/FIX.COMA</t>
  </si>
  <si>
    <t>TAMPA CAIXA DE CAMBIO SHIFT</t>
  </si>
  <si>
    <t>CUBO 5A VELOCIDADE</t>
  </si>
  <si>
    <t>CUBO 1A/2A VELOCIDADE</t>
  </si>
  <si>
    <t>CUBO 3A/4A VELOCIDADE</t>
  </si>
  <si>
    <t>MUSASHI</t>
  </si>
  <si>
    <t>CONJ. CAIXA DIFERENCIAL</t>
  </si>
  <si>
    <t>NEUMAYER TEKFOR</t>
  </si>
  <si>
    <t>PORCA FIX.ENGR.5A VEL.SOBRE AR</t>
  </si>
  <si>
    <t>LUVA 3/4</t>
  </si>
  <si>
    <t>PLASCAR</t>
  </si>
  <si>
    <t>DISTANCIADOR</t>
  </si>
  <si>
    <t>REPARO OLEO</t>
  </si>
  <si>
    <t>RCN</t>
  </si>
  <si>
    <t>GARFO COMANDO 5A VELOCIDADE</t>
  </si>
  <si>
    <t>8hrs</t>
  </si>
  <si>
    <t>RIVETS</t>
  </si>
  <si>
    <t>BUJAO 22X1,5 CONICO</t>
  </si>
  <si>
    <t>SABÓ</t>
  </si>
  <si>
    <t>SCHAEFFLER 
LUK</t>
  </si>
  <si>
    <t>CILINDRO HIDRAULICO DE EMBREAG</t>
  </si>
  <si>
    <t>CONEXAO CILINDRO HIDRAULICO</t>
  </si>
  <si>
    <t>CONEXAO DO CILINDRO HIDRAULI</t>
  </si>
  <si>
    <t>SCHAEFFLER INA</t>
  </si>
  <si>
    <t>GAIOLA DO ROLAMENTO (ENGR. 1 E</t>
  </si>
  <si>
    <t>BUCHA ENGR. DE 5 VELOCIDADE</t>
  </si>
  <si>
    <t>GAIOLA PARA ROLETES - 5A VELOC</t>
  </si>
  <si>
    <t>GAIOLA DE ROLAMENTO(ENGR.3 E 4</t>
  </si>
  <si>
    <t>BUCHA DE 4 VELOCIDADE</t>
  </si>
  <si>
    <t>ANEL EXTERNO ROLAMENTO C/ GAIO</t>
  </si>
  <si>
    <t>PINO DE RETENCAO PRE SINCRON</t>
  </si>
  <si>
    <t>ANEL SINCRONIZADOR INTERMEDIAR</t>
  </si>
  <si>
    <t>ANEL INTERNO ROLAMENTO - INA</t>
  </si>
  <si>
    <t>COLAR DE EMBREAGEM</t>
  </si>
  <si>
    <t>ROLAMENTO DE AGULHA 1ê VEL.</t>
  </si>
  <si>
    <t>SKF</t>
  </si>
  <si>
    <t>ANEL INTERNO ROLAM CARCACA DIF</t>
  </si>
  <si>
    <t>ANEL EXTERNO ROLAM.CARCACA DIF</t>
  </si>
  <si>
    <t>ROLAMENTO PRIMARIO ANTERIOR</t>
  </si>
  <si>
    <t>ROLAMENTO POSTERIOR</t>
  </si>
  <si>
    <t>ANEL EXTERNO ROLAMENTO DIFEREN</t>
  </si>
  <si>
    <t>ANEL INTERNO ROLAMENTO DIFEREN</t>
  </si>
  <si>
    <t>STAMPTEC</t>
  </si>
  <si>
    <t>ARRUELA ELASTICA ONDULADA</t>
  </si>
  <si>
    <t>ANEL ESPESSURA 0,48</t>
  </si>
  <si>
    <t>ANEL ESPESSURA 0,6</t>
  </si>
  <si>
    <t>ANEL ESPESSURA ESP.0,72</t>
  </si>
  <si>
    <t>ANEL ESPESSURA 0,84</t>
  </si>
  <si>
    <t>ANEL ESPESSURA 0,96</t>
  </si>
  <si>
    <t>ANEL ESPESSURA 1,08</t>
  </si>
  <si>
    <t>ANEL ESPESSURA 1,20</t>
  </si>
  <si>
    <t>CHAPINHA DE SEGURANCA</t>
  </si>
  <si>
    <t>ANEL ESP. 0,85</t>
  </si>
  <si>
    <t>ANEL - ESPESSURA 0,8</t>
  </si>
  <si>
    <t>ANEL - ESPESSURA 0,90</t>
  </si>
  <si>
    <t>ANEL - ESPESSURA 0,95</t>
  </si>
  <si>
    <t>ANEL - ESPESSURA 1,00</t>
  </si>
  <si>
    <t>GUARNICAO SECAO RETANGULAR 8 X</t>
  </si>
  <si>
    <t>ARRUELA 6X15</t>
  </si>
  <si>
    <t>DISTANCIAL 5A VEL.</t>
  </si>
  <si>
    <t>SUMIRIKO</t>
  </si>
  <si>
    <t>TAMPAO COMANDO EMBREAGEM</t>
  </si>
  <si>
    <t>SUPERGAUSS (ALTOM)</t>
  </si>
  <si>
    <t>WAPMETAL</t>
  </si>
  <si>
    <t>MOLA</t>
  </si>
  <si>
    <t>MOLA 1/2A VEL.</t>
  </si>
  <si>
    <t>MOLA SELECAO 1/2 VELOCIDADE</t>
  </si>
  <si>
    <t>SUPORTE C513 SHIFT</t>
  </si>
  <si>
    <t>CAIXA C 513 SHIFT</t>
  </si>
  <si>
    <t>SUPORTE GSE</t>
  </si>
  <si>
    <t>SUPORTE C510 SHIFT</t>
  </si>
  <si>
    <t>CAIXA C510 SHIFT</t>
  </si>
  <si>
    <t>SUPORTE CUCITURA</t>
  </si>
  <si>
    <t>CAIXA CUCITURA</t>
  </si>
  <si>
    <t>CAIXA C513 SHIFT</t>
  </si>
  <si>
    <t>SUPORTE C513 GSE</t>
  </si>
  <si>
    <t>MUVIQ (PROPULSION/DAYCO)</t>
  </si>
  <si>
    <t>COLETOR DE ADMISSAO T3 PILOT</t>
  </si>
  <si>
    <t>COLETOR DE ADMISSAO T3</t>
  </si>
  <si>
    <t>COLETOR DE ADMISSAO T4</t>
  </si>
  <si>
    <t>SISTEMA DE INJEÇÃO T3</t>
  </si>
  <si>
    <t>SISTEMA DE INJEÇÃO T4</t>
  </si>
  <si>
    <t>MAHLE METAL LEVE S.A</t>
  </si>
  <si>
    <t>BRONZINA DE BIELA SUPERIOR STD</t>
  </si>
  <si>
    <t>S-RIKO</t>
  </si>
  <si>
    <t>TUBO RIGIDO BOMBA D ÁGUA</t>
  </si>
  <si>
    <t>MANN+HUMMEL BRASIL LTDA.</t>
  </si>
  <si>
    <t>TEKNIA BRASIL LTDA</t>
  </si>
  <si>
    <t>TUBO PESCADOR DE OLEO T3</t>
  </si>
  <si>
    <t>TUBO PESCADOR DE OLEO T4</t>
  </si>
  <si>
    <t>TAMPA DO CABEÇOTE T3</t>
  </si>
  <si>
    <t>ANEL DE VEDACAO-</t>
  </si>
  <si>
    <t>ANEL DE ENGRENAGEM</t>
  </si>
  <si>
    <t>METALURGICA NAKAYONE LTDA</t>
  </si>
  <si>
    <t xml:space="preserve">ADLER PTI S A </t>
  </si>
  <si>
    <t>REFAL IND COM REBITES E REBIT</t>
  </si>
  <si>
    <t>PARAFUSO FIXACAO TUBO RIGIDO M6X22</t>
  </si>
  <si>
    <t xml:space="preserve">PARAFUSO ESPECIAL M6  </t>
  </si>
  <si>
    <t>FIREFLY</t>
  </si>
  <si>
    <t>17:00h</t>
  </si>
  <si>
    <t>CHICOTE DE INJECAO T4 - 7826</t>
  </si>
  <si>
    <t>LITENS</t>
  </si>
  <si>
    <t>POLIA EIXO VIRABREQUIM</t>
  </si>
  <si>
    <t>PARAFUSO BIVITE</t>
  </si>
  <si>
    <t>janeiro</t>
  </si>
  <si>
    <t>NOVARES</t>
  </si>
  <si>
    <t>TRUCK: 16:00h</t>
  </si>
  <si>
    <t>TRUCK: 15:00h</t>
  </si>
  <si>
    <t>TRUCK: 12:00h</t>
  </si>
  <si>
    <t>DDP</t>
  </si>
  <si>
    <t>JANELA: 11:00h</t>
  </si>
  <si>
    <t>JANELA</t>
  </si>
  <si>
    <t>Deixar no CDC 17:10h</t>
  </si>
  <si>
    <t>Padrão Janela</t>
  </si>
  <si>
    <t>11:00h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</si>
</sst>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yy"/>
  </numFmts>
  <fonts count="14" x14ac:knownFonts="1">
    <font>
      <sz val="10"/>
      <color rgb="FF000000"/>
      <name val="Arial"/>
    </font>
    <font>
      <sz val="11"/>
      <color rgb="FF000000"/>
      <name val="Inconsolata"/>
    </font>
    <font>
      <sz val="14"/>
      <color rgb="FFFFFFFF"/>
      <name val="Arial Narrow"/>
      <family val="2"/>
    </font>
    <font>
      <sz val="14"/>
      <color rgb="FF000000"/>
      <name val="Arial Narrow"/>
      <family val="2"/>
    </font>
    <font>
      <b/>
      <sz val="36"/>
      <color rgb="FF000000"/>
      <name val="Arial Narrow"/>
      <family val="2"/>
    </font>
    <font>
      <b/>
      <sz val="14"/>
      <color rgb="FF000000"/>
      <name val="Arial Narrow"/>
      <family val="2"/>
    </font>
    <font>
      <b/>
      <sz val="14"/>
      <color rgb="FFFFFFFF"/>
      <name val="Arial Narrow"/>
      <family val="2"/>
    </font>
    <font>
      <sz val="14"/>
      <color rgb="FF3C4043"/>
      <name val="Arial Narrow"/>
      <family val="2"/>
    </font>
    <font>
      <sz val="14"/>
      <name val="Arial Narrow"/>
      <family val="2"/>
    </font>
    <font>
      <sz val="14"/>
      <color theme="1"/>
      <name val="Arial Narrow"/>
      <family val="2"/>
    </font>
    <font>
      <b/>
      <sz val="14"/>
      <color rgb="FFFF0000"/>
      <name val="Arial Narrow"/>
      <family val="2"/>
    </font>
    <font>
      <sz val="14"/>
      <color theme="0"/>
      <name val="Arial Narrow"/>
      <family val="2"/>
    </font>
    <font>
      <sz val="14"/>
      <color rgb="FFFF0000"/>
      <name val="Arial Narrow"/>
      <family val="2"/>
    </font>
    <font>
      <sz val="12"/>
      <color rgb="FF00000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medium">
        <color rgb="FF1155CC"/>
      </bottom>
      <diagonal/>
    </border>
    <border>
      <left/>
      <right/>
      <top style="thin">
        <color rgb="FFB4C6E7"/>
      </top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/>
      <top style="medium">
        <color rgb="FF4472C4"/>
      </top>
      <bottom/>
      <diagonal/>
    </border>
    <border>
      <left style="medium">
        <color rgb="FF4472C4"/>
      </left>
      <right/>
      <top style="medium">
        <color rgb="FF4472C4"/>
      </top>
      <bottom/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305496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3" fillId="0" borderId="0" xfId="0" applyFont="1"/>
    <xf numFmtId="0" fontId="5" fillId="2" borderId="0" xfId="0" applyFont="1" applyFill="1" applyAlignment="1">
      <alignment horizontal="center" vertical="top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21" fontId="3" fillId="2" borderId="0" xfId="0" applyNumberFormat="1" applyFont="1" applyFill="1" applyAlignment="1">
      <alignment horizontal="center"/>
    </xf>
    <xf numFmtId="0" fontId="3" fillId="0" borderId="4" xfId="0" applyFont="1" applyBorder="1" applyAlignment="1">
      <alignment horizontal="center"/>
    </xf>
    <xf numFmtId="21" fontId="3" fillId="2" borderId="4" xfId="0" applyNumberFormat="1" applyFont="1" applyFill="1" applyBorder="1" applyAlignment="1">
      <alignment horizontal="center"/>
    </xf>
    <xf numFmtId="14" fontId="3" fillId="0" borderId="0" xfId="0" applyNumberFormat="1" applyFont="1" applyAlignment="1">
      <alignment horizontal="center"/>
    </xf>
    <xf numFmtId="21" fontId="7" fillId="2" borderId="0" xfId="0" applyNumberFormat="1" applyFont="1" applyFill="1"/>
    <xf numFmtId="0" fontId="3" fillId="2" borderId="0" xfId="0" applyFont="1" applyFill="1"/>
    <xf numFmtId="0" fontId="3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21" fontId="3" fillId="0" borderId="0" xfId="0" applyNumberFormat="1" applyFont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3" fillId="0" borderId="6" xfId="0" applyFont="1" applyBorder="1"/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21" fontId="3" fillId="2" borderId="7" xfId="0" applyNumberFormat="1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3" fillId="2" borderId="9" xfId="0" applyFont="1" applyFill="1" applyBorder="1" applyAlignment="1">
      <alignment horizontal="left"/>
    </xf>
    <xf numFmtId="164" fontId="3" fillId="2" borderId="9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0" xfId="0" applyFont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0" fontId="3" fillId="2" borderId="10" xfId="0" applyFont="1" applyFill="1" applyBorder="1" applyAlignment="1">
      <alignment horizontal="left"/>
    </xf>
    <xf numFmtId="164" fontId="3" fillId="2" borderId="10" xfId="0" applyNumberFormat="1" applyFont="1" applyFill="1" applyBorder="1" applyAlignment="1">
      <alignment horizontal="center"/>
    </xf>
    <xf numFmtId="21" fontId="3" fillId="2" borderId="10" xfId="0" applyNumberFormat="1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1" fontId="9" fillId="4" borderId="0" xfId="0" applyNumberFormat="1" applyFont="1" applyFill="1" applyAlignment="1">
      <alignment horizontal="center"/>
    </xf>
    <xf numFmtId="0" fontId="9" fillId="4" borderId="0" xfId="0" applyFont="1" applyFill="1" applyAlignment="1">
      <alignment horizontal="left"/>
    </xf>
    <xf numFmtId="0" fontId="9" fillId="5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21" fontId="3" fillId="0" borderId="9" xfId="0" applyNumberFormat="1" applyFont="1" applyBorder="1" applyAlignment="1">
      <alignment horizontal="center"/>
    </xf>
    <xf numFmtId="0" fontId="3" fillId="4" borderId="0" xfId="0" applyFont="1" applyFill="1" applyAlignment="1">
      <alignment horizontal="center"/>
    </xf>
    <xf numFmtId="20" fontId="1" fillId="0" borderId="0" xfId="0" applyNumberFormat="1" applyFont="1" applyAlignment="1">
      <alignment horizontal="center"/>
    </xf>
    <xf numFmtId="20" fontId="1" fillId="0" borderId="0" xfId="0" applyNumberFormat="1" applyFont="1"/>
    <xf numFmtId="0" fontId="3" fillId="6" borderId="0" xfId="0" applyFont="1" applyFill="1" applyAlignment="1">
      <alignment horizontal="center"/>
    </xf>
    <xf numFmtId="1" fontId="3" fillId="6" borderId="0" xfId="0" applyNumberFormat="1" applyFont="1" applyFill="1" applyAlignment="1">
      <alignment horizontal="center"/>
    </xf>
    <xf numFmtId="0" fontId="3" fillId="4" borderId="9" xfId="0" applyFont="1" applyFill="1" applyBorder="1" applyAlignment="1">
      <alignment horizontal="center"/>
    </xf>
    <xf numFmtId="14" fontId="3" fillId="4" borderId="0" xfId="0" applyNumberFormat="1" applyFont="1" applyFill="1" applyAlignment="1">
      <alignment horizontal="center"/>
    </xf>
    <xf numFmtId="0" fontId="2" fillId="4" borderId="1" xfId="0" applyFont="1" applyFill="1" applyBorder="1" applyAlignment="1">
      <alignment horizontal="center" vertical="top" wrapText="1"/>
    </xf>
    <xf numFmtId="0" fontId="3" fillId="4" borderId="10" xfId="0" applyFont="1" applyFill="1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0" xfId="0" applyFont="1" applyFill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left"/>
    </xf>
    <xf numFmtId="1" fontId="3" fillId="4" borderId="9" xfId="0" applyNumberFormat="1" applyFont="1" applyFill="1" applyBorder="1" applyAlignment="1">
      <alignment horizontal="center"/>
    </xf>
    <xf numFmtId="0" fontId="3" fillId="4" borderId="9" xfId="0" applyFont="1" applyFill="1" applyBorder="1" applyAlignment="1">
      <alignment horizontal="left"/>
    </xf>
    <xf numFmtId="3" fontId="3" fillId="4" borderId="9" xfId="0" applyNumberFormat="1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1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left"/>
    </xf>
    <xf numFmtId="0" fontId="3" fillId="4" borderId="4" xfId="0" applyFont="1" applyFill="1" applyBorder="1" applyAlignment="1">
      <alignment horizontal="center"/>
    </xf>
    <xf numFmtId="1" fontId="3" fillId="4" borderId="4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left"/>
    </xf>
    <xf numFmtId="14" fontId="3" fillId="6" borderId="0" xfId="0" applyNumberFormat="1" applyFont="1" applyFill="1" applyAlignment="1">
      <alignment horizontal="center"/>
    </xf>
    <xf numFmtId="14" fontId="10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14" fontId="3" fillId="5" borderId="0" xfId="0" applyNumberFormat="1" applyFont="1" applyFill="1" applyAlignment="1">
      <alignment horizontal="center"/>
    </xf>
    <xf numFmtId="0" fontId="3" fillId="5" borderId="9" xfId="0" applyFont="1" applyFill="1" applyBorder="1" applyAlignment="1">
      <alignment horizontal="center"/>
    </xf>
    <xf numFmtId="1" fontId="3" fillId="5" borderId="0" xfId="0" applyNumberFormat="1" applyFont="1" applyFill="1" applyAlignment="1">
      <alignment horizontal="center"/>
    </xf>
    <xf numFmtId="1" fontId="3" fillId="5" borderId="9" xfId="0" applyNumberFormat="1" applyFont="1" applyFill="1" applyBorder="1" applyAlignment="1">
      <alignment horizontal="center"/>
    </xf>
    <xf numFmtId="1" fontId="3" fillId="6" borderId="9" xfId="0" applyNumberFormat="1" applyFont="1" applyFill="1" applyBorder="1" applyAlignment="1">
      <alignment horizontal="center"/>
    </xf>
    <xf numFmtId="1" fontId="3" fillId="6" borderId="0" xfId="0" applyNumberFormat="1" applyFont="1" applyFill="1" applyAlignment="1">
      <alignment horizontal="center" vertical="top"/>
    </xf>
    <xf numFmtId="0" fontId="3" fillId="7" borderId="5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1" fontId="3" fillId="7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3" fillId="8" borderId="0" xfId="0" applyFont="1" applyFill="1" applyAlignment="1">
      <alignment horizontal="center"/>
    </xf>
    <xf numFmtId="1" fontId="11" fillId="9" borderId="0" xfId="0" applyNumberFormat="1" applyFont="1" applyFill="1" applyAlignment="1">
      <alignment horizontal="center"/>
    </xf>
    <xf numFmtId="1" fontId="11" fillId="10" borderId="0" xfId="0" applyNumberFormat="1" applyFont="1" applyFill="1" applyAlignment="1">
      <alignment horizontal="center"/>
    </xf>
    <xf numFmtId="164" fontId="3" fillId="6" borderId="0" xfId="0" applyNumberFormat="1" applyFont="1" applyFill="1" applyAlignment="1">
      <alignment horizontal="center"/>
    </xf>
    <xf numFmtId="20" fontId="1" fillId="6" borderId="0" xfId="0" applyNumberFormat="1" applyFont="1" applyFill="1" applyAlignment="1">
      <alignment horizontal="center"/>
    </xf>
    <xf numFmtId="0" fontId="12" fillId="11" borderId="0" xfId="0" applyFont="1" applyFill="1" applyAlignment="1">
      <alignment horizontal="center"/>
    </xf>
    <xf numFmtId="14" fontId="12" fillId="11" borderId="0" xfId="0" applyNumberFormat="1" applyFont="1" applyFill="1" applyAlignment="1">
      <alignment horizontal="center"/>
    </xf>
    <xf numFmtId="1" fontId="12" fillId="11" borderId="0" xfId="0" applyNumberFormat="1" applyFont="1" applyFill="1" applyAlignment="1">
      <alignment horizontal="center"/>
    </xf>
    <xf numFmtId="0" fontId="12" fillId="11" borderId="0" xfId="0" applyFont="1" applyFill="1" applyAlignment="1">
      <alignment horizontal="left"/>
    </xf>
    <xf numFmtId="21" fontId="13" fillId="2" borderId="0" xfId="0" applyNumberFormat="1" applyFont="1" applyFill="1" applyAlignment="1">
      <alignment horizontal="left"/>
    </xf>
    <xf numFmtId="21" fontId="13" fillId="2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6" fillId="3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" fontId="3" fillId="0" borderId="11" xfId="0" applyNumberFormat="1" applyFont="1" applyBorder="1" applyAlignment="1">
      <alignment horizontal="center"/>
    </xf>
    <xf numFmtId="1" fontId="3" fillId="4" borderId="11" xfId="0" applyNumberFormat="1" applyFont="1" applyFill="1" applyBorder="1" applyAlignment="1">
      <alignment horizontal="center"/>
    </xf>
    <xf numFmtId="164" fontId="3" fillId="2" borderId="1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73"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1F1A97E8-8D9D-44BB-89EE-D726E05192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BC65C231-BF08-417D-A82E-50CEC17967FB}"/>
            </a:ext>
            <a:ext uri="{147F2762-F138-4A5C-976F-8EAC2B608ADB}">
              <a16:predDERef xmlns:a16="http://schemas.microsoft.com/office/drawing/2014/main" pred="{1F1A97E8-8D9D-44BB-89EE-D726E05192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2A4D38B-AE65-442B-904A-B2C94FDF9D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87660E70-68E8-47FD-8BA6-E7FC5BC13E23}"/>
            </a:ext>
            <a:ext uri="{147F2762-F138-4A5C-976F-8EAC2B608ADB}">
              <a16:predDERef xmlns:a16="http://schemas.microsoft.com/office/drawing/2014/main" pred="{02A4D38B-AE65-442B-904A-B2C94FDF9D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B0357B5F-BAD5-4D95-92BC-9D5612A6ED1B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136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569F44E2-B955-41E9-885E-74FE49500F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BA3CE93C-AF11-43DF-89B8-8716FAECCB86}"/>
            </a:ext>
            <a:ext uri="{147F2762-F138-4A5C-976F-8EAC2B608ADB}">
              <a16:predDERef xmlns:a16="http://schemas.microsoft.com/office/drawing/2014/main" pred="{569F44E2-B955-41E9-885E-74FE49500F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A967F150-46D0-412A-B53E-52D9870D22F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487F59C3-ACA4-4798-8173-01491A6CA918}"/>
            </a:ext>
            <a:ext uri="{147F2762-F138-4A5C-976F-8EAC2B608ADB}">
              <a16:predDERef xmlns:a16="http://schemas.microsoft.com/office/drawing/2014/main" pred="{A967F150-46D0-412A-B53E-52D9870D22F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2002A4BA-247B-46E4-A0FF-FC45B63B5A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B8E4A24C-5BA3-4234-BB37-512DB64BA67B}"/>
            </a:ext>
            <a:ext uri="{147F2762-F138-4A5C-976F-8EAC2B608ADB}">
              <a16:predDERef xmlns:a16="http://schemas.microsoft.com/office/drawing/2014/main" pred="{2002A4BA-247B-46E4-A0FF-FC45B63B5A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BDE0BDFD-C4FF-4C17-A0E6-63EDB8F8D7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4AEB5337-43A1-4AD7-AED0-9D743F2B0F23}"/>
            </a:ext>
            <a:ext uri="{147F2762-F138-4A5C-976F-8EAC2B608ADB}">
              <a16:predDERef xmlns:a16="http://schemas.microsoft.com/office/drawing/2014/main" pred="{BDE0BDFD-C4FF-4C17-A0E6-63EDB8F8D7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F7DACA94-A4EA-4C09-8229-1D29D59B28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AFA3DA74-27EA-479A-9417-36C8504900C4}"/>
            </a:ext>
            <a:ext uri="{147F2762-F138-4A5C-976F-8EAC2B608ADB}">
              <a16:predDERef xmlns:a16="http://schemas.microsoft.com/office/drawing/2014/main" pred="{F7DACA94-A4EA-4C09-8229-1D29D59B28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hiftup-my.sharepoint.com/personal/f87357a_inetpsa_com/Documents/Arquivos%20de%20Chat%20do%20Microsoft%20Teams/PEDIDO%20TEKFOR%20DRIVE.xlsx" TargetMode="External"/><Relationship Id="rId1" Type="http://schemas.openxmlformats.org/officeDocument/2006/relationships/externalLinkPath" Target="https://shiftup-my.sharepoint.com/personal/f87357a_inetpsa_com/Documents/Arquivos%20de%20Chat%20do%20Microsoft%20Teams/PEDIDO%20TEKFOR%20DRIV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7DyTmsDlzECPuYnav-9ZM1OoUZDUGxpIhzUJgISSLaRtplku4NlITq3yvTCJy65f" itemId="01ZRLTWHFZQJAX6KJKQBE2ZJRW7L3NYUYW">
      <xxl21:absoluteUrl r:id="rId2"/>
    </xxl21:alternateUrls>
    <sheetNames>
      <sheetName val="PEDIDO"/>
    </sheetNames>
    <sheetDataSet>
      <sheetData sheetId="0">
        <row r="4">
          <cell r="B4">
            <v>77630117</v>
          </cell>
          <cell r="C4" t="str">
            <v>TEKFOR</v>
          </cell>
          <cell r="D4" t="str">
            <v>Engr. 3ª Desliz. (rel. 38/25) - 1572- 13A6 / 13A7 / 13B7 / 13B1 / 13B8</v>
          </cell>
          <cell r="E4">
            <v>0</v>
          </cell>
        </row>
        <row r="5">
          <cell r="B5">
            <v>463557158</v>
          </cell>
          <cell r="C5" t="str">
            <v>TEKFOR</v>
          </cell>
          <cell r="D5" t="str">
            <v>Engr. 3ª Desliz. (rel. 38/25) - 1572- 13A6 / 13A7 / 13B7 / 13B1 / 13B8</v>
          </cell>
          <cell r="E5">
            <v>1344</v>
          </cell>
        </row>
        <row r="6">
          <cell r="B6">
            <v>77630087</v>
          </cell>
          <cell r="C6" t="str">
            <v>TEKFOR</v>
          </cell>
          <cell r="D6" t="str">
            <v>Engr. 3ª Desliz. (rel. 39/27) - 13A2 / 13A3 + 13C1 + 18B4 + 1595</v>
          </cell>
          <cell r="E6">
            <v>0</v>
          </cell>
        </row>
        <row r="7">
          <cell r="B7">
            <v>463557148</v>
          </cell>
          <cell r="C7" t="str">
            <v>TEKFOR</v>
          </cell>
          <cell r="D7" t="str">
            <v>Engr. 3ª Desliz. (rel. 39/27) - 13A2 / 13A3 + 13C1 + 18B4 + 1595</v>
          </cell>
          <cell r="E7">
            <v>0</v>
          </cell>
        </row>
        <row r="8">
          <cell r="B8">
            <v>552664537</v>
          </cell>
          <cell r="C8" t="str">
            <v>TEKFOR</v>
          </cell>
          <cell r="D8" t="str">
            <v>Engr. 3ª Fixa (rel. 38/25) 13A6 / 13A7 / 13B7</v>
          </cell>
          <cell r="E8">
            <v>792</v>
          </cell>
        </row>
        <row r="9">
          <cell r="B9">
            <v>552664527</v>
          </cell>
          <cell r="C9" t="str">
            <v>TEKFOR</v>
          </cell>
          <cell r="D9" t="str">
            <v>Engr. 3ª Fixa (rel. 39/27) -  13A2 / 13A3 + 13C1 + 18B4 + 1595</v>
          </cell>
          <cell r="E9">
            <v>0</v>
          </cell>
        </row>
        <row r="10">
          <cell r="B10">
            <v>552664547</v>
          </cell>
          <cell r="C10" t="str">
            <v>TEKFOR</v>
          </cell>
          <cell r="D10" t="str">
            <v>Engr. 4ª Desliz. (rel. 35/34)- 13A6</v>
          </cell>
          <cell r="E10">
            <v>1344</v>
          </cell>
        </row>
        <row r="11">
          <cell r="B11">
            <v>552664557</v>
          </cell>
          <cell r="C11" t="str">
            <v>TEKFOR</v>
          </cell>
          <cell r="D11" t="str">
            <v xml:space="preserve">Engr. 4ª Desliz. (rel. 37/32) - 18B2 + 1967 + 1597 </v>
          </cell>
          <cell r="E11">
            <v>0</v>
          </cell>
        </row>
        <row r="12">
          <cell r="B12">
            <v>552664567</v>
          </cell>
          <cell r="C12" t="str">
            <v>TEKFOR</v>
          </cell>
          <cell r="D12" t="str">
            <v>Engr. 4ª Fixa (rel.35/34) - 13A6</v>
          </cell>
          <cell r="E12">
            <v>2268</v>
          </cell>
        </row>
        <row r="13">
          <cell r="B13">
            <v>552664577</v>
          </cell>
          <cell r="C13" t="str">
            <v>TEKFOR</v>
          </cell>
          <cell r="D13" t="str">
            <v>Engr. 4ª Fixa (rel.37/32) - 18B2 + 1967 + 1597</v>
          </cell>
          <cell r="E13">
            <v>0</v>
          </cell>
        </row>
        <row r="14">
          <cell r="B14">
            <v>552086947</v>
          </cell>
          <cell r="C14" t="str">
            <v>TEKFOR</v>
          </cell>
          <cell r="D14" t="str">
            <v>Engr. 5ª Desliz. (rel. 39/34)
FIAPE (1967 + 18B2) - 1974</v>
          </cell>
          <cell r="E14">
            <v>0</v>
          </cell>
        </row>
        <row r="15">
          <cell r="B15">
            <v>463555108</v>
          </cell>
          <cell r="C15" t="str">
            <v>TEKFOR</v>
          </cell>
          <cell r="D15" t="str">
            <v>Engr. 5ª Desliz. (rel. 39/34)
FIAPE (1967 + 18B2) - 1974</v>
          </cell>
          <cell r="E15">
            <v>0</v>
          </cell>
        </row>
        <row r="16">
          <cell r="B16">
            <v>552086937</v>
          </cell>
          <cell r="C16" t="str">
            <v>TEKFOR</v>
          </cell>
          <cell r="D16" t="str">
            <v>Engr. 5ª Desliz. (rel. 37/31) - 1597</v>
          </cell>
          <cell r="E16">
            <v>0</v>
          </cell>
        </row>
        <row r="17">
          <cell r="B17">
            <v>463555098</v>
          </cell>
          <cell r="C17" t="str">
            <v>TEKFOR</v>
          </cell>
          <cell r="D17" t="str">
            <v>Engr. 5ª Desliz. (rel. 37/31) - 1597</v>
          </cell>
          <cell r="E17">
            <v>0</v>
          </cell>
        </row>
        <row r="18">
          <cell r="B18">
            <v>552086917</v>
          </cell>
          <cell r="C18" t="str">
            <v>TEKFOR</v>
          </cell>
          <cell r="D18" t="str">
            <v>Engr. 5ª Desliz. (rel. 39/31) - 13B4 + 13A2 + 13A3 + 13B9 + 13C1</v>
          </cell>
          <cell r="E18">
            <v>0</v>
          </cell>
        </row>
        <row r="19">
          <cell r="B19">
            <v>463555088</v>
          </cell>
          <cell r="C19" t="str">
            <v>TEKFOR</v>
          </cell>
          <cell r="D19" t="str">
            <v>Engr. 5ª Desliz. (rel. 39/31) - 13B4 + 13A2 + 13A3 + 13B9 + 13C1</v>
          </cell>
          <cell r="E19">
            <v>588</v>
          </cell>
        </row>
        <row r="20">
          <cell r="B20">
            <v>552086957</v>
          </cell>
          <cell r="C20" t="str">
            <v>TEKFOR</v>
          </cell>
          <cell r="D20" t="str">
            <v>Engr. 5ª Desliz. (rel. 37/34)</v>
          </cell>
          <cell r="E20">
            <v>0</v>
          </cell>
        </row>
        <row r="21">
          <cell r="B21">
            <v>552724278</v>
          </cell>
          <cell r="C21" t="str">
            <v>TEKFOR</v>
          </cell>
          <cell r="D21" t="str">
            <v>Engr. 5ª Desliz. (rel.34/45) - (X6H) 18B4 / 13B6 / 13A6/ 13A7 / 18B4 / 13B1 / 13B8 / 13B7</v>
          </cell>
          <cell r="E21">
            <v>1176</v>
          </cell>
        </row>
        <row r="22">
          <cell r="B22">
            <v>552086967</v>
          </cell>
          <cell r="C22" t="str">
            <v>TEKFOR</v>
          </cell>
          <cell r="D22" t="str">
            <v>Engr. 5ª Desliz. (rel. 37/35)</v>
          </cell>
          <cell r="E22">
            <v>0</v>
          </cell>
        </row>
        <row r="23">
          <cell r="B23">
            <v>552086977</v>
          </cell>
          <cell r="C23" t="str">
            <v>TEKFOR</v>
          </cell>
          <cell r="D23" t="str">
            <v>Engr. 5ª Desliz. (rel. 34/33) JTD</v>
          </cell>
          <cell r="E23">
            <v>0</v>
          </cell>
        </row>
        <row r="24">
          <cell r="B24">
            <v>77579477</v>
          </cell>
          <cell r="C24" t="str">
            <v>TEKFOR</v>
          </cell>
          <cell r="D24" t="str">
            <v>Engr. 5ª Fixa (rel.35/37)</v>
          </cell>
          <cell r="E24">
            <v>0</v>
          </cell>
        </row>
        <row r="25">
          <cell r="B25">
            <v>552698778</v>
          </cell>
          <cell r="C25" t="str">
            <v>TEKFOR</v>
          </cell>
          <cell r="D25" t="str">
            <v>Engr. 5ª Fixa (rel.34/37)</v>
          </cell>
          <cell r="E25">
            <v>0</v>
          </cell>
        </row>
        <row r="26">
          <cell r="B26">
            <v>552698768</v>
          </cell>
          <cell r="C26" t="str">
            <v>TEKFOR</v>
          </cell>
          <cell r="D26" t="str">
            <v>Engr. 5ª Fixa (rel.34/39) + PERNAMBUCO</v>
          </cell>
          <cell r="E26">
            <v>0</v>
          </cell>
        </row>
        <row r="27">
          <cell r="B27">
            <v>552698758</v>
          </cell>
          <cell r="C27" t="str">
            <v>TEKFOR</v>
          </cell>
          <cell r="D27" t="str">
            <v>Engr. 5ª Fixa (rel.31/37) - 1597</v>
          </cell>
          <cell r="E27">
            <v>0</v>
          </cell>
        </row>
        <row r="28">
          <cell r="B28">
            <v>552698748</v>
          </cell>
          <cell r="C28" t="str">
            <v>TEKFOR</v>
          </cell>
          <cell r="D28" t="str">
            <v>Engr. 5ª Fixa (rel.31/39) - 13B4 + 13A2 + 13A3 + 13B9 + 13C1</v>
          </cell>
          <cell r="E28">
            <v>672</v>
          </cell>
        </row>
        <row r="29">
          <cell r="B29">
            <v>552724288</v>
          </cell>
          <cell r="C29" t="str">
            <v>TEKFOR</v>
          </cell>
          <cell r="D29" t="str">
            <v>Engr. 5ª Fixa. (rel.34/45) - (X6H)
18B4 / 13B6 / 13A6/ 13A7 / 18B4 / 13B1 / 13B8/ 13B7</v>
          </cell>
          <cell r="E29">
            <v>1344</v>
          </cell>
        </row>
        <row r="30">
          <cell r="B30">
            <v>467670637</v>
          </cell>
          <cell r="C30" t="str">
            <v>TEKFOR</v>
          </cell>
          <cell r="D30" t="str">
            <v>Coroa Sincroniz. 3/4 VEL DESLIZ (CDT)</v>
          </cell>
          <cell r="E30">
            <v>2376</v>
          </cell>
        </row>
        <row r="31">
          <cell r="B31">
            <v>552030227</v>
          </cell>
          <cell r="C31" t="str">
            <v>TEKFOR</v>
          </cell>
          <cell r="D31" t="str">
            <v>Engr. 1ª Desliz 17Ni 47/11D   FIAPE ( 1967 + 18B2)</v>
          </cell>
          <cell r="E31">
            <v>0</v>
          </cell>
        </row>
        <row r="32">
          <cell r="B32">
            <v>552030228</v>
          </cell>
          <cell r="C32" t="str">
            <v>TEKFOR</v>
          </cell>
          <cell r="D32" t="str">
            <v>Engr. 1ª Desliz 17Ni 47/11D   FIAPE ( 1967 + 18B2)</v>
          </cell>
          <cell r="E32">
            <v>0</v>
          </cell>
        </row>
        <row r="33">
          <cell r="B33">
            <v>467784287</v>
          </cell>
          <cell r="C33" t="str">
            <v>TEKFOR</v>
          </cell>
          <cell r="D33" t="str">
            <v>Engr. 1ª Desliz 19Mn
( Rel. 47/11) - 13A6</v>
          </cell>
          <cell r="E33">
            <v>0</v>
          </cell>
        </row>
        <row r="34">
          <cell r="B34">
            <v>467784288</v>
          </cell>
          <cell r="C34" t="str">
            <v>TEKFOR</v>
          </cell>
          <cell r="D34" t="str">
            <v>Engr. 1ª Desliz 19Mn
( Rel. 47/11) - 13A6</v>
          </cell>
          <cell r="E34">
            <v>392</v>
          </cell>
        </row>
        <row r="35">
          <cell r="B35">
            <v>467784297</v>
          </cell>
          <cell r="C35" t="str">
            <v>TEKFOR</v>
          </cell>
          <cell r="D35" t="str">
            <v>Engr. 1ª Desliz 19Mn
( Rel. 43/11) -18B4 + 1899</v>
          </cell>
          <cell r="E35">
            <v>0</v>
          </cell>
        </row>
        <row r="36">
          <cell r="B36">
            <v>551824567</v>
          </cell>
          <cell r="C36" t="str">
            <v>TEKFOR</v>
          </cell>
          <cell r="D36" t="str">
            <v>Engr. 2ª Desliz 19Mn
Rel. 47/21 - 18B4 + 1899</v>
          </cell>
          <cell r="E36">
            <v>0</v>
          </cell>
        </row>
        <row r="37">
          <cell r="B37">
            <v>552433467</v>
          </cell>
          <cell r="C37" t="str">
            <v>TEKFOR</v>
          </cell>
          <cell r="D37" t="str">
            <v xml:space="preserve">Engr. 2ª Conduzida 17 Ni
Rel. 19/44 (FIAPE 1967 +18B2) - 1C - </v>
          </cell>
          <cell r="E37">
            <v>0</v>
          </cell>
        </row>
        <row r="38">
          <cell r="B38">
            <v>552433468</v>
          </cell>
          <cell r="C38" t="str">
            <v>TEKFOR</v>
          </cell>
          <cell r="D38" t="str">
            <v xml:space="preserve">Engr. 2ª Conduzida 17 Ni
Rel. 19/44 (FIAPE 1967 +18B2) - 1C - </v>
          </cell>
          <cell r="E38">
            <v>0</v>
          </cell>
        </row>
        <row r="39">
          <cell r="B39">
            <v>463503958</v>
          </cell>
          <cell r="C39" t="str">
            <v>TEKFOR</v>
          </cell>
          <cell r="D39" t="str">
            <v>Engr 2°Conduzida 281-  51/21 - MAT 19 - 13A7 - 13B7 - 13B8</v>
          </cell>
          <cell r="E39">
            <v>0</v>
          </cell>
        </row>
        <row r="40">
          <cell r="B40">
            <v>552486497</v>
          </cell>
          <cell r="C40" t="str">
            <v>TEKFOR</v>
          </cell>
          <cell r="D40" t="str">
            <v>Engr. 2ª Desliz 19Mn
( Rel. 44/19) 2C - 1595 / 13A4 / 13C1</v>
          </cell>
          <cell r="E40">
            <v>0</v>
          </cell>
        </row>
        <row r="41">
          <cell r="B41">
            <v>552486498</v>
          </cell>
          <cell r="C41" t="str">
            <v>TEKFOR</v>
          </cell>
          <cell r="D41" t="str">
            <v>Engr. 2ª Desliz 19Mn
( Rel. 44/19) 2C - 1595 / 13A4 / 13C1</v>
          </cell>
          <cell r="E41">
            <v>0</v>
          </cell>
        </row>
        <row r="42">
          <cell r="B42">
            <v>468076307</v>
          </cell>
          <cell r="C42" t="str">
            <v>TEKFOR</v>
          </cell>
          <cell r="D42" t="str">
            <v>Engr. Ré  19Mn  (C513)</v>
          </cell>
          <cell r="E42">
            <v>0</v>
          </cell>
        </row>
        <row r="43">
          <cell r="B43">
            <v>468084487</v>
          </cell>
          <cell r="C43" t="str">
            <v>TEKFOR</v>
          </cell>
          <cell r="D43" t="str">
            <v>Engr. Ré
17Ni(JTD/DOBLO/FIAPE 1967) - C510</v>
          </cell>
          <cell r="E43">
            <v>0</v>
          </cell>
        </row>
        <row r="44">
          <cell r="B44">
            <v>552727098</v>
          </cell>
          <cell r="C44" t="str">
            <v>TEKFOR</v>
          </cell>
          <cell r="D44" t="str">
            <v xml:space="preserve">Engr. Ré (GSE) </v>
          </cell>
          <cell r="E44">
            <v>2184</v>
          </cell>
        </row>
        <row r="45">
          <cell r="B45">
            <v>552792228</v>
          </cell>
          <cell r="C45" t="str">
            <v>TEKFOR</v>
          </cell>
          <cell r="D45" t="str">
            <v>Engr. Ré (TORO 18B2)</v>
          </cell>
          <cell r="E45">
            <v>0</v>
          </cell>
        </row>
        <row r="46">
          <cell r="B46">
            <v>59507209</v>
          </cell>
          <cell r="C46" t="str">
            <v>TEKFOR</v>
          </cell>
          <cell r="D46" t="str">
            <v>Engr. Planetária</v>
          </cell>
          <cell r="E46">
            <v>4950</v>
          </cell>
        </row>
        <row r="47">
          <cell r="B47">
            <v>551955737</v>
          </cell>
          <cell r="C47" t="str">
            <v>TEKFOR</v>
          </cell>
          <cell r="D47" t="str">
            <v>Luva 1ª/ 2ª vel. (c513) + 1899</v>
          </cell>
          <cell r="E47">
            <v>2100</v>
          </cell>
        </row>
        <row r="48">
          <cell r="B48">
            <v>551955748</v>
          </cell>
          <cell r="C48" t="str">
            <v>TEKFOR</v>
          </cell>
          <cell r="D48" t="str">
            <v>Luva 1ª/ 2ª vel.  17Ni (PERNAMBUCO + C510 EXCETO 1899)</v>
          </cell>
          <cell r="E48">
            <v>0</v>
          </cell>
        </row>
        <row r="49">
          <cell r="B49">
            <v>552792238</v>
          </cell>
          <cell r="C49" t="str">
            <v>TEKFOR</v>
          </cell>
          <cell r="D49" t="str">
            <v>Luva 1ª/ 2ª vel. 
TORO (18B2)</v>
          </cell>
          <cell r="E49">
            <v>0</v>
          </cell>
        </row>
        <row r="50">
          <cell r="B50">
            <v>467368667</v>
          </cell>
          <cell r="C50" t="str">
            <v>AUTOCAM</v>
          </cell>
          <cell r="D50" t="str">
            <v>Luva 5ª vel. (551955768)</v>
          </cell>
          <cell r="E50">
            <v>0</v>
          </cell>
        </row>
        <row r="51">
          <cell r="B51">
            <v>463458098</v>
          </cell>
          <cell r="C51" t="str">
            <v>TEKFOR</v>
          </cell>
          <cell r="D51" t="str">
            <v>Luva 5° vel</v>
          </cell>
          <cell r="E51">
            <v>1650</v>
          </cell>
        </row>
        <row r="52">
          <cell r="B52">
            <v>467670627</v>
          </cell>
          <cell r="C52" t="str">
            <v>AUTOCAM</v>
          </cell>
          <cell r="D52" t="str">
            <v>Luva 3ª/4ª vel. (551955758)</v>
          </cell>
        </row>
        <row r="53">
          <cell r="B53">
            <v>463458088</v>
          </cell>
          <cell r="C53" t="str">
            <v>TEKFOR SP</v>
          </cell>
          <cell r="D53" t="str">
            <v>Luva 3ª/4ª vel. (551955758)</v>
          </cell>
          <cell r="E53">
            <v>0</v>
          </cell>
        </row>
        <row r="54">
          <cell r="B54">
            <v>77894011</v>
          </cell>
          <cell r="C54" t="str">
            <v>TUPY</v>
          </cell>
          <cell r="D54" t="str">
            <v>Tampa Diferencial</v>
          </cell>
          <cell r="E54">
            <v>1500</v>
          </cell>
        </row>
        <row r="55">
          <cell r="B55">
            <v>467721611</v>
          </cell>
          <cell r="C55" t="str">
            <v>TUPY</v>
          </cell>
          <cell r="D55" t="str">
            <v>Caixa Diferencial</v>
          </cell>
          <cell r="E55">
            <v>1200</v>
          </cell>
        </row>
        <row r="56">
          <cell r="B56">
            <v>463559961</v>
          </cell>
          <cell r="C56" t="str">
            <v>CIEFORJAS</v>
          </cell>
          <cell r="D56" t="str">
            <v>Coroa C513 - 13C3</v>
          </cell>
          <cell r="E56">
            <v>0</v>
          </cell>
        </row>
        <row r="57">
          <cell r="B57">
            <v>75821121</v>
          </cell>
          <cell r="C57" t="str">
            <v>CIEFORJAS</v>
          </cell>
          <cell r="D57" t="str">
            <v xml:space="preserve">Coroa (C-513) 19Ni - 1595+13B2+13C1+13B8 </v>
          </cell>
          <cell r="E57">
            <v>270</v>
          </cell>
        </row>
        <row r="58">
          <cell r="B58">
            <v>463433241</v>
          </cell>
          <cell r="C58" t="str">
            <v>CIEFORJAS</v>
          </cell>
          <cell r="D58" t="str">
            <v>Coroa C513 - 17Ni
13A2+13A3+13A6+13B1+13B7+13B4+13B9 + 13A7</v>
          </cell>
          <cell r="E58">
            <v>270</v>
          </cell>
        </row>
        <row r="59">
          <cell r="B59">
            <v>464420321</v>
          </cell>
          <cell r="C59" t="str">
            <v>CIEFORJAS</v>
          </cell>
          <cell r="D59" t="str">
            <v>Coroa 17Ni - 1967 + 18B4</v>
          </cell>
          <cell r="E59">
            <v>0</v>
          </cell>
        </row>
        <row r="60">
          <cell r="B60">
            <v>465554171</v>
          </cell>
          <cell r="C60" t="str">
            <v>CIEFORJAS</v>
          </cell>
          <cell r="D60" t="str">
            <v>Coroa  19Ni - 1899 ( MOPAR)</v>
          </cell>
          <cell r="E60">
            <v>0</v>
          </cell>
        </row>
        <row r="61">
          <cell r="B61">
            <v>465555151</v>
          </cell>
          <cell r="C61" t="str">
            <v>CIEFORJAS</v>
          </cell>
          <cell r="D61" t="str">
            <v xml:space="preserve">Coroa 17Ni (C-513) </v>
          </cell>
          <cell r="E61">
            <v>0</v>
          </cell>
        </row>
        <row r="62">
          <cell r="B62">
            <v>552694438</v>
          </cell>
          <cell r="C62" t="str">
            <v>CIEFORJAS</v>
          </cell>
          <cell r="D62" t="str">
            <v>Eixo Secundário 19Mn 14/52</v>
          </cell>
          <cell r="E62">
            <v>0</v>
          </cell>
        </row>
        <row r="63">
          <cell r="B63">
            <v>464197038</v>
          </cell>
          <cell r="C63" t="str">
            <v>CIEFORJAS</v>
          </cell>
          <cell r="D63" t="str">
            <v>Eixo Secundário 19Mn 14/61</v>
          </cell>
          <cell r="E63">
            <v>0</v>
          </cell>
        </row>
        <row r="64">
          <cell r="B64">
            <v>77603518</v>
          </cell>
          <cell r="C64" t="str">
            <v>CIEFORJAS</v>
          </cell>
          <cell r="D64" t="str">
            <v>EIXO SECUNDARIO 15/59 (GSE)</v>
          </cell>
          <cell r="E64">
            <v>0</v>
          </cell>
        </row>
        <row r="65">
          <cell r="B65">
            <v>552694448</v>
          </cell>
          <cell r="C65" t="str">
            <v>CIEFORJAS</v>
          </cell>
          <cell r="D65" t="str">
            <v>Eixo Secundário 19Mn 
15/56 - 1899 ( MOPAR)</v>
          </cell>
          <cell r="E65">
            <v>0</v>
          </cell>
        </row>
        <row r="66">
          <cell r="B66">
            <v>463559978</v>
          </cell>
          <cell r="C66" t="str">
            <v>CIEFORJAS</v>
          </cell>
          <cell r="D66" t="str">
            <v>Eixo secundario 13C3</v>
          </cell>
          <cell r="E66">
            <v>0</v>
          </cell>
        </row>
        <row r="67">
          <cell r="B67">
            <v>463585598</v>
          </cell>
          <cell r="C67" t="str">
            <v>CIEFORJAS</v>
          </cell>
          <cell r="D67" t="str">
            <v>Eixo Secundário15X69
C513  ANTIGO 238 + 13A6+13B7+13B4+13B9+ 13B1</v>
          </cell>
          <cell r="E67">
            <v>540</v>
          </cell>
        </row>
        <row r="68">
          <cell r="B68">
            <v>463433238</v>
          </cell>
          <cell r="C68" t="str">
            <v>CIEFORJAS</v>
          </cell>
          <cell r="D68" t="str">
            <v>Eixo Secundário15X69
C513
HCR + 13A6+13B7+13B4+13B9+ 13B1</v>
          </cell>
          <cell r="E68">
            <v>0</v>
          </cell>
        </row>
        <row r="69">
          <cell r="B69">
            <v>465555148</v>
          </cell>
          <cell r="C69" t="str">
            <v>THYSSEN</v>
          </cell>
          <cell r="D69" t="str">
            <v>Eixo Secundário 17Ni
15/66 - 18B2+13A7</v>
          </cell>
          <cell r="E69">
            <v>0</v>
          </cell>
        </row>
        <row r="70">
          <cell r="B70">
            <v>463496858</v>
          </cell>
          <cell r="C70" t="str">
            <v>CIEFORJAS</v>
          </cell>
          <cell r="D70" t="str">
            <v>Eixo Secundário 17Ni
15/66  - 18B2 - COM SHOOT</v>
          </cell>
          <cell r="E70">
            <v>0</v>
          </cell>
        </row>
        <row r="71">
          <cell r="B71">
            <v>463535748</v>
          </cell>
          <cell r="C71" t="str">
            <v>CIEFORJAS</v>
          </cell>
          <cell r="D71" t="str">
            <v>Eixo Secundário 17Ni
15/66  - 13A4 +13A7+ 13A9 + 13B3 SEM SHOOT</v>
          </cell>
          <cell r="E71">
            <v>0</v>
          </cell>
        </row>
        <row r="72">
          <cell r="B72">
            <v>552694428</v>
          </cell>
          <cell r="C72" t="str">
            <v>CIEFORJAS</v>
          </cell>
          <cell r="D72" t="str">
            <v xml:space="preserve">Eixo Secundário 19Mn 15/61 </v>
          </cell>
          <cell r="E72">
            <v>0</v>
          </cell>
        </row>
        <row r="73">
          <cell r="B73">
            <v>552571388</v>
          </cell>
          <cell r="C73" t="str">
            <v>CIEFORJAS</v>
          </cell>
          <cell r="D73" t="str">
            <v>EIXO SECUNDÁRIO19Mn 15X63
13C1+13B8</v>
          </cell>
          <cell r="E73">
            <v>270</v>
          </cell>
        </row>
        <row r="74">
          <cell r="B74">
            <v>552774808</v>
          </cell>
          <cell r="C74" t="str">
            <v>THYSSEN</v>
          </cell>
          <cell r="D74" t="str">
            <v>Eixo Secundário 17 Ni
15/59 - X6H</v>
          </cell>
          <cell r="E74">
            <v>0</v>
          </cell>
        </row>
        <row r="75">
          <cell r="B75">
            <v>463496828</v>
          </cell>
          <cell r="C75" t="str">
            <v>CIEFORJAS</v>
          </cell>
          <cell r="D75" t="str">
            <v>Eixo Secundário 17 Ni
15/59 - X6H - B4</v>
          </cell>
          <cell r="E75">
            <v>0</v>
          </cell>
        </row>
        <row r="76">
          <cell r="B76">
            <v>552825828</v>
          </cell>
          <cell r="C76" t="str">
            <v>THYSSEN</v>
          </cell>
          <cell r="D76" t="str">
            <v>Eixo Secundário 17 Ni
15/56- X6H</v>
          </cell>
          <cell r="E76">
            <v>0</v>
          </cell>
        </row>
        <row r="77">
          <cell r="B77">
            <v>552835168</v>
          </cell>
          <cell r="C77" t="str">
            <v>CIEFORJAS</v>
          </cell>
          <cell r="D77" t="str">
            <v>Eixo Secundário 19 Mn
15/56- X6H</v>
          </cell>
          <cell r="E77">
            <v>0</v>
          </cell>
        </row>
        <row r="78">
          <cell r="B78">
            <v>551957818</v>
          </cell>
          <cell r="C78" t="str">
            <v>THYSSEN</v>
          </cell>
          <cell r="D78" t="str">
            <v>Eixo Secundário 17Ni
15/61 - 1974</v>
          </cell>
          <cell r="E78">
            <v>0</v>
          </cell>
        </row>
        <row r="79">
          <cell r="B79">
            <v>463496838</v>
          </cell>
          <cell r="C79" t="str">
            <v>CIEFORJAS</v>
          </cell>
          <cell r="D79" t="str">
            <v>Eixo Secundário 17Ni
15/61 - 1974</v>
          </cell>
          <cell r="E79">
            <v>0</v>
          </cell>
        </row>
        <row r="80">
          <cell r="B80">
            <v>552284868</v>
          </cell>
          <cell r="C80" t="str">
            <v>THYSSEN</v>
          </cell>
          <cell r="D80" t="str">
            <v>Eixo Secundário 17Ni
15/63 + FIAPE (1967)</v>
          </cell>
          <cell r="E80">
            <v>0</v>
          </cell>
        </row>
        <row r="81">
          <cell r="B81">
            <v>463496848</v>
          </cell>
          <cell r="C81" t="str">
            <v>CIEFORJAS</v>
          </cell>
          <cell r="D81" t="str">
            <v>Eixo Secundário 17Ni
15/63 + FIAPE (1967)</v>
          </cell>
          <cell r="E81">
            <v>0</v>
          </cell>
        </row>
        <row r="82">
          <cell r="B82">
            <v>552696328</v>
          </cell>
          <cell r="C82" t="str">
            <v>THYSSEN</v>
          </cell>
          <cell r="D82" t="str">
            <v>Eixo Secundário 17NI
15/69 - 13b4 / 13b5</v>
          </cell>
          <cell r="E82">
            <v>0</v>
          </cell>
        </row>
        <row r="83">
          <cell r="B83">
            <v>463496868</v>
          </cell>
          <cell r="C83" t="str">
            <v>CIEFORJAS</v>
          </cell>
          <cell r="D83" t="str">
            <v>Eixo Secundário 17NI
 13B4 +13B5 + 13B9 + 1583</v>
          </cell>
          <cell r="E83">
            <v>0</v>
          </cell>
        </row>
        <row r="84">
          <cell r="B84">
            <v>552727078</v>
          </cell>
          <cell r="C84" t="str">
            <v>CIEFORJAS</v>
          </cell>
          <cell r="D84" t="str">
            <v>EIXO PRIMARIO USINADO 47/11 (GSE) - 1595 - 13C1</v>
          </cell>
          <cell r="E84">
            <v>360</v>
          </cell>
        </row>
        <row r="85">
          <cell r="B85">
            <v>552770948</v>
          </cell>
          <cell r="C85" t="str">
            <v>CIEFORJAS</v>
          </cell>
          <cell r="D85" t="str">
            <v>EIXO PRIMARIO USINADO 4.2 (FIRE)</v>
          </cell>
          <cell r="E85">
            <v>0</v>
          </cell>
        </row>
        <row r="86">
          <cell r="B86">
            <v>468084498</v>
          </cell>
          <cell r="C86" t="str">
            <v>THYSSEN</v>
          </cell>
          <cell r="D86" t="str">
            <v>Eixo Primário 17Ni
11/43 JTD (18A6 - 18B4)</v>
          </cell>
          <cell r="E86">
            <v>0</v>
          </cell>
        </row>
        <row r="87">
          <cell r="B87">
            <v>463496808</v>
          </cell>
          <cell r="C87" t="str">
            <v>CIEFORJAS</v>
          </cell>
          <cell r="D87" t="str">
            <v>Eixo Primário 17Ni
11/43 JTD (18A6 - 18B4)</v>
          </cell>
          <cell r="E87">
            <v>0</v>
          </cell>
        </row>
        <row r="88">
          <cell r="B88">
            <v>552792188</v>
          </cell>
          <cell r="C88" t="str">
            <v>THYSSEN</v>
          </cell>
          <cell r="D88" t="str">
            <v>Eixo Primário 17Ni
11/47 TORO (18B2)</v>
          </cell>
          <cell r="E88">
            <v>0</v>
          </cell>
        </row>
        <row r="89">
          <cell r="B89">
            <v>463504548</v>
          </cell>
          <cell r="C89" t="str">
            <v>CIEFORJAS</v>
          </cell>
          <cell r="D89" t="str">
            <v>Eixo Primário 17Ni
11/47 TORO (18B2)</v>
          </cell>
          <cell r="E89">
            <v>0</v>
          </cell>
        </row>
        <row r="90">
          <cell r="B90">
            <v>468085168</v>
          </cell>
          <cell r="C90" t="str">
            <v>CIEFORJAS</v>
          </cell>
          <cell r="D90" t="str">
            <v>Eixo Primário 19Mn
11/43</v>
          </cell>
          <cell r="E90">
            <v>0</v>
          </cell>
        </row>
        <row r="91">
          <cell r="B91">
            <v>468085188</v>
          </cell>
          <cell r="C91" t="str">
            <v>CIEFORJAS</v>
          </cell>
          <cell r="D91" t="str">
            <v>Eixo Primário 19Mn
11/47</v>
          </cell>
          <cell r="E91">
            <v>0</v>
          </cell>
        </row>
        <row r="92">
          <cell r="B92">
            <v>552049748</v>
          </cell>
          <cell r="C92" t="str">
            <v>THYSSEN</v>
          </cell>
          <cell r="D92" t="str">
            <v>Eixo Primário 17Ni
11/47</v>
          </cell>
          <cell r="E92">
            <v>0</v>
          </cell>
        </row>
        <row r="93">
          <cell r="B93">
            <v>552486488</v>
          </cell>
          <cell r="C93" t="str">
            <v>CIEFORJAS</v>
          </cell>
          <cell r="D93" t="str">
            <v xml:space="preserve">Eixo Primário 19Mn
19/44 </v>
          </cell>
          <cell r="E93">
            <v>0</v>
          </cell>
        </row>
        <row r="94">
          <cell r="B94">
            <v>463508568</v>
          </cell>
          <cell r="C94" t="str">
            <v>CIEFORJAS</v>
          </cell>
          <cell r="D94" t="str">
            <v>EIXO PRIMARIO 19 Ni
HCR - LONGO - 13A3 + 13A6 + 13B4 + 13B7+13B3 + 13B8 + 13B9</v>
          </cell>
          <cell r="E94">
            <v>1800</v>
          </cell>
        </row>
        <row r="95">
          <cell r="B95">
            <v>463503948</v>
          </cell>
          <cell r="C95" t="str">
            <v>CIEFORJAS</v>
          </cell>
          <cell r="D95" t="str">
            <v>EIXO PRIMARIO -19 Ni
HCR - CURTO - 13A2 + 13A7 + 13B1</v>
          </cell>
          <cell r="E95">
            <v>0</v>
          </cell>
        </row>
        <row r="96">
          <cell r="B96">
            <v>463496798</v>
          </cell>
          <cell r="C96" t="str">
            <v>CIEFORJAS</v>
          </cell>
          <cell r="D96" t="str">
            <v>Eixo Primário 17Ni (FIAPE 1967)
19/44</v>
          </cell>
          <cell r="E96">
            <v>0</v>
          </cell>
        </row>
        <row r="97">
          <cell r="B97">
            <v>552696318</v>
          </cell>
          <cell r="C97" t="str">
            <v>THYSSEN</v>
          </cell>
          <cell r="D97" t="str">
            <v>Eixo Primário 17Ni (FIAPE 1967)
19/44</v>
          </cell>
          <cell r="E9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4C7E-80AF-458B-9CA0-AEFE75EA7AA5}">
  <sheetPr>
    <tabColor rgb="FFFFFF00"/>
    <outlinePr summaryBelow="0" summaryRight="0"/>
    <pageSetUpPr fitToPage="1"/>
  </sheetPr>
  <dimension ref="A1:N1009"/>
  <sheetViews>
    <sheetView showGridLines="0" zoomScale="85" zoomScaleNormal="85" workbookViewId="0">
      <pane ySplit="3" topLeftCell="A703" activePane="bottomLeft" state="frozen"/>
      <selection activeCell="B1" sqref="B1"/>
      <selection pane="bottomLeft" activeCell="B1" sqref="B1"/>
    </sheetView>
  </sheetViews>
  <sheetFormatPr defaultColWidth="12.54296875" defaultRowHeight="15.75" customHeight="1" x14ac:dyDescent="0.4"/>
  <cols>
    <col min="1" max="1" width="12" style="3" customWidth="1"/>
    <col min="2" max="2" width="49.81640625" style="3" bestFit="1" customWidth="1"/>
    <col min="3" max="3" width="12.54296875" style="3" customWidth="1"/>
    <col min="4" max="4" width="19.453125" style="3" customWidth="1"/>
    <col min="5" max="5" width="12" style="69" customWidth="1"/>
    <col min="6" max="6" width="62" style="3" customWidth="1"/>
    <col min="7" max="7" width="20.7265625" style="3" customWidth="1"/>
    <col min="8" max="11" width="19.26953125" style="3" customWidth="1"/>
    <col min="12" max="13" width="12.81640625" style="3" bestFit="1" customWidth="1"/>
    <col min="14" max="14" width="34" style="3" customWidth="1"/>
    <col min="15" max="16384" width="12.54296875" style="3"/>
  </cols>
  <sheetData>
    <row r="1" spans="1:11" ht="12" customHeight="1" x14ac:dyDescent="0.4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1" ht="53.25" customHeight="1" x14ac:dyDescent="0.4">
      <c r="A2" s="114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4"/>
    </row>
    <row r="3" spans="1:11" ht="36" x14ac:dyDescent="0.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</row>
    <row r="4" spans="1:11" ht="18" x14ac:dyDescent="0.4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f ca="1">J4+1+1</f>
        <v>46120</v>
      </c>
      <c r="J4" s="11">
        <f t="shared" ref="J4:J258" ca="1" si="1">TODAY()</f>
        <v>46118</v>
      </c>
      <c r="K4" s="13"/>
    </row>
    <row r="5" spans="1:11" ht="18" x14ac:dyDescent="0.4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f ca="1">I4</f>
        <v>46120</v>
      </c>
      <c r="J5" s="11">
        <f t="shared" ca="1" si="1"/>
        <v>46118</v>
      </c>
      <c r="K5" s="13"/>
    </row>
    <row r="6" spans="1:11" ht="18" x14ac:dyDescent="0.4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f t="shared" ref="I6:I69" ca="1" si="2">I5</f>
        <v>46120</v>
      </c>
      <c r="J6" s="11">
        <f t="shared" ca="1" si="1"/>
        <v>46118</v>
      </c>
      <c r="K6" s="13"/>
    </row>
    <row r="7" spans="1:11" ht="18" x14ac:dyDescent="0.4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f t="shared" ca="1" si="2"/>
        <v>46120</v>
      </c>
      <c r="J7" s="11">
        <f t="shared" ca="1" si="1"/>
        <v>46118</v>
      </c>
      <c r="K7" s="13"/>
    </row>
    <row r="8" spans="1:11" ht="18" x14ac:dyDescent="0.4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f t="shared" ca="1" si="2"/>
        <v>46120</v>
      </c>
      <c r="J8" s="11">
        <f t="shared" ca="1" si="1"/>
        <v>46118</v>
      </c>
      <c r="K8" s="13"/>
    </row>
    <row r="9" spans="1:11" ht="18" x14ac:dyDescent="0.4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f t="shared" ca="1" si="2"/>
        <v>46120</v>
      </c>
      <c r="J9" s="11">
        <f t="shared" ca="1" si="1"/>
        <v>46118</v>
      </c>
      <c r="K9" s="13"/>
    </row>
    <row r="10" spans="1:11" ht="18" x14ac:dyDescent="0.4">
      <c r="A10" s="57" t="s">
        <v>0</v>
      </c>
      <c r="B10" s="57" t="s">
        <v>22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f t="shared" ca="1" si="2"/>
        <v>46120</v>
      </c>
      <c r="J10" s="11">
        <f t="shared" ca="1" si="1"/>
        <v>46118</v>
      </c>
      <c r="K10" s="13"/>
    </row>
    <row r="11" spans="1:11" ht="18" x14ac:dyDescent="0.4">
      <c r="A11" s="57" t="s">
        <v>0</v>
      </c>
      <c r="B11" s="57" t="s">
        <v>22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f t="shared" ca="1" si="2"/>
        <v>46120</v>
      </c>
      <c r="J11" s="11">
        <f t="shared" ca="1" si="1"/>
        <v>46118</v>
      </c>
      <c r="K11" s="13"/>
    </row>
    <row r="12" spans="1:11" ht="18" x14ac:dyDescent="0.4">
      <c r="A12" s="57" t="s">
        <v>0</v>
      </c>
      <c r="B12" s="57" t="s">
        <v>22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f t="shared" ca="1" si="2"/>
        <v>46120</v>
      </c>
      <c r="J12" s="11">
        <f t="shared" ca="1" si="1"/>
        <v>46118</v>
      </c>
      <c r="K12" s="13"/>
    </row>
    <row r="13" spans="1:11" ht="18" x14ac:dyDescent="0.4">
      <c r="A13" s="57" t="s">
        <v>0</v>
      </c>
      <c r="B13" s="57" t="s">
        <v>22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f t="shared" ca="1" si="2"/>
        <v>46120</v>
      </c>
      <c r="J13" s="11">
        <f t="shared" ca="1" si="1"/>
        <v>46118</v>
      </c>
      <c r="K13" s="13"/>
    </row>
    <row r="14" spans="1:11" ht="18" x14ac:dyDescent="0.4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f t="shared" ca="1" si="2"/>
        <v>46120</v>
      </c>
      <c r="J14" s="11">
        <f t="shared" ca="1" si="1"/>
        <v>46118</v>
      </c>
      <c r="K14" s="13"/>
    </row>
    <row r="15" spans="1:11" ht="18" x14ac:dyDescent="0.4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f t="shared" ca="1" si="2"/>
        <v>46120</v>
      </c>
      <c r="J15" s="11">
        <f t="shared" ca="1" si="1"/>
        <v>46118</v>
      </c>
      <c r="K15" s="13"/>
    </row>
    <row r="16" spans="1:11" ht="18" x14ac:dyDescent="0.4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f t="shared" ca="1" si="2"/>
        <v>46120</v>
      </c>
      <c r="J16" s="11">
        <f t="shared" ca="1" si="1"/>
        <v>46118</v>
      </c>
      <c r="K16" s="13"/>
    </row>
    <row r="17" spans="1:11" ht="18" x14ac:dyDescent="0.4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f t="shared" ca="1" si="2"/>
        <v>46120</v>
      </c>
      <c r="J17" s="53">
        <f t="shared" ca="1" si="1"/>
        <v>46118</v>
      </c>
      <c r="K17" s="21"/>
    </row>
    <row r="18" spans="1:11" ht="18" x14ac:dyDescent="0.4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f t="shared" ca="1" si="2"/>
        <v>46120</v>
      </c>
      <c r="J18" s="53">
        <f t="shared" ca="1" si="1"/>
        <v>46118</v>
      </c>
      <c r="K18" s="21"/>
    </row>
    <row r="19" spans="1:11" ht="18" x14ac:dyDescent="0.4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f t="shared" ca="1" si="2"/>
        <v>46120</v>
      </c>
      <c r="J19" s="53">
        <f t="shared" ca="1" si="1"/>
        <v>46118</v>
      </c>
      <c r="K19" s="21"/>
    </row>
    <row r="20" spans="1:11" ht="18" x14ac:dyDescent="0.4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f t="shared" ca="1" si="2"/>
        <v>46120</v>
      </c>
      <c r="J20" s="53">
        <f t="shared" ca="1" si="1"/>
        <v>46118</v>
      </c>
      <c r="K20" s="21"/>
    </row>
    <row r="21" spans="1:11" ht="18" x14ac:dyDescent="0.4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f t="shared" ca="1" si="2"/>
        <v>46120</v>
      </c>
      <c r="J21" s="53">
        <f t="shared" ca="1" si="1"/>
        <v>46118</v>
      </c>
      <c r="K21" s="21"/>
    </row>
    <row r="22" spans="1:11" ht="18" x14ac:dyDescent="0.4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f t="shared" ca="1" si="2"/>
        <v>46120</v>
      </c>
      <c r="J22" s="53">
        <f t="shared" ca="1" si="1"/>
        <v>46118</v>
      </c>
      <c r="K22" s="21"/>
    </row>
    <row r="23" spans="1:11" ht="18" x14ac:dyDescent="0.4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f t="shared" ca="1" si="2"/>
        <v>46120</v>
      </c>
      <c r="J23" s="53">
        <f t="shared" ca="1" si="1"/>
        <v>46118</v>
      </c>
      <c r="K23" s="21"/>
    </row>
    <row r="24" spans="1:11" ht="18" x14ac:dyDescent="0.4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f t="shared" ca="1" si="2"/>
        <v>46120</v>
      </c>
      <c r="J24" s="53">
        <f t="shared" ca="1" si="1"/>
        <v>46118</v>
      </c>
      <c r="K24" s="21"/>
    </row>
    <row r="25" spans="1:11" ht="18" x14ac:dyDescent="0.4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f t="shared" ca="1" si="2"/>
        <v>46120</v>
      </c>
      <c r="J25" s="53">
        <f t="shared" ca="1" si="1"/>
        <v>46118</v>
      </c>
      <c r="K25" s="7"/>
    </row>
    <row r="26" spans="1:11" ht="18" x14ac:dyDescent="0.4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f t="shared" ca="1" si="2"/>
        <v>46120</v>
      </c>
      <c r="J26" s="53">
        <f t="shared" ca="1" si="1"/>
        <v>46118</v>
      </c>
      <c r="K26" s="21"/>
    </row>
    <row r="27" spans="1:11" ht="18" x14ac:dyDescent="0.4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f t="shared" ca="1" si="2"/>
        <v>46120</v>
      </c>
      <c r="J27" s="53">
        <f t="shared" ca="1" si="1"/>
        <v>46118</v>
      </c>
      <c r="K27" s="21"/>
    </row>
    <row r="28" spans="1:11" ht="18" x14ac:dyDescent="0.4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f t="shared" ca="1" si="2"/>
        <v>46120</v>
      </c>
      <c r="J28" s="53">
        <f t="shared" ca="1" si="1"/>
        <v>46118</v>
      </c>
      <c r="K28" s="21"/>
    </row>
    <row r="29" spans="1:11" ht="18" x14ac:dyDescent="0.4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f t="shared" ca="1" si="2"/>
        <v>46120</v>
      </c>
      <c r="J29" s="53">
        <f t="shared" ca="1" si="1"/>
        <v>46118</v>
      </c>
      <c r="K29" s="21"/>
    </row>
    <row r="30" spans="1:11" ht="18" x14ac:dyDescent="0.4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f t="shared" ca="1" si="2"/>
        <v>46120</v>
      </c>
      <c r="J30" s="53">
        <f t="shared" ca="1" si="1"/>
        <v>46118</v>
      </c>
      <c r="K30" s="21"/>
    </row>
    <row r="31" spans="1:11" ht="18" x14ac:dyDescent="0.4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f t="shared" ca="1" si="2"/>
        <v>46120</v>
      </c>
      <c r="J31" s="11">
        <f t="shared" ca="1" si="1"/>
        <v>46118</v>
      </c>
      <c r="K31" s="13"/>
    </row>
    <row r="32" spans="1:11" ht="18" x14ac:dyDescent="0.4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f t="shared" ca="1" si="2"/>
        <v>46120</v>
      </c>
      <c r="J32" s="11">
        <f t="shared" ca="1" si="1"/>
        <v>46118</v>
      </c>
      <c r="K32" s="13"/>
    </row>
    <row r="33" spans="1:11" ht="18" x14ac:dyDescent="0.4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f t="shared" ca="1" si="2"/>
        <v>46120</v>
      </c>
      <c r="J33" s="11">
        <f t="shared" ca="1" si="1"/>
        <v>46118</v>
      </c>
      <c r="K33" s="13"/>
    </row>
    <row r="34" spans="1:11" ht="18" x14ac:dyDescent="0.4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f ca="1">I33</f>
        <v>46120</v>
      </c>
      <c r="J34" s="53">
        <f t="shared" ca="1" si="1"/>
        <v>46118</v>
      </c>
      <c r="K34" s="21"/>
    </row>
    <row r="35" spans="1:11" ht="18" x14ac:dyDescent="0.4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f ca="1">I34</f>
        <v>46120</v>
      </c>
      <c r="J35" s="53">
        <f t="shared" ca="1" si="1"/>
        <v>46118</v>
      </c>
      <c r="K35" s="21"/>
    </row>
    <row r="36" spans="1:11" ht="18" x14ac:dyDescent="0.4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f ca="1">I35</f>
        <v>46120</v>
      </c>
      <c r="J36" s="53">
        <f t="shared" ca="1" si="1"/>
        <v>46118</v>
      </c>
      <c r="K36" s="21"/>
    </row>
    <row r="37" spans="1:11" ht="15.75" customHeight="1" x14ac:dyDescent="0.4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f t="shared" ca="1" si="2"/>
        <v>46120</v>
      </c>
      <c r="J37" s="53">
        <f t="shared" ca="1" si="1"/>
        <v>46118</v>
      </c>
      <c r="K37" s="21"/>
    </row>
    <row r="38" spans="1:11" ht="18" x14ac:dyDescent="0.4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f t="shared" ca="1" si="2"/>
        <v>46120</v>
      </c>
      <c r="J38" s="53">
        <f t="shared" ca="1" si="1"/>
        <v>46118</v>
      </c>
      <c r="K38" s="7"/>
    </row>
    <row r="39" spans="1:11" ht="18" x14ac:dyDescent="0.4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f t="shared" ca="1" si="2"/>
        <v>46120</v>
      </c>
      <c r="J39" s="53">
        <f t="shared" ca="1" si="1"/>
        <v>46118</v>
      </c>
      <c r="K39" s="21"/>
    </row>
    <row r="40" spans="1:11" ht="18" x14ac:dyDescent="0.4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f t="shared" ca="1" si="2"/>
        <v>46120</v>
      </c>
      <c r="J40" s="53">
        <f t="shared" ca="1" si="1"/>
        <v>46118</v>
      </c>
      <c r="K40" s="21"/>
    </row>
    <row r="41" spans="1:11" ht="18" x14ac:dyDescent="0.4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f t="shared" ca="1" si="2"/>
        <v>46120</v>
      </c>
      <c r="J41" s="53">
        <f t="shared" ca="1" si="1"/>
        <v>46118</v>
      </c>
      <c r="K41" s="21"/>
    </row>
    <row r="42" spans="1:11" ht="18" x14ac:dyDescent="0.4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f t="shared" ca="1" si="2"/>
        <v>46120</v>
      </c>
      <c r="J42" s="53">
        <f t="shared" ca="1" si="1"/>
        <v>46118</v>
      </c>
      <c r="K42" s="21"/>
    </row>
    <row r="43" spans="1:11" ht="18" x14ac:dyDescent="0.4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f t="shared" ca="1" si="2"/>
        <v>46120</v>
      </c>
      <c r="J43" s="53">
        <f t="shared" ca="1" si="1"/>
        <v>46118</v>
      </c>
      <c r="K43" s="21"/>
    </row>
    <row r="44" spans="1:11" ht="18" x14ac:dyDescent="0.4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f t="shared" ca="1" si="2"/>
        <v>46120</v>
      </c>
      <c r="J44" s="11">
        <f t="shared" ca="1" si="1"/>
        <v>46118</v>
      </c>
      <c r="K44" s="13"/>
    </row>
    <row r="45" spans="1:11" ht="18" x14ac:dyDescent="0.4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f t="shared" ca="1" si="2"/>
        <v>46120</v>
      </c>
      <c r="J45" s="11">
        <f t="shared" ca="1" si="1"/>
        <v>46118</v>
      </c>
      <c r="K45" s="13"/>
    </row>
    <row r="46" spans="1:11" ht="18" x14ac:dyDescent="0.4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f t="shared" ca="1" si="2"/>
        <v>46120</v>
      </c>
      <c r="J46" s="11">
        <f t="shared" ca="1" si="1"/>
        <v>46118</v>
      </c>
      <c r="K46" s="13"/>
    </row>
    <row r="47" spans="1:11" ht="18" x14ac:dyDescent="0.4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f t="shared" ca="1" si="2"/>
        <v>46120</v>
      </c>
      <c r="J47" s="11">
        <f t="shared" ca="1" si="1"/>
        <v>46118</v>
      </c>
      <c r="K47" s="13"/>
    </row>
    <row r="48" spans="1:11" ht="18" x14ac:dyDescent="0.4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f t="shared" ca="1" si="2"/>
        <v>46120</v>
      </c>
      <c r="J48" s="53">
        <f t="shared" ca="1" si="1"/>
        <v>46118</v>
      </c>
      <c r="K48" s="54"/>
    </row>
    <row r="49" spans="1:11" ht="18" x14ac:dyDescent="0.4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f t="shared" ca="1" si="2"/>
        <v>46120</v>
      </c>
      <c r="J49" s="53">
        <f t="shared" ca="1" si="1"/>
        <v>46118</v>
      </c>
      <c r="K49" s="21"/>
    </row>
    <row r="50" spans="1:11" ht="18" x14ac:dyDescent="0.4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f t="shared" ca="1" si="2"/>
        <v>46120</v>
      </c>
      <c r="J50" s="53">
        <f t="shared" ca="1" si="1"/>
        <v>46118</v>
      </c>
      <c r="K50" s="21"/>
    </row>
    <row r="51" spans="1:11" ht="18" x14ac:dyDescent="0.4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f t="shared" ca="1" si="2"/>
        <v>46120</v>
      </c>
      <c r="J51" s="53">
        <f t="shared" ca="1" si="1"/>
        <v>46118</v>
      </c>
      <c r="K51" s="7"/>
    </row>
    <row r="52" spans="1:11" ht="18" x14ac:dyDescent="0.4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f t="shared" ca="1" si="2"/>
        <v>46120</v>
      </c>
      <c r="J52" s="11">
        <f t="shared" ca="1" si="1"/>
        <v>46118</v>
      </c>
      <c r="K52" s="13"/>
    </row>
    <row r="53" spans="1:11" ht="18" x14ac:dyDescent="0.4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f t="shared" ca="1" si="2"/>
        <v>46120</v>
      </c>
      <c r="J53" s="11">
        <f t="shared" ca="1" si="1"/>
        <v>46118</v>
      </c>
      <c r="K53" s="13"/>
    </row>
    <row r="54" spans="1:11" ht="18" x14ac:dyDescent="0.4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f t="shared" ca="1" si="2"/>
        <v>46120</v>
      </c>
      <c r="J54" s="11">
        <f t="shared" ca="1" si="1"/>
        <v>46118</v>
      </c>
      <c r="K54" s="13"/>
    </row>
    <row r="55" spans="1:11" ht="18" x14ac:dyDescent="0.4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f t="shared" ca="1" si="2"/>
        <v>46120</v>
      </c>
      <c r="J55" s="11">
        <f t="shared" ca="1" si="1"/>
        <v>46118</v>
      </c>
      <c r="K55" s="13"/>
    </row>
    <row r="56" spans="1:11" ht="18" x14ac:dyDescent="0.4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f t="shared" ca="1" si="2"/>
        <v>46120</v>
      </c>
      <c r="J56" s="11">
        <f t="shared" ca="1" si="1"/>
        <v>46118</v>
      </c>
      <c r="K56" s="13"/>
    </row>
    <row r="57" spans="1:11" ht="18" x14ac:dyDescent="0.4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f t="shared" ca="1" si="2"/>
        <v>46120</v>
      </c>
      <c r="J57" s="53">
        <f t="shared" ca="1" si="1"/>
        <v>46118</v>
      </c>
      <c r="K57" s="21"/>
    </row>
    <row r="58" spans="1:11" ht="18" x14ac:dyDescent="0.4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f t="shared" ca="1" si="2"/>
        <v>46120</v>
      </c>
      <c r="J58" s="53">
        <f t="shared" ca="1" si="1"/>
        <v>46118</v>
      </c>
      <c r="K58" s="21"/>
    </row>
    <row r="59" spans="1:11" ht="18" x14ac:dyDescent="0.4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f t="shared" ca="1" si="2"/>
        <v>46120</v>
      </c>
      <c r="J59" s="53">
        <f t="shared" ca="1" si="1"/>
        <v>46118</v>
      </c>
      <c r="K59" s="7"/>
    </row>
    <row r="60" spans="1:11" ht="18" x14ac:dyDescent="0.4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f t="shared" ca="1" si="2"/>
        <v>46120</v>
      </c>
      <c r="J60" s="11">
        <f t="shared" ca="1" si="1"/>
        <v>46118</v>
      </c>
      <c r="K60" s="13"/>
    </row>
    <row r="61" spans="1:11" ht="18" x14ac:dyDescent="0.4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f t="shared" ca="1" si="2"/>
        <v>46120</v>
      </c>
      <c r="J61" s="11">
        <f t="shared" ca="1" si="1"/>
        <v>46118</v>
      </c>
      <c r="K61" s="13"/>
    </row>
    <row r="62" spans="1:11" ht="18" x14ac:dyDescent="0.4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f t="shared" ca="1" si="2"/>
        <v>46120</v>
      </c>
      <c r="J62" s="11">
        <f t="shared" ca="1" si="1"/>
        <v>46118</v>
      </c>
      <c r="K62" s="13"/>
    </row>
    <row r="63" spans="1:11" ht="18" x14ac:dyDescent="0.4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f t="shared" ca="1" si="2"/>
        <v>46120</v>
      </c>
      <c r="J63" s="53">
        <f t="shared" ca="1" si="1"/>
        <v>46118</v>
      </c>
      <c r="K63" s="21"/>
    </row>
    <row r="64" spans="1:11" ht="18" x14ac:dyDescent="0.4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f t="shared" ca="1" si="2"/>
        <v>46120</v>
      </c>
      <c r="J64" s="53">
        <f t="shared" ca="1" si="1"/>
        <v>46118</v>
      </c>
      <c r="K64" s="21"/>
    </row>
    <row r="65" spans="1:11" ht="18" x14ac:dyDescent="0.4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f t="shared" ca="1" si="2"/>
        <v>46120</v>
      </c>
      <c r="J65" s="53">
        <f t="shared" ca="1" si="1"/>
        <v>46118</v>
      </c>
      <c r="K65" s="21"/>
    </row>
    <row r="66" spans="1:11" ht="18" x14ac:dyDescent="0.4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f t="shared" ca="1" si="2"/>
        <v>46120</v>
      </c>
      <c r="J66" s="53">
        <f t="shared" ca="1" si="1"/>
        <v>46118</v>
      </c>
      <c r="K66" s="21"/>
    </row>
    <row r="67" spans="1:11" ht="18" x14ac:dyDescent="0.4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f t="shared" ca="1" si="2"/>
        <v>46120</v>
      </c>
      <c r="J67" s="11">
        <f t="shared" ca="1" si="1"/>
        <v>46118</v>
      </c>
      <c r="K67" s="13"/>
    </row>
    <row r="68" spans="1:11" ht="18" x14ac:dyDescent="0.4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1" si="3">+G68/E68</f>
        <v>0</v>
      </c>
      <c r="I68" s="53">
        <f t="shared" ca="1" si="2"/>
        <v>46120</v>
      </c>
      <c r="J68" s="53">
        <f t="shared" ca="1" si="1"/>
        <v>46118</v>
      </c>
      <c r="K68" s="21"/>
    </row>
    <row r="69" spans="1:11" ht="18" x14ac:dyDescent="0.4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3"/>
        <v>0</v>
      </c>
      <c r="I69" s="53">
        <f t="shared" ca="1" si="2"/>
        <v>46120</v>
      </c>
      <c r="J69" s="53">
        <f t="shared" ca="1" si="1"/>
        <v>46118</v>
      </c>
      <c r="K69" s="21"/>
    </row>
    <row r="70" spans="1:11" ht="18" x14ac:dyDescent="0.4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3"/>
        <v>0</v>
      </c>
      <c r="I70" s="53">
        <f t="shared" ref="I70:I104" ca="1" si="4">I69</f>
        <v>46120</v>
      </c>
      <c r="J70" s="53">
        <f t="shared" ca="1" si="1"/>
        <v>46118</v>
      </c>
      <c r="K70" s="21"/>
    </row>
    <row r="71" spans="1:11" ht="18" x14ac:dyDescent="0.4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3"/>
        <v>0</v>
      </c>
      <c r="I71" s="53">
        <f t="shared" ca="1" si="4"/>
        <v>46120</v>
      </c>
      <c r="J71" s="53">
        <f t="shared" ca="1" si="1"/>
        <v>46118</v>
      </c>
      <c r="K71" s="21"/>
    </row>
    <row r="72" spans="1:11" ht="18" x14ac:dyDescent="0.4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3"/>
        <v>0</v>
      </c>
      <c r="I72" s="53">
        <f t="shared" ca="1" si="4"/>
        <v>46120</v>
      </c>
      <c r="J72" s="53">
        <f t="shared" ca="1" si="1"/>
        <v>46118</v>
      </c>
      <c r="K72" s="21"/>
    </row>
    <row r="73" spans="1:11" ht="18" x14ac:dyDescent="0.4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3"/>
        <v>0</v>
      </c>
      <c r="I73" s="53">
        <f t="shared" ca="1" si="4"/>
        <v>46120</v>
      </c>
      <c r="J73" s="53">
        <f t="shared" ca="1" si="1"/>
        <v>46118</v>
      </c>
      <c r="K73" s="21"/>
    </row>
    <row r="74" spans="1:11" ht="18" x14ac:dyDescent="0.4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3"/>
        <v>0</v>
      </c>
      <c r="I74" s="53">
        <f t="shared" ca="1" si="4"/>
        <v>46120</v>
      </c>
      <c r="J74" s="53">
        <f t="shared" ca="1" si="1"/>
        <v>46118</v>
      </c>
      <c r="K74" s="21"/>
    </row>
    <row r="75" spans="1:11" ht="18" x14ac:dyDescent="0.4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3"/>
        <v>0</v>
      </c>
      <c r="I75" s="53">
        <f t="shared" ca="1" si="4"/>
        <v>46120</v>
      </c>
      <c r="J75" s="53">
        <f t="shared" ca="1" si="1"/>
        <v>46118</v>
      </c>
      <c r="K75" s="21"/>
    </row>
    <row r="76" spans="1:11" ht="18" x14ac:dyDescent="0.4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3"/>
        <v>0</v>
      </c>
      <c r="I76" s="53">
        <f t="shared" ca="1" si="4"/>
        <v>46120</v>
      </c>
      <c r="J76" s="53">
        <f t="shared" ca="1" si="1"/>
        <v>46118</v>
      </c>
      <c r="K76" s="21"/>
    </row>
    <row r="77" spans="1:11" ht="18" x14ac:dyDescent="0.4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400</v>
      </c>
      <c r="H77" s="70">
        <f t="shared" si="3"/>
        <v>5</v>
      </c>
      <c r="I77" s="53">
        <f t="shared" ca="1" si="4"/>
        <v>46120</v>
      </c>
      <c r="J77" s="53">
        <f t="shared" ca="1" si="1"/>
        <v>46118</v>
      </c>
      <c r="K77" s="21"/>
    </row>
    <row r="78" spans="1:11" ht="18" x14ac:dyDescent="0.4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3"/>
        <v>0</v>
      </c>
      <c r="I78" s="53">
        <f t="shared" ca="1" si="4"/>
        <v>46120</v>
      </c>
      <c r="J78" s="53">
        <f t="shared" ca="1" si="1"/>
        <v>46118</v>
      </c>
      <c r="K78" s="21"/>
    </row>
    <row r="79" spans="1:11" ht="18" x14ac:dyDescent="0.4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3"/>
        <v>0</v>
      </c>
      <c r="I79" s="53">
        <f t="shared" ca="1" si="4"/>
        <v>46120</v>
      </c>
      <c r="J79" s="53">
        <f t="shared" ca="1" si="1"/>
        <v>46118</v>
      </c>
      <c r="K79" s="21"/>
    </row>
    <row r="80" spans="1:11" ht="18" x14ac:dyDescent="0.4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3"/>
        <v>0</v>
      </c>
      <c r="I80" s="53">
        <f t="shared" ca="1" si="4"/>
        <v>46120</v>
      </c>
      <c r="J80" s="53">
        <f t="shared" ca="1" si="1"/>
        <v>46118</v>
      </c>
      <c r="K80" s="21"/>
    </row>
    <row r="81" spans="1:11" ht="18" x14ac:dyDescent="0.4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3"/>
        <v>0</v>
      </c>
      <c r="I81" s="53">
        <f t="shared" ca="1" si="4"/>
        <v>46120</v>
      </c>
      <c r="J81" s="53">
        <f t="shared" ca="1" si="1"/>
        <v>46118</v>
      </c>
      <c r="K81" s="21"/>
    </row>
    <row r="82" spans="1:11" ht="18" x14ac:dyDescent="0.4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3"/>
        <v>0</v>
      </c>
      <c r="I82" s="53">
        <f t="shared" ca="1" si="4"/>
        <v>46120</v>
      </c>
      <c r="J82" s="53">
        <f t="shared" ca="1" si="1"/>
        <v>46118</v>
      </c>
      <c r="K82" s="21"/>
    </row>
    <row r="83" spans="1:11" ht="18" x14ac:dyDescent="0.4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3"/>
        <v>0</v>
      </c>
      <c r="I83" s="53">
        <f t="shared" ca="1" si="4"/>
        <v>46120</v>
      </c>
      <c r="J83" s="53">
        <f t="shared" ca="1" si="1"/>
        <v>46118</v>
      </c>
      <c r="K83" s="21"/>
    </row>
    <row r="84" spans="1:11" ht="18" x14ac:dyDescent="0.4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3"/>
        <v>0</v>
      </c>
      <c r="I84" s="55">
        <f t="shared" ca="1" si="4"/>
        <v>46120</v>
      </c>
      <c r="J84" s="55">
        <f t="shared" ca="1" si="1"/>
        <v>46118</v>
      </c>
      <c r="K84" s="56"/>
    </row>
    <row r="85" spans="1:11" ht="18" x14ac:dyDescent="0.4">
      <c r="A85" s="7" t="s">
        <v>98</v>
      </c>
      <c r="B85" s="85" t="s">
        <v>99</v>
      </c>
      <c r="C85" s="8">
        <v>1097</v>
      </c>
      <c r="D85" s="9">
        <v>463545590</v>
      </c>
      <c r="E85" s="57">
        <v>24</v>
      </c>
      <c r="F85" s="10" t="s">
        <v>100</v>
      </c>
      <c r="G85" s="88">
        <v>0</v>
      </c>
      <c r="H85" s="70">
        <f t="shared" si="3"/>
        <v>0</v>
      </c>
      <c r="I85" s="11">
        <f t="shared" ca="1" si="4"/>
        <v>46120</v>
      </c>
      <c r="J85" s="11">
        <f t="shared" ca="1" si="1"/>
        <v>46118</v>
      </c>
      <c r="K85" s="13"/>
    </row>
    <row r="86" spans="1:11" ht="18" x14ac:dyDescent="0.4">
      <c r="A86" s="7" t="s">
        <v>98</v>
      </c>
      <c r="B86" s="86" t="s">
        <v>99</v>
      </c>
      <c r="C86" s="8">
        <v>1097</v>
      </c>
      <c r="D86" s="9">
        <v>463556360</v>
      </c>
      <c r="E86" s="57">
        <v>24</v>
      </c>
      <c r="F86" s="10" t="s">
        <v>101</v>
      </c>
      <c r="G86" s="88">
        <v>480</v>
      </c>
      <c r="H86" s="70">
        <f t="shared" si="3"/>
        <v>20</v>
      </c>
      <c r="I86" s="11">
        <f t="shared" ca="1" si="4"/>
        <v>46120</v>
      </c>
      <c r="J86" s="11">
        <f t="shared" ca="1" si="1"/>
        <v>46118</v>
      </c>
      <c r="K86" s="13"/>
    </row>
    <row r="87" spans="1:11" ht="18" x14ac:dyDescent="0.4">
      <c r="A87" s="7" t="s">
        <v>98</v>
      </c>
      <c r="B87" s="86" t="s">
        <v>99</v>
      </c>
      <c r="C87" s="8">
        <v>1097</v>
      </c>
      <c r="D87" s="9">
        <v>463504300</v>
      </c>
      <c r="E87" s="57">
        <v>24</v>
      </c>
      <c r="F87" s="10" t="s">
        <v>102</v>
      </c>
      <c r="G87" s="88">
        <v>480</v>
      </c>
      <c r="H87" s="70">
        <f t="shared" si="3"/>
        <v>20</v>
      </c>
      <c r="I87" s="11">
        <f t="shared" ca="1" si="4"/>
        <v>46120</v>
      </c>
      <c r="J87" s="11">
        <f t="shared" ca="1" si="1"/>
        <v>46118</v>
      </c>
      <c r="K87" s="13"/>
    </row>
    <row r="88" spans="1:11" ht="18" x14ac:dyDescent="0.4">
      <c r="A88" s="7" t="s">
        <v>98</v>
      </c>
      <c r="B88" s="85" t="s">
        <v>99</v>
      </c>
      <c r="C88" s="8">
        <v>1097</v>
      </c>
      <c r="D88" s="9">
        <v>463563840</v>
      </c>
      <c r="E88" s="57">
        <v>24</v>
      </c>
      <c r="F88" s="10" t="s">
        <v>103</v>
      </c>
      <c r="G88" s="88">
        <v>0</v>
      </c>
      <c r="H88" s="70">
        <f t="shared" si="3"/>
        <v>0</v>
      </c>
      <c r="I88" s="11">
        <f t="shared" ca="1" si="4"/>
        <v>46120</v>
      </c>
      <c r="J88" s="11">
        <f t="shared" ca="1" si="1"/>
        <v>46118</v>
      </c>
      <c r="K88" s="13"/>
    </row>
    <row r="89" spans="1:11" ht="18" x14ac:dyDescent="0.4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104</v>
      </c>
      <c r="G89" s="88">
        <v>0</v>
      </c>
      <c r="H89" s="70">
        <f t="shared" si="3"/>
        <v>0</v>
      </c>
      <c r="I89" s="11">
        <f t="shared" ca="1" si="4"/>
        <v>46120</v>
      </c>
      <c r="J89" s="11">
        <f t="shared" ca="1" si="1"/>
        <v>46118</v>
      </c>
      <c r="K89" s="13"/>
    </row>
    <row r="90" spans="1:11" ht="18" x14ac:dyDescent="0.4">
      <c r="A90" s="7" t="s">
        <v>98</v>
      </c>
      <c r="B90" s="85" t="s">
        <v>99</v>
      </c>
      <c r="C90" s="8">
        <v>1097</v>
      </c>
      <c r="D90" s="9">
        <v>463536600</v>
      </c>
      <c r="E90" s="57">
        <v>24</v>
      </c>
      <c r="F90" s="10" t="s">
        <v>104</v>
      </c>
      <c r="G90" s="88">
        <v>0</v>
      </c>
      <c r="H90" s="70">
        <f t="shared" si="3"/>
        <v>0</v>
      </c>
      <c r="I90" s="11">
        <f t="shared" ca="1" si="4"/>
        <v>46120</v>
      </c>
      <c r="J90" s="11">
        <f t="shared" ca="1" si="1"/>
        <v>46118</v>
      </c>
      <c r="K90" s="13"/>
    </row>
    <row r="91" spans="1:11" ht="18" x14ac:dyDescent="0.4">
      <c r="A91" s="7" t="s">
        <v>98</v>
      </c>
      <c r="B91" s="85" t="s">
        <v>99</v>
      </c>
      <c r="C91" s="8">
        <v>1097</v>
      </c>
      <c r="D91" s="9">
        <v>463577580</v>
      </c>
      <c r="E91" s="57">
        <v>60</v>
      </c>
      <c r="F91" s="10" t="s">
        <v>105</v>
      </c>
      <c r="G91" s="88">
        <v>96</v>
      </c>
      <c r="H91" s="70">
        <f t="shared" si="3"/>
        <v>1.6</v>
      </c>
      <c r="I91" s="11">
        <f t="shared" ca="1" si="4"/>
        <v>46120</v>
      </c>
      <c r="J91" s="11">
        <f t="shared" ca="1" si="1"/>
        <v>46118</v>
      </c>
      <c r="K91" s="13"/>
    </row>
    <row r="92" spans="1:11" ht="18" x14ac:dyDescent="0.4">
      <c r="A92" s="7" t="s">
        <v>98</v>
      </c>
      <c r="B92" s="85" t="s">
        <v>99</v>
      </c>
      <c r="C92" s="8">
        <v>1097</v>
      </c>
      <c r="D92" s="9">
        <v>463571360</v>
      </c>
      <c r="E92" s="57">
        <v>60</v>
      </c>
      <c r="F92" s="10" t="s">
        <v>106</v>
      </c>
      <c r="G92" s="88">
        <v>1380</v>
      </c>
      <c r="H92" s="70">
        <f t="shared" si="3"/>
        <v>23</v>
      </c>
      <c r="I92" s="11">
        <f t="shared" ca="1" si="4"/>
        <v>46120</v>
      </c>
      <c r="J92" s="11">
        <f t="shared" ca="1" si="1"/>
        <v>46118</v>
      </c>
      <c r="K92" s="13"/>
    </row>
    <row r="93" spans="1:11" ht="18" x14ac:dyDescent="0.4">
      <c r="A93" s="7" t="s">
        <v>98</v>
      </c>
      <c r="B93" s="85" t="s">
        <v>99</v>
      </c>
      <c r="C93" s="8">
        <v>1099</v>
      </c>
      <c r="D93" s="9">
        <v>463559540</v>
      </c>
      <c r="E93" s="57">
        <v>500</v>
      </c>
      <c r="F93" s="10" t="s">
        <v>107</v>
      </c>
      <c r="G93" s="88">
        <v>0</v>
      </c>
      <c r="H93" s="70">
        <f t="shared" si="3"/>
        <v>0</v>
      </c>
      <c r="I93" s="11">
        <f ca="1">I90</f>
        <v>46120</v>
      </c>
      <c r="J93" s="11">
        <f t="shared" ca="1" si="1"/>
        <v>46118</v>
      </c>
      <c r="K93" s="13"/>
    </row>
    <row r="94" spans="1:11" ht="18" x14ac:dyDescent="0.4">
      <c r="A94" s="7" t="s">
        <v>98</v>
      </c>
      <c r="B94" s="85" t="s">
        <v>99</v>
      </c>
      <c r="C94" s="8">
        <v>1100</v>
      </c>
      <c r="D94" s="9">
        <v>463559530</v>
      </c>
      <c r="E94" s="57">
        <v>500</v>
      </c>
      <c r="F94" s="10" t="s">
        <v>107</v>
      </c>
      <c r="G94" s="88">
        <v>0</v>
      </c>
      <c r="H94" s="70">
        <f t="shared" si="3"/>
        <v>0</v>
      </c>
      <c r="I94" s="11">
        <f t="shared" ca="1" si="4"/>
        <v>46120</v>
      </c>
      <c r="J94" s="11">
        <f t="shared" ca="1" si="1"/>
        <v>46118</v>
      </c>
      <c r="K94" s="13"/>
    </row>
    <row r="95" spans="1:11" ht="18" x14ac:dyDescent="0.4">
      <c r="A95" s="7" t="s">
        <v>98</v>
      </c>
      <c r="B95" s="85" t="s">
        <v>108</v>
      </c>
      <c r="C95" s="8">
        <v>37866</v>
      </c>
      <c r="D95" s="9">
        <v>463535560</v>
      </c>
      <c r="E95" s="57">
        <v>800</v>
      </c>
      <c r="F95" s="10" t="s">
        <v>109</v>
      </c>
      <c r="G95" s="88">
        <v>800</v>
      </c>
      <c r="H95" s="70">
        <f t="shared" si="3"/>
        <v>1</v>
      </c>
      <c r="I95" s="11">
        <f t="shared" ca="1" si="4"/>
        <v>46120</v>
      </c>
      <c r="J95" s="11">
        <f t="shared" ca="1" si="1"/>
        <v>46118</v>
      </c>
      <c r="K95" s="13"/>
    </row>
    <row r="96" spans="1:11" ht="18" x14ac:dyDescent="0.4">
      <c r="A96" s="7" t="s">
        <v>98</v>
      </c>
      <c r="B96" s="85" t="s">
        <v>108</v>
      </c>
      <c r="C96" s="8">
        <v>37866</v>
      </c>
      <c r="D96" s="9">
        <v>463518180</v>
      </c>
      <c r="E96" s="57">
        <v>60</v>
      </c>
      <c r="F96" s="10" t="s">
        <v>110</v>
      </c>
      <c r="G96" s="88">
        <v>420</v>
      </c>
      <c r="H96" s="70">
        <f t="shared" si="3"/>
        <v>7</v>
      </c>
      <c r="I96" s="11">
        <f t="shared" ca="1" si="4"/>
        <v>46120</v>
      </c>
      <c r="J96" s="11">
        <f t="shared" ca="1" si="1"/>
        <v>46118</v>
      </c>
      <c r="K96" s="13"/>
    </row>
    <row r="97" spans="1:11" ht="18" x14ac:dyDescent="0.4">
      <c r="A97" s="7" t="s">
        <v>98</v>
      </c>
      <c r="B97" s="85" t="s">
        <v>108</v>
      </c>
      <c r="C97" s="8">
        <v>37866</v>
      </c>
      <c r="D97" s="9">
        <v>463480050</v>
      </c>
      <c r="E97" s="57">
        <v>800</v>
      </c>
      <c r="F97" s="10" t="s">
        <v>111</v>
      </c>
      <c r="G97" s="88">
        <v>0</v>
      </c>
      <c r="H97" s="70">
        <f t="shared" si="3"/>
        <v>0</v>
      </c>
      <c r="I97" s="11">
        <f t="shared" ca="1" si="4"/>
        <v>46120</v>
      </c>
      <c r="J97" s="11">
        <f t="shared" ca="1" si="1"/>
        <v>46118</v>
      </c>
      <c r="K97" s="13"/>
    </row>
    <row r="98" spans="1:11" ht="18" x14ac:dyDescent="0.4">
      <c r="A98" s="7" t="s">
        <v>98</v>
      </c>
      <c r="B98" s="85" t="s">
        <v>108</v>
      </c>
      <c r="C98" s="8">
        <v>37866</v>
      </c>
      <c r="D98" s="9">
        <v>463479660</v>
      </c>
      <c r="E98" s="57">
        <v>60</v>
      </c>
      <c r="F98" s="10" t="s">
        <v>110</v>
      </c>
      <c r="G98" s="88">
        <v>0</v>
      </c>
      <c r="H98" s="70">
        <f t="shared" si="3"/>
        <v>0</v>
      </c>
      <c r="I98" s="11">
        <f t="shared" ca="1" si="4"/>
        <v>46120</v>
      </c>
      <c r="J98" s="11">
        <f t="shared" ca="1" si="1"/>
        <v>46118</v>
      </c>
      <c r="K98" s="13"/>
    </row>
    <row r="99" spans="1:11" ht="18" x14ac:dyDescent="0.4">
      <c r="A99" s="7" t="s">
        <v>98</v>
      </c>
      <c r="B99" s="85" t="s">
        <v>108</v>
      </c>
      <c r="C99" s="8">
        <v>37866</v>
      </c>
      <c r="D99" s="9">
        <v>463542820</v>
      </c>
      <c r="E99" s="57">
        <v>60</v>
      </c>
      <c r="F99" s="10" t="s">
        <v>112</v>
      </c>
      <c r="G99" s="88">
        <v>0</v>
      </c>
      <c r="H99" s="70">
        <f t="shared" si="3"/>
        <v>0</v>
      </c>
      <c r="I99" s="11">
        <f t="shared" ca="1" si="4"/>
        <v>46120</v>
      </c>
      <c r="J99" s="11">
        <f t="shared" ca="1" si="1"/>
        <v>46118</v>
      </c>
      <c r="K99" s="13"/>
    </row>
    <row r="100" spans="1:11" ht="18" x14ac:dyDescent="0.4">
      <c r="A100" s="7" t="s">
        <v>98</v>
      </c>
      <c r="B100" s="85" t="s">
        <v>108</v>
      </c>
      <c r="C100" s="8">
        <v>37866</v>
      </c>
      <c r="D100" s="9">
        <v>463465610</v>
      </c>
      <c r="E100" s="57">
        <v>800</v>
      </c>
      <c r="F100" s="10" t="s">
        <v>113</v>
      </c>
      <c r="G100" s="88">
        <v>800</v>
      </c>
      <c r="H100" s="70">
        <f t="shared" si="3"/>
        <v>1</v>
      </c>
      <c r="I100" s="11">
        <f t="shared" ca="1" si="4"/>
        <v>46120</v>
      </c>
      <c r="J100" s="11">
        <f t="shared" ca="1" si="1"/>
        <v>46118</v>
      </c>
      <c r="K100" s="13"/>
    </row>
    <row r="101" spans="1:11" ht="18" x14ac:dyDescent="0.4">
      <c r="A101" s="7" t="s">
        <v>98</v>
      </c>
      <c r="B101" s="85" t="s">
        <v>108</v>
      </c>
      <c r="C101" s="8">
        <v>37866</v>
      </c>
      <c r="D101" s="9">
        <v>463564200</v>
      </c>
      <c r="E101" s="57">
        <v>60</v>
      </c>
      <c r="F101" s="10" t="s">
        <v>114</v>
      </c>
      <c r="G101" s="88">
        <v>0</v>
      </c>
      <c r="H101" s="70">
        <f t="shared" si="3"/>
        <v>0</v>
      </c>
      <c r="I101" s="11">
        <f t="shared" ca="1" si="4"/>
        <v>46120</v>
      </c>
      <c r="J101" s="11">
        <f t="shared" ca="1" si="1"/>
        <v>46118</v>
      </c>
      <c r="K101" s="13"/>
    </row>
    <row r="102" spans="1:11" ht="18" x14ac:dyDescent="0.4">
      <c r="A102" s="7" t="s">
        <v>98</v>
      </c>
      <c r="B102" s="85" t="s">
        <v>108</v>
      </c>
      <c r="C102" s="8">
        <v>37866</v>
      </c>
      <c r="D102" s="9">
        <v>463568700</v>
      </c>
      <c r="E102" s="57">
        <v>60</v>
      </c>
      <c r="F102" s="10" t="s">
        <v>115</v>
      </c>
      <c r="G102" s="88">
        <v>120</v>
      </c>
      <c r="H102" s="70">
        <f t="shared" si="3"/>
        <v>2</v>
      </c>
      <c r="I102" s="11">
        <f t="shared" ca="1" si="4"/>
        <v>46120</v>
      </c>
      <c r="J102" s="11">
        <f t="shared" ca="1" si="1"/>
        <v>46118</v>
      </c>
      <c r="K102" s="13"/>
    </row>
    <row r="103" spans="1:11" ht="18" x14ac:dyDescent="0.4">
      <c r="A103" s="7" t="s">
        <v>98</v>
      </c>
      <c r="B103" s="85" t="s">
        <v>108</v>
      </c>
      <c r="C103" s="8">
        <v>37866</v>
      </c>
      <c r="D103" s="9">
        <v>463450640</v>
      </c>
      <c r="E103" s="57">
        <v>60</v>
      </c>
      <c r="F103" s="10" t="s">
        <v>116</v>
      </c>
      <c r="G103" s="88">
        <v>120</v>
      </c>
      <c r="H103" s="70">
        <f t="shared" si="3"/>
        <v>2</v>
      </c>
      <c r="I103" s="11">
        <f t="shared" ca="1" si="4"/>
        <v>46120</v>
      </c>
      <c r="J103" s="11">
        <f t="shared" ca="1" si="1"/>
        <v>46118</v>
      </c>
      <c r="K103" s="13"/>
    </row>
    <row r="104" spans="1:11" ht="18" x14ac:dyDescent="0.4">
      <c r="A104" s="7" t="s">
        <v>98</v>
      </c>
      <c r="B104" s="85" t="s">
        <v>108</v>
      </c>
      <c r="C104" s="8">
        <v>37866</v>
      </c>
      <c r="D104" s="9">
        <v>463497920</v>
      </c>
      <c r="E104" s="57">
        <v>60</v>
      </c>
      <c r="F104" s="10" t="s">
        <v>117</v>
      </c>
      <c r="G104" s="88">
        <v>0</v>
      </c>
      <c r="H104" s="70">
        <f t="shared" si="3"/>
        <v>0</v>
      </c>
      <c r="I104" s="11">
        <f t="shared" ca="1" si="4"/>
        <v>46120</v>
      </c>
      <c r="J104" s="11">
        <f t="shared" ca="1" si="1"/>
        <v>46118</v>
      </c>
      <c r="K104" s="13"/>
    </row>
    <row r="105" spans="1:11" ht="18" x14ac:dyDescent="0.4">
      <c r="A105" s="7" t="s">
        <v>98</v>
      </c>
      <c r="B105" s="85" t="s">
        <v>108</v>
      </c>
      <c r="C105" s="8">
        <v>37866</v>
      </c>
      <c r="D105" s="9">
        <v>463563850</v>
      </c>
      <c r="E105" s="57">
        <v>60</v>
      </c>
      <c r="F105" s="10" t="s">
        <v>117</v>
      </c>
      <c r="G105" s="88">
        <v>420</v>
      </c>
      <c r="H105" s="70">
        <f t="shared" si="3"/>
        <v>7</v>
      </c>
      <c r="I105" s="11">
        <f ca="1">I97</f>
        <v>46120</v>
      </c>
      <c r="J105" s="11">
        <f t="shared" ca="1" si="1"/>
        <v>46118</v>
      </c>
      <c r="K105" s="13"/>
    </row>
    <row r="106" spans="1:11" ht="18" x14ac:dyDescent="0.4">
      <c r="A106" s="7" t="s">
        <v>98</v>
      </c>
      <c r="B106" s="85" t="s">
        <v>108</v>
      </c>
      <c r="C106" s="8">
        <v>37866</v>
      </c>
      <c r="D106" s="9">
        <v>463564120</v>
      </c>
      <c r="E106" s="57">
        <v>60</v>
      </c>
      <c r="F106" s="10" t="s">
        <v>118</v>
      </c>
      <c r="G106" s="88">
        <v>120</v>
      </c>
      <c r="H106" s="70">
        <f t="shared" si="3"/>
        <v>2</v>
      </c>
      <c r="I106" s="11">
        <f t="shared" ref="I106:I169" ca="1" si="5">I98</f>
        <v>46120</v>
      </c>
      <c r="J106" s="11">
        <f t="shared" ca="1" si="1"/>
        <v>46118</v>
      </c>
      <c r="K106" s="13"/>
    </row>
    <row r="107" spans="1:11" ht="18" x14ac:dyDescent="0.4">
      <c r="A107" s="7" t="s">
        <v>98</v>
      </c>
      <c r="B107" s="85" t="s">
        <v>108</v>
      </c>
      <c r="C107" s="8">
        <v>37866</v>
      </c>
      <c r="D107" s="9">
        <v>463577620</v>
      </c>
      <c r="E107" s="57">
        <v>60</v>
      </c>
      <c r="F107" s="10" t="s">
        <v>119</v>
      </c>
      <c r="G107" s="88">
        <v>240</v>
      </c>
      <c r="H107" s="70">
        <f t="shared" si="3"/>
        <v>4</v>
      </c>
      <c r="I107" s="11">
        <f t="shared" ca="1" si="5"/>
        <v>46120</v>
      </c>
      <c r="J107" s="11">
        <f t="shared" ca="1" si="1"/>
        <v>46118</v>
      </c>
      <c r="K107" s="13"/>
    </row>
    <row r="108" spans="1:11" ht="18" x14ac:dyDescent="0.4">
      <c r="A108" s="7" t="s">
        <v>98</v>
      </c>
      <c r="B108" s="85" t="s">
        <v>108</v>
      </c>
      <c r="C108" s="8">
        <v>37866</v>
      </c>
      <c r="D108" s="9">
        <v>463578580</v>
      </c>
      <c r="E108" s="57">
        <v>60</v>
      </c>
      <c r="F108" s="10" t="s">
        <v>120</v>
      </c>
      <c r="G108" s="88">
        <v>0</v>
      </c>
      <c r="H108" s="70">
        <f t="shared" si="3"/>
        <v>0</v>
      </c>
      <c r="I108" s="11">
        <f t="shared" ca="1" si="5"/>
        <v>46120</v>
      </c>
      <c r="J108" s="11">
        <f t="shared" ca="1" si="1"/>
        <v>46118</v>
      </c>
      <c r="K108" s="13"/>
    </row>
    <row r="109" spans="1:11" ht="18" x14ac:dyDescent="0.4">
      <c r="A109" s="7" t="s">
        <v>98</v>
      </c>
      <c r="B109" s="85" t="s">
        <v>108</v>
      </c>
      <c r="C109" s="8">
        <v>37866</v>
      </c>
      <c r="D109" s="9">
        <v>463576540</v>
      </c>
      <c r="E109" s="57">
        <v>60</v>
      </c>
      <c r="F109" s="10" t="s">
        <v>121</v>
      </c>
      <c r="G109" s="88">
        <v>0</v>
      </c>
      <c r="H109" s="70">
        <f t="shared" si="3"/>
        <v>0</v>
      </c>
      <c r="I109" s="11">
        <f t="shared" ca="1" si="5"/>
        <v>46120</v>
      </c>
      <c r="J109" s="11">
        <f t="shared" ca="1" si="1"/>
        <v>46118</v>
      </c>
      <c r="K109" s="13"/>
    </row>
    <row r="110" spans="1:11" ht="18" x14ac:dyDescent="0.4">
      <c r="A110" s="7" t="s">
        <v>98</v>
      </c>
      <c r="B110" s="85" t="s">
        <v>108</v>
      </c>
      <c r="C110" s="8">
        <v>37866</v>
      </c>
      <c r="D110" s="9">
        <v>463571180</v>
      </c>
      <c r="E110" s="57">
        <v>60</v>
      </c>
      <c r="F110" s="10" t="s">
        <v>122</v>
      </c>
      <c r="G110" s="88">
        <v>960</v>
      </c>
      <c r="H110" s="70">
        <f t="shared" si="3"/>
        <v>16</v>
      </c>
      <c r="I110" s="11">
        <f t="shared" ca="1" si="5"/>
        <v>46120</v>
      </c>
      <c r="J110" s="11">
        <f t="shared" ca="1" si="1"/>
        <v>46118</v>
      </c>
      <c r="K110" s="13"/>
    </row>
    <row r="111" spans="1:11" ht="18" x14ac:dyDescent="0.4">
      <c r="A111" s="7" t="s">
        <v>98</v>
      </c>
      <c r="B111" s="85" t="s">
        <v>123</v>
      </c>
      <c r="C111" s="8">
        <v>27951</v>
      </c>
      <c r="D111" s="9">
        <v>463385060</v>
      </c>
      <c r="E111" s="57">
        <v>800</v>
      </c>
      <c r="F111" s="10" t="s">
        <v>124</v>
      </c>
      <c r="G111" s="88">
        <v>5000</v>
      </c>
      <c r="H111" s="70">
        <f t="shared" si="3"/>
        <v>6.25</v>
      </c>
      <c r="I111" s="11">
        <f t="shared" ca="1" si="5"/>
        <v>46120</v>
      </c>
      <c r="J111" s="11">
        <f t="shared" ca="1" si="1"/>
        <v>46118</v>
      </c>
      <c r="K111" s="13"/>
    </row>
    <row r="112" spans="1:11" ht="18" x14ac:dyDescent="0.4">
      <c r="A112" s="7" t="s">
        <v>98</v>
      </c>
      <c r="B112" s="85" t="s">
        <v>123</v>
      </c>
      <c r="C112" s="8">
        <v>27951</v>
      </c>
      <c r="D112" s="9">
        <v>552821660</v>
      </c>
      <c r="E112" s="57">
        <v>600</v>
      </c>
      <c r="F112" s="10" t="s">
        <v>125</v>
      </c>
      <c r="G112" s="88">
        <v>5000</v>
      </c>
      <c r="H112" s="70">
        <f t="shared" si="3"/>
        <v>8.3333333333333339</v>
      </c>
      <c r="I112" s="11">
        <f t="shared" ca="1" si="5"/>
        <v>46120</v>
      </c>
      <c r="J112" s="11">
        <f t="shared" ca="1" si="1"/>
        <v>46118</v>
      </c>
      <c r="K112" s="13"/>
    </row>
    <row r="113" spans="1:11" ht="18" x14ac:dyDescent="0.4">
      <c r="A113" s="7" t="s">
        <v>98</v>
      </c>
      <c r="B113" s="85" t="s">
        <v>123</v>
      </c>
      <c r="C113" s="8">
        <v>27951</v>
      </c>
      <c r="D113" s="9">
        <v>552822750</v>
      </c>
      <c r="E113" s="57">
        <v>300</v>
      </c>
      <c r="F113" s="10" t="s">
        <v>126</v>
      </c>
      <c r="G113" s="88">
        <v>5000</v>
      </c>
      <c r="H113" s="70">
        <f t="shared" si="3"/>
        <v>16.666666666666668</v>
      </c>
      <c r="I113" s="11">
        <f t="shared" ca="1" si="5"/>
        <v>46120</v>
      </c>
      <c r="J113" s="11">
        <f t="shared" ca="1" si="1"/>
        <v>46118</v>
      </c>
      <c r="K113" s="13"/>
    </row>
    <row r="114" spans="1:11" ht="18" x14ac:dyDescent="0.4">
      <c r="A114" s="7" t="s">
        <v>98</v>
      </c>
      <c r="B114" s="85" t="s">
        <v>123</v>
      </c>
      <c r="C114" s="8">
        <v>27951</v>
      </c>
      <c r="D114" s="9">
        <v>552821670</v>
      </c>
      <c r="E114" s="57">
        <v>100</v>
      </c>
      <c r="F114" s="10" t="s">
        <v>127</v>
      </c>
      <c r="G114" s="88">
        <v>5000</v>
      </c>
      <c r="H114" s="70">
        <f t="shared" si="3"/>
        <v>50</v>
      </c>
      <c r="I114" s="11">
        <f t="shared" ca="1" si="5"/>
        <v>46120</v>
      </c>
      <c r="J114" s="11">
        <f t="shared" ca="1" si="1"/>
        <v>46118</v>
      </c>
      <c r="K114" s="13"/>
    </row>
    <row r="115" spans="1:11" ht="18" x14ac:dyDescent="0.4">
      <c r="A115" s="7" t="s">
        <v>98</v>
      </c>
      <c r="B115" s="85" t="s">
        <v>123</v>
      </c>
      <c r="C115" s="8">
        <v>27951</v>
      </c>
      <c r="D115" s="9">
        <v>552845970</v>
      </c>
      <c r="E115" s="57">
        <v>600</v>
      </c>
      <c r="F115" s="10" t="s">
        <v>127</v>
      </c>
      <c r="G115" s="88">
        <v>5000</v>
      </c>
      <c r="H115" s="70">
        <f t="shared" si="3"/>
        <v>8.3333333333333339</v>
      </c>
      <c r="I115" s="11">
        <f t="shared" ca="1" si="5"/>
        <v>46120</v>
      </c>
      <c r="J115" s="11">
        <f t="shared" ca="1" si="1"/>
        <v>46118</v>
      </c>
      <c r="K115" s="13"/>
    </row>
    <row r="116" spans="1:11" ht="18" x14ac:dyDescent="0.4">
      <c r="A116" s="7" t="s">
        <v>98</v>
      </c>
      <c r="B116" s="85" t="s">
        <v>123</v>
      </c>
      <c r="C116" s="8">
        <v>27951</v>
      </c>
      <c r="D116" s="9">
        <v>552798810</v>
      </c>
      <c r="E116" s="57">
        <v>250</v>
      </c>
      <c r="F116" s="10" t="s">
        <v>127</v>
      </c>
      <c r="G116" s="88">
        <v>5000</v>
      </c>
      <c r="H116" s="70">
        <f t="shared" si="3"/>
        <v>20</v>
      </c>
      <c r="I116" s="11">
        <f t="shared" ca="1" si="5"/>
        <v>46120</v>
      </c>
      <c r="J116" s="11">
        <f t="shared" ca="1" si="1"/>
        <v>46118</v>
      </c>
      <c r="K116" s="13"/>
    </row>
    <row r="117" spans="1:11" ht="18" x14ac:dyDescent="0.4">
      <c r="A117" s="7" t="s">
        <v>98</v>
      </c>
      <c r="B117" s="85" t="s">
        <v>123</v>
      </c>
      <c r="C117" s="8">
        <v>27951</v>
      </c>
      <c r="D117" s="9">
        <v>552842340</v>
      </c>
      <c r="E117" s="57">
        <v>800</v>
      </c>
      <c r="F117" s="10" t="s">
        <v>127</v>
      </c>
      <c r="G117" s="88">
        <v>5000</v>
      </c>
      <c r="H117" s="70">
        <f t="shared" si="3"/>
        <v>6.25</v>
      </c>
      <c r="I117" s="11">
        <f t="shared" ca="1" si="5"/>
        <v>46120</v>
      </c>
      <c r="J117" s="11">
        <f t="shared" ca="1" si="1"/>
        <v>46118</v>
      </c>
      <c r="K117" s="13"/>
    </row>
    <row r="118" spans="1:11" ht="18" x14ac:dyDescent="0.4">
      <c r="A118" s="7" t="s">
        <v>98</v>
      </c>
      <c r="B118" s="85" t="s">
        <v>123</v>
      </c>
      <c r="C118" s="8">
        <v>27951</v>
      </c>
      <c r="D118" s="9">
        <v>552822630</v>
      </c>
      <c r="E118" s="57">
        <v>600</v>
      </c>
      <c r="F118" s="10" t="s">
        <v>127</v>
      </c>
      <c r="G118" s="88">
        <v>5000</v>
      </c>
      <c r="H118" s="70">
        <f t="shared" si="3"/>
        <v>8.3333333333333339</v>
      </c>
      <c r="I118" s="11">
        <f t="shared" ca="1" si="5"/>
        <v>46120</v>
      </c>
      <c r="J118" s="11">
        <f t="shared" ca="1" si="1"/>
        <v>46118</v>
      </c>
      <c r="K118" s="13"/>
    </row>
    <row r="119" spans="1:11" ht="18" x14ac:dyDescent="0.4">
      <c r="A119" s="7" t="s">
        <v>98</v>
      </c>
      <c r="B119" s="85" t="s">
        <v>123</v>
      </c>
      <c r="C119" s="8">
        <v>27951</v>
      </c>
      <c r="D119" s="9">
        <v>552799020</v>
      </c>
      <c r="E119" s="57">
        <v>200</v>
      </c>
      <c r="F119" s="10" t="s">
        <v>127</v>
      </c>
      <c r="G119" s="88">
        <v>5000</v>
      </c>
      <c r="H119" s="70">
        <f t="shared" si="3"/>
        <v>25</v>
      </c>
      <c r="I119" s="11">
        <f t="shared" ca="1" si="5"/>
        <v>46120</v>
      </c>
      <c r="J119" s="11">
        <f t="shared" ca="1" si="1"/>
        <v>46118</v>
      </c>
      <c r="K119" s="13"/>
    </row>
    <row r="120" spans="1:11" ht="18" x14ac:dyDescent="0.4">
      <c r="A120" s="7" t="s">
        <v>98</v>
      </c>
      <c r="B120" s="85" t="s">
        <v>123</v>
      </c>
      <c r="C120" s="8">
        <v>27951</v>
      </c>
      <c r="D120" s="9">
        <v>463369240</v>
      </c>
      <c r="E120" s="57">
        <v>500</v>
      </c>
      <c r="F120" s="10" t="s">
        <v>127</v>
      </c>
      <c r="G120" s="88">
        <v>5000</v>
      </c>
      <c r="H120" s="70">
        <f t="shared" si="3"/>
        <v>10</v>
      </c>
      <c r="I120" s="11">
        <f t="shared" ca="1" si="5"/>
        <v>46120</v>
      </c>
      <c r="J120" s="11">
        <f t="shared" ca="1" si="1"/>
        <v>46118</v>
      </c>
      <c r="K120" s="13"/>
    </row>
    <row r="121" spans="1:11" ht="18" x14ac:dyDescent="0.4">
      <c r="A121" s="7" t="s">
        <v>98</v>
      </c>
      <c r="B121" s="85" t="s">
        <v>123</v>
      </c>
      <c r="C121" s="8">
        <v>27951</v>
      </c>
      <c r="D121" s="9">
        <v>463398780</v>
      </c>
      <c r="E121" s="57">
        <v>400</v>
      </c>
      <c r="F121" s="10" t="s">
        <v>128</v>
      </c>
      <c r="G121" s="88">
        <v>5000</v>
      </c>
      <c r="H121" s="70">
        <f t="shared" si="3"/>
        <v>12.5</v>
      </c>
      <c r="I121" s="11">
        <f t="shared" ca="1" si="5"/>
        <v>46120</v>
      </c>
      <c r="J121" s="11">
        <f t="shared" ca="1" si="1"/>
        <v>46118</v>
      </c>
      <c r="K121" s="13"/>
    </row>
    <row r="122" spans="1:11" ht="18" x14ac:dyDescent="0.4">
      <c r="A122" s="7" t="s">
        <v>98</v>
      </c>
      <c r="B122" s="85" t="s">
        <v>123</v>
      </c>
      <c r="C122" s="8">
        <v>27951</v>
      </c>
      <c r="D122" s="9">
        <v>552822620</v>
      </c>
      <c r="E122" s="57">
        <v>800</v>
      </c>
      <c r="F122" s="10" t="s">
        <v>129</v>
      </c>
      <c r="G122" s="88">
        <v>5000</v>
      </c>
      <c r="H122" s="70">
        <f t="shared" si="3"/>
        <v>6.25</v>
      </c>
      <c r="I122" s="11">
        <f t="shared" ca="1" si="5"/>
        <v>46120</v>
      </c>
      <c r="J122" s="11">
        <f t="shared" ca="1" si="1"/>
        <v>46118</v>
      </c>
      <c r="K122" s="13"/>
    </row>
    <row r="123" spans="1:11" ht="18" x14ac:dyDescent="0.4">
      <c r="A123" s="7" t="s">
        <v>98</v>
      </c>
      <c r="B123" s="85" t="s">
        <v>123</v>
      </c>
      <c r="C123" s="8">
        <v>27951</v>
      </c>
      <c r="D123" s="9">
        <v>463473640</v>
      </c>
      <c r="E123" s="57">
        <v>500</v>
      </c>
      <c r="F123" s="10" t="s">
        <v>130</v>
      </c>
      <c r="G123" s="88">
        <v>5000</v>
      </c>
      <c r="H123" s="70">
        <f t="shared" si="3"/>
        <v>10</v>
      </c>
      <c r="I123" s="11">
        <f t="shared" ca="1" si="5"/>
        <v>46120</v>
      </c>
      <c r="J123" s="11">
        <f t="shared" ca="1" si="1"/>
        <v>46118</v>
      </c>
      <c r="K123" s="13"/>
    </row>
    <row r="124" spans="1:11" ht="18" x14ac:dyDescent="0.4">
      <c r="A124" s="7" t="s">
        <v>98</v>
      </c>
      <c r="B124" s="85" t="s">
        <v>123</v>
      </c>
      <c r="C124" s="8">
        <v>27951</v>
      </c>
      <c r="D124" s="9">
        <v>552831540</v>
      </c>
      <c r="E124" s="57">
        <v>400</v>
      </c>
      <c r="F124" s="10" t="s">
        <v>131</v>
      </c>
      <c r="G124" s="88">
        <v>5000</v>
      </c>
      <c r="H124" s="70">
        <f t="shared" si="3"/>
        <v>12.5</v>
      </c>
      <c r="I124" s="11">
        <f t="shared" ca="1" si="5"/>
        <v>46120</v>
      </c>
      <c r="J124" s="11">
        <f t="shared" ca="1" si="1"/>
        <v>46118</v>
      </c>
      <c r="K124" s="13"/>
    </row>
    <row r="125" spans="1:11" ht="18" x14ac:dyDescent="0.4">
      <c r="A125" s="7" t="s">
        <v>98</v>
      </c>
      <c r="B125" s="85" t="s">
        <v>123</v>
      </c>
      <c r="C125" s="8">
        <v>27951</v>
      </c>
      <c r="D125" s="9">
        <v>187517280</v>
      </c>
      <c r="E125" s="57">
        <v>400</v>
      </c>
      <c r="F125" s="10" t="s">
        <v>132</v>
      </c>
      <c r="G125" s="88">
        <v>5000</v>
      </c>
      <c r="H125" s="70">
        <f t="shared" si="3"/>
        <v>12.5</v>
      </c>
      <c r="I125" s="11">
        <f t="shared" ca="1" si="5"/>
        <v>46120</v>
      </c>
      <c r="J125" s="11">
        <f t="shared" ca="1" si="1"/>
        <v>46118</v>
      </c>
      <c r="K125" s="13"/>
    </row>
    <row r="126" spans="1:11" ht="18" x14ac:dyDescent="0.4">
      <c r="A126" s="7" t="s">
        <v>98</v>
      </c>
      <c r="B126" s="85" t="s">
        <v>123</v>
      </c>
      <c r="C126" s="8">
        <v>27951</v>
      </c>
      <c r="D126" s="9">
        <v>552822460</v>
      </c>
      <c r="E126" s="57">
        <v>650</v>
      </c>
      <c r="F126" s="10" t="s">
        <v>133</v>
      </c>
      <c r="G126" s="88">
        <v>5000</v>
      </c>
      <c r="H126" s="70">
        <f t="shared" si="3"/>
        <v>7.6923076923076925</v>
      </c>
      <c r="I126" s="11">
        <f t="shared" ca="1" si="5"/>
        <v>46120</v>
      </c>
      <c r="J126" s="11">
        <f t="shared" ca="1" si="1"/>
        <v>46118</v>
      </c>
      <c r="K126" s="13"/>
    </row>
    <row r="127" spans="1:11" ht="18" x14ac:dyDescent="0.4">
      <c r="A127" s="7" t="s">
        <v>98</v>
      </c>
      <c r="B127" s="85" t="s">
        <v>123</v>
      </c>
      <c r="C127" s="8">
        <v>27951</v>
      </c>
      <c r="D127" s="9">
        <v>552821610</v>
      </c>
      <c r="E127" s="57">
        <v>150</v>
      </c>
      <c r="F127" s="10" t="s">
        <v>134</v>
      </c>
      <c r="G127" s="88">
        <v>5000</v>
      </c>
      <c r="H127" s="70">
        <f t="shared" si="3"/>
        <v>33.333333333333336</v>
      </c>
      <c r="I127" s="11">
        <f t="shared" ca="1" si="5"/>
        <v>46120</v>
      </c>
      <c r="J127" s="11">
        <f t="shared" ca="1" si="1"/>
        <v>46118</v>
      </c>
      <c r="K127" s="13"/>
    </row>
    <row r="128" spans="1:11" ht="18" x14ac:dyDescent="0.4">
      <c r="A128" s="7" t="s">
        <v>98</v>
      </c>
      <c r="B128" s="86" t="s">
        <v>123</v>
      </c>
      <c r="C128" s="8">
        <v>27951</v>
      </c>
      <c r="D128" s="9">
        <v>552842370</v>
      </c>
      <c r="E128" s="57">
        <v>400</v>
      </c>
      <c r="F128" s="10" t="s">
        <v>135</v>
      </c>
      <c r="G128" s="88">
        <v>5000</v>
      </c>
      <c r="H128" s="70">
        <f t="shared" si="3"/>
        <v>12.5</v>
      </c>
      <c r="I128" s="11">
        <f t="shared" ca="1" si="5"/>
        <v>46120</v>
      </c>
      <c r="J128" s="11">
        <f t="shared" ca="1" si="1"/>
        <v>46118</v>
      </c>
      <c r="K128" s="13"/>
    </row>
    <row r="129" spans="1:11" ht="18" x14ac:dyDescent="0.4">
      <c r="A129" s="7" t="s">
        <v>98</v>
      </c>
      <c r="B129" s="86" t="s">
        <v>123</v>
      </c>
      <c r="C129" s="8">
        <v>27951</v>
      </c>
      <c r="D129" s="9">
        <v>552821600</v>
      </c>
      <c r="E129" s="57">
        <v>300</v>
      </c>
      <c r="F129" s="10" t="s">
        <v>136</v>
      </c>
      <c r="G129" s="88">
        <v>5000</v>
      </c>
      <c r="H129" s="70">
        <f t="shared" si="3"/>
        <v>16.666666666666668</v>
      </c>
      <c r="I129" s="11">
        <f t="shared" ca="1" si="5"/>
        <v>46120</v>
      </c>
      <c r="J129" s="11">
        <f t="shared" ca="1" si="1"/>
        <v>46118</v>
      </c>
      <c r="K129" s="13"/>
    </row>
    <row r="130" spans="1:11" ht="18" x14ac:dyDescent="0.4">
      <c r="A130" s="7" t="s">
        <v>98</v>
      </c>
      <c r="B130" s="86" t="s">
        <v>137</v>
      </c>
      <c r="C130" s="8">
        <v>36019</v>
      </c>
      <c r="D130" s="9">
        <v>463385060</v>
      </c>
      <c r="E130" s="57">
        <v>800</v>
      </c>
      <c r="F130" s="10" t="s">
        <v>124</v>
      </c>
      <c r="G130" s="88">
        <v>6400</v>
      </c>
      <c r="H130" s="70">
        <f t="shared" si="3"/>
        <v>8</v>
      </c>
      <c r="I130" s="11">
        <f t="shared" ca="1" si="5"/>
        <v>46120</v>
      </c>
      <c r="J130" s="11">
        <f t="shared" ca="1" si="1"/>
        <v>46118</v>
      </c>
      <c r="K130" s="13"/>
    </row>
    <row r="131" spans="1:11" ht="18" x14ac:dyDescent="0.4">
      <c r="A131" s="7" t="s">
        <v>98</v>
      </c>
      <c r="B131" s="86" t="s">
        <v>137</v>
      </c>
      <c r="C131" s="8">
        <v>36019</v>
      </c>
      <c r="D131" s="9">
        <v>552821660</v>
      </c>
      <c r="E131" s="57">
        <v>600</v>
      </c>
      <c r="F131" s="10" t="s">
        <v>125</v>
      </c>
      <c r="G131" s="88">
        <v>40500</v>
      </c>
      <c r="H131" s="70">
        <f t="shared" si="3"/>
        <v>67.5</v>
      </c>
      <c r="I131" s="11">
        <f t="shared" ca="1" si="5"/>
        <v>46120</v>
      </c>
      <c r="J131" s="11">
        <f t="shared" ca="1" si="1"/>
        <v>46118</v>
      </c>
      <c r="K131" s="13"/>
    </row>
    <row r="132" spans="1:11" ht="18" x14ac:dyDescent="0.4">
      <c r="A132" s="7" t="s">
        <v>98</v>
      </c>
      <c r="B132" s="86" t="s">
        <v>137</v>
      </c>
      <c r="C132" s="8">
        <v>36019</v>
      </c>
      <c r="D132" s="9">
        <v>552822750</v>
      </c>
      <c r="E132" s="57">
        <v>300</v>
      </c>
      <c r="F132" s="10" t="s">
        <v>126</v>
      </c>
      <c r="G132" s="88">
        <v>2800</v>
      </c>
      <c r="H132" s="70">
        <f t="shared" ref="H132:H195" si="6">+G132/E132</f>
        <v>9.3333333333333339</v>
      </c>
      <c r="I132" s="11">
        <f t="shared" ca="1" si="5"/>
        <v>46120</v>
      </c>
      <c r="J132" s="11">
        <f t="shared" ca="1" si="1"/>
        <v>46118</v>
      </c>
      <c r="K132" s="13"/>
    </row>
    <row r="133" spans="1:11" ht="18" x14ac:dyDescent="0.4">
      <c r="A133" s="7" t="s">
        <v>98</v>
      </c>
      <c r="B133" s="86" t="s">
        <v>137</v>
      </c>
      <c r="C133" s="8">
        <v>36019</v>
      </c>
      <c r="D133" s="9">
        <v>552821670</v>
      </c>
      <c r="E133" s="57">
        <v>100</v>
      </c>
      <c r="F133" s="10" t="s">
        <v>127</v>
      </c>
      <c r="G133" s="88">
        <v>0</v>
      </c>
      <c r="H133" s="70">
        <f t="shared" si="6"/>
        <v>0</v>
      </c>
      <c r="I133" s="11">
        <f t="shared" ca="1" si="5"/>
        <v>46120</v>
      </c>
      <c r="J133" s="11">
        <f t="shared" ca="1" si="1"/>
        <v>46118</v>
      </c>
      <c r="K133" s="13"/>
    </row>
    <row r="134" spans="1:11" ht="18" x14ac:dyDescent="0.4">
      <c r="A134" s="7" t="s">
        <v>98</v>
      </c>
      <c r="B134" s="86" t="s">
        <v>137</v>
      </c>
      <c r="C134" s="8">
        <v>36019</v>
      </c>
      <c r="D134" s="9">
        <v>552845970</v>
      </c>
      <c r="E134" s="57">
        <v>600</v>
      </c>
      <c r="F134" s="10" t="s">
        <v>127</v>
      </c>
      <c r="G134" s="88">
        <v>0</v>
      </c>
      <c r="H134" s="70">
        <f t="shared" si="6"/>
        <v>0</v>
      </c>
      <c r="I134" s="11">
        <f t="shared" ca="1" si="5"/>
        <v>46120</v>
      </c>
      <c r="J134" s="11">
        <f t="shared" ca="1" si="1"/>
        <v>46118</v>
      </c>
      <c r="K134" s="13"/>
    </row>
    <row r="135" spans="1:11" ht="18" x14ac:dyDescent="0.4">
      <c r="A135" s="7" t="s">
        <v>98</v>
      </c>
      <c r="B135" s="86" t="s">
        <v>137</v>
      </c>
      <c r="C135" s="8">
        <v>36019</v>
      </c>
      <c r="D135" s="9">
        <v>552798810</v>
      </c>
      <c r="E135" s="57">
        <v>250</v>
      </c>
      <c r="F135" s="10" t="s">
        <v>127</v>
      </c>
      <c r="G135" s="88">
        <v>25000</v>
      </c>
      <c r="H135" s="70">
        <f t="shared" si="6"/>
        <v>100</v>
      </c>
      <c r="I135" s="11">
        <f t="shared" ca="1" si="5"/>
        <v>46120</v>
      </c>
      <c r="J135" s="11">
        <f t="shared" ca="1" si="1"/>
        <v>46118</v>
      </c>
      <c r="K135" s="13"/>
    </row>
    <row r="136" spans="1:11" ht="18" x14ac:dyDescent="0.4">
      <c r="A136" s="7" t="s">
        <v>98</v>
      </c>
      <c r="B136" s="86" t="s">
        <v>137</v>
      </c>
      <c r="C136" s="8">
        <v>36019</v>
      </c>
      <c r="D136" s="9">
        <v>552842340</v>
      </c>
      <c r="E136" s="57">
        <v>800</v>
      </c>
      <c r="F136" s="10" t="s">
        <v>127</v>
      </c>
      <c r="G136" s="88">
        <v>8000</v>
      </c>
      <c r="H136" s="70">
        <f t="shared" si="6"/>
        <v>10</v>
      </c>
      <c r="I136" s="11">
        <f t="shared" ca="1" si="5"/>
        <v>46120</v>
      </c>
      <c r="J136" s="11">
        <f t="shared" ca="1" si="1"/>
        <v>46118</v>
      </c>
      <c r="K136" s="13"/>
    </row>
    <row r="137" spans="1:11" ht="18" x14ac:dyDescent="0.4">
      <c r="A137" s="7" t="s">
        <v>98</v>
      </c>
      <c r="B137" s="86" t="s">
        <v>137</v>
      </c>
      <c r="C137" s="8">
        <v>36019</v>
      </c>
      <c r="D137" s="9">
        <v>552822630</v>
      </c>
      <c r="E137" s="57">
        <v>600</v>
      </c>
      <c r="F137" s="10" t="s">
        <v>127</v>
      </c>
      <c r="G137" s="88">
        <v>16000</v>
      </c>
      <c r="H137" s="70">
        <f t="shared" si="6"/>
        <v>26.666666666666668</v>
      </c>
      <c r="I137" s="11">
        <f t="shared" ca="1" si="5"/>
        <v>46120</v>
      </c>
      <c r="J137" s="11">
        <f t="shared" ca="1" si="1"/>
        <v>46118</v>
      </c>
      <c r="K137" s="13"/>
    </row>
    <row r="138" spans="1:11" ht="18" x14ac:dyDescent="0.4">
      <c r="A138" s="7" t="s">
        <v>98</v>
      </c>
      <c r="B138" s="86" t="s">
        <v>137</v>
      </c>
      <c r="C138" s="8">
        <v>36019</v>
      </c>
      <c r="D138" s="9">
        <v>552799020</v>
      </c>
      <c r="E138" s="57">
        <v>200</v>
      </c>
      <c r="F138" s="10" t="s">
        <v>127</v>
      </c>
      <c r="G138" s="88">
        <v>8000</v>
      </c>
      <c r="H138" s="70">
        <f t="shared" si="6"/>
        <v>40</v>
      </c>
      <c r="I138" s="11">
        <f t="shared" ca="1" si="5"/>
        <v>46120</v>
      </c>
      <c r="J138" s="11">
        <f t="shared" ca="1" si="1"/>
        <v>46118</v>
      </c>
      <c r="K138" s="13"/>
    </row>
    <row r="139" spans="1:11" ht="18" x14ac:dyDescent="0.4">
      <c r="A139" s="7" t="s">
        <v>98</v>
      </c>
      <c r="B139" s="86" t="s">
        <v>137</v>
      </c>
      <c r="C139" s="8">
        <v>36019</v>
      </c>
      <c r="D139" s="9">
        <v>463369240</v>
      </c>
      <c r="E139" s="57">
        <v>500</v>
      </c>
      <c r="F139" s="10" t="s">
        <v>127</v>
      </c>
      <c r="G139" s="88">
        <v>0</v>
      </c>
      <c r="H139" s="70">
        <f t="shared" si="6"/>
        <v>0</v>
      </c>
      <c r="I139" s="11">
        <f t="shared" ca="1" si="5"/>
        <v>46120</v>
      </c>
      <c r="J139" s="11">
        <f t="shared" ca="1" si="1"/>
        <v>46118</v>
      </c>
      <c r="K139" s="13"/>
    </row>
    <row r="140" spans="1:11" ht="18" x14ac:dyDescent="0.4">
      <c r="A140" s="7" t="s">
        <v>98</v>
      </c>
      <c r="B140" s="86" t="s">
        <v>137</v>
      </c>
      <c r="C140" s="8">
        <v>36019</v>
      </c>
      <c r="D140" s="9">
        <v>463398780</v>
      </c>
      <c r="E140" s="57">
        <v>400</v>
      </c>
      <c r="F140" s="10" t="s">
        <v>128</v>
      </c>
      <c r="G140" s="88">
        <v>32000</v>
      </c>
      <c r="H140" s="70">
        <f t="shared" si="6"/>
        <v>80</v>
      </c>
      <c r="I140" s="11">
        <f t="shared" ca="1" si="5"/>
        <v>46120</v>
      </c>
      <c r="J140" s="11">
        <f t="shared" ca="1" si="1"/>
        <v>46118</v>
      </c>
      <c r="K140" s="13"/>
    </row>
    <row r="141" spans="1:11" ht="18" x14ac:dyDescent="0.4">
      <c r="A141" s="7" t="s">
        <v>98</v>
      </c>
      <c r="B141" s="86" t="s">
        <v>137</v>
      </c>
      <c r="C141" s="8">
        <v>36019</v>
      </c>
      <c r="D141" s="9">
        <v>552822620</v>
      </c>
      <c r="E141" s="57">
        <v>800</v>
      </c>
      <c r="F141" s="10" t="s">
        <v>129</v>
      </c>
      <c r="G141" s="88">
        <v>0</v>
      </c>
      <c r="H141" s="70">
        <f t="shared" si="6"/>
        <v>0</v>
      </c>
      <c r="I141" s="11">
        <f t="shared" ca="1" si="5"/>
        <v>46120</v>
      </c>
      <c r="J141" s="11">
        <f t="shared" ca="1" si="1"/>
        <v>46118</v>
      </c>
      <c r="K141" s="13"/>
    </row>
    <row r="142" spans="1:11" ht="18" x14ac:dyDescent="0.4">
      <c r="A142" s="7" t="s">
        <v>98</v>
      </c>
      <c r="B142" s="86" t="s">
        <v>137</v>
      </c>
      <c r="C142" s="8">
        <v>36019</v>
      </c>
      <c r="D142" s="9">
        <v>463473640</v>
      </c>
      <c r="E142" s="57">
        <v>500</v>
      </c>
      <c r="F142" s="10" t="s">
        <v>130</v>
      </c>
      <c r="G142" s="88">
        <v>0</v>
      </c>
      <c r="H142" s="70">
        <f t="shared" si="6"/>
        <v>0</v>
      </c>
      <c r="I142" s="11">
        <f t="shared" ca="1" si="5"/>
        <v>46120</v>
      </c>
      <c r="J142" s="11">
        <f t="shared" ca="1" si="1"/>
        <v>46118</v>
      </c>
      <c r="K142" s="13"/>
    </row>
    <row r="143" spans="1:11" ht="18" x14ac:dyDescent="0.4">
      <c r="A143" s="7" t="s">
        <v>98</v>
      </c>
      <c r="B143" s="86" t="s">
        <v>137</v>
      </c>
      <c r="C143" s="8">
        <v>36019</v>
      </c>
      <c r="D143" s="9">
        <v>552831540</v>
      </c>
      <c r="E143" s="57">
        <v>400</v>
      </c>
      <c r="F143" s="10" t="s">
        <v>131</v>
      </c>
      <c r="G143" s="88">
        <v>0</v>
      </c>
      <c r="H143" s="70">
        <f t="shared" si="6"/>
        <v>0</v>
      </c>
      <c r="I143" s="11">
        <f t="shared" ca="1" si="5"/>
        <v>46120</v>
      </c>
      <c r="J143" s="11">
        <f t="shared" ca="1" si="1"/>
        <v>46118</v>
      </c>
      <c r="K143" s="13"/>
    </row>
    <row r="144" spans="1:11" ht="18" x14ac:dyDescent="0.4">
      <c r="A144" s="7" t="s">
        <v>98</v>
      </c>
      <c r="B144" s="86" t="s">
        <v>137</v>
      </c>
      <c r="C144" s="8">
        <v>36019</v>
      </c>
      <c r="D144" s="9">
        <v>187517280</v>
      </c>
      <c r="E144" s="57">
        <v>400</v>
      </c>
      <c r="F144" s="10" t="s">
        <v>132</v>
      </c>
      <c r="G144" s="88">
        <v>6600</v>
      </c>
      <c r="H144" s="70">
        <f t="shared" si="6"/>
        <v>16.5</v>
      </c>
      <c r="I144" s="11">
        <f t="shared" ca="1" si="5"/>
        <v>46120</v>
      </c>
      <c r="J144" s="11">
        <f t="shared" ca="1" si="1"/>
        <v>46118</v>
      </c>
      <c r="K144" s="13"/>
    </row>
    <row r="145" spans="1:11" ht="18" x14ac:dyDescent="0.4">
      <c r="A145" s="7" t="s">
        <v>98</v>
      </c>
      <c r="B145" s="86" t="s">
        <v>137</v>
      </c>
      <c r="C145" s="8">
        <v>36019</v>
      </c>
      <c r="D145" s="9">
        <v>552822460</v>
      </c>
      <c r="E145" s="57">
        <v>650</v>
      </c>
      <c r="F145" s="10" t="s">
        <v>133</v>
      </c>
      <c r="G145" s="88">
        <v>2400</v>
      </c>
      <c r="H145" s="70">
        <f t="shared" si="6"/>
        <v>3.6923076923076925</v>
      </c>
      <c r="I145" s="11">
        <f t="shared" ca="1" si="5"/>
        <v>46120</v>
      </c>
      <c r="J145" s="11">
        <f t="shared" ca="1" si="1"/>
        <v>46118</v>
      </c>
      <c r="K145" s="13"/>
    </row>
    <row r="146" spans="1:11" ht="18" x14ac:dyDescent="0.4">
      <c r="A146" s="7" t="s">
        <v>98</v>
      </c>
      <c r="B146" s="86" t="s">
        <v>137</v>
      </c>
      <c r="C146" s="8">
        <v>36019</v>
      </c>
      <c r="D146" s="9">
        <v>552821610</v>
      </c>
      <c r="E146" s="57">
        <v>150</v>
      </c>
      <c r="F146" s="10" t="s">
        <v>134</v>
      </c>
      <c r="G146" s="88">
        <v>0</v>
      </c>
      <c r="H146" s="70">
        <f t="shared" si="6"/>
        <v>0</v>
      </c>
      <c r="I146" s="11">
        <f t="shared" ca="1" si="5"/>
        <v>46120</v>
      </c>
      <c r="J146" s="11">
        <f t="shared" ca="1" si="1"/>
        <v>46118</v>
      </c>
      <c r="K146" s="13"/>
    </row>
    <row r="147" spans="1:11" ht="18" x14ac:dyDescent="0.4">
      <c r="A147" s="7" t="s">
        <v>98</v>
      </c>
      <c r="B147" s="86" t="s">
        <v>137</v>
      </c>
      <c r="C147" s="8">
        <v>36019</v>
      </c>
      <c r="D147" s="9">
        <v>552842370</v>
      </c>
      <c r="E147" s="57">
        <v>400</v>
      </c>
      <c r="F147" s="10" t="s">
        <v>135</v>
      </c>
      <c r="G147" s="88">
        <v>0</v>
      </c>
      <c r="H147" s="70">
        <f t="shared" si="6"/>
        <v>0</v>
      </c>
      <c r="I147" s="11">
        <f t="shared" ca="1" si="5"/>
        <v>46120</v>
      </c>
      <c r="J147" s="11">
        <f t="shared" ca="1" si="1"/>
        <v>46118</v>
      </c>
      <c r="K147" s="13"/>
    </row>
    <row r="148" spans="1:11" ht="18" x14ac:dyDescent="0.4">
      <c r="A148" s="7" t="s">
        <v>98</v>
      </c>
      <c r="B148" s="86" t="s">
        <v>137</v>
      </c>
      <c r="C148" s="8">
        <v>36019</v>
      </c>
      <c r="D148" s="9">
        <v>552821600</v>
      </c>
      <c r="E148" s="57">
        <v>300</v>
      </c>
      <c r="F148" s="10" t="s">
        <v>136</v>
      </c>
      <c r="G148" s="88">
        <v>0</v>
      </c>
      <c r="H148" s="70">
        <f t="shared" si="6"/>
        <v>0</v>
      </c>
      <c r="I148" s="11">
        <f ca="1">I140</f>
        <v>46120</v>
      </c>
      <c r="J148" s="11">
        <f t="shared" ca="1" si="1"/>
        <v>46118</v>
      </c>
      <c r="K148" s="13"/>
    </row>
    <row r="149" spans="1:11" ht="18" x14ac:dyDescent="0.4">
      <c r="A149" s="7" t="s">
        <v>98</v>
      </c>
      <c r="B149" s="86" t="s">
        <v>138</v>
      </c>
      <c r="C149" s="8">
        <v>51658</v>
      </c>
      <c r="D149" s="9">
        <v>463485610</v>
      </c>
      <c r="E149" s="57">
        <v>600</v>
      </c>
      <c r="F149" s="10" t="s">
        <v>139</v>
      </c>
      <c r="G149" s="88">
        <v>0</v>
      </c>
      <c r="H149" s="70">
        <f t="shared" si="6"/>
        <v>0</v>
      </c>
      <c r="I149" s="11">
        <f t="shared" ref="I149:I156" ca="1" si="7">I122</f>
        <v>46120</v>
      </c>
      <c r="J149" s="11">
        <f t="shared" ca="1" si="1"/>
        <v>46118</v>
      </c>
      <c r="K149" s="13"/>
    </row>
    <row r="150" spans="1:11" ht="18" x14ac:dyDescent="0.4">
      <c r="A150" s="7" t="s">
        <v>98</v>
      </c>
      <c r="B150" s="86" t="s">
        <v>138</v>
      </c>
      <c r="C150" s="8">
        <v>51658</v>
      </c>
      <c r="D150" s="9">
        <v>463485620</v>
      </c>
      <c r="E150" s="57">
        <v>600</v>
      </c>
      <c r="F150" s="10" t="s">
        <v>139</v>
      </c>
      <c r="G150" s="88">
        <v>12000</v>
      </c>
      <c r="H150" s="70">
        <f t="shared" si="6"/>
        <v>20</v>
      </c>
      <c r="I150" s="11">
        <f t="shared" ca="1" si="7"/>
        <v>46120</v>
      </c>
      <c r="J150" s="11">
        <f t="shared" ca="1" si="1"/>
        <v>46118</v>
      </c>
      <c r="K150" s="13"/>
    </row>
    <row r="151" spans="1:11" ht="18" x14ac:dyDescent="0.4">
      <c r="A151" s="7" t="s">
        <v>98</v>
      </c>
      <c r="B151" s="86" t="s">
        <v>138</v>
      </c>
      <c r="C151" s="8">
        <v>51658</v>
      </c>
      <c r="D151" s="9">
        <v>463485630</v>
      </c>
      <c r="E151" s="57">
        <v>600</v>
      </c>
      <c r="F151" s="10" t="s">
        <v>140</v>
      </c>
      <c r="G151" s="88">
        <v>0</v>
      </c>
      <c r="H151" s="70">
        <f t="shared" si="6"/>
        <v>0</v>
      </c>
      <c r="I151" s="11">
        <f t="shared" ca="1" si="7"/>
        <v>46120</v>
      </c>
      <c r="J151" s="11">
        <f t="shared" ca="1" si="1"/>
        <v>46118</v>
      </c>
      <c r="K151" s="13"/>
    </row>
    <row r="152" spans="1:11" ht="18" x14ac:dyDescent="0.4">
      <c r="A152" s="7" t="s">
        <v>98</v>
      </c>
      <c r="B152" s="86" t="s">
        <v>138</v>
      </c>
      <c r="C152" s="8">
        <v>51658</v>
      </c>
      <c r="D152" s="9">
        <v>463485640</v>
      </c>
      <c r="E152" s="57">
        <v>600</v>
      </c>
      <c r="F152" s="10" t="s">
        <v>141</v>
      </c>
      <c r="G152" s="88">
        <v>0</v>
      </c>
      <c r="H152" s="70">
        <f t="shared" si="6"/>
        <v>0</v>
      </c>
      <c r="I152" s="11">
        <f t="shared" ca="1" si="7"/>
        <v>46120</v>
      </c>
      <c r="J152" s="11">
        <f t="shared" ca="1" si="1"/>
        <v>46118</v>
      </c>
      <c r="K152" s="13"/>
    </row>
    <row r="153" spans="1:11" ht="18" x14ac:dyDescent="0.4">
      <c r="A153" s="7" t="s">
        <v>98</v>
      </c>
      <c r="B153" s="86" t="s">
        <v>138</v>
      </c>
      <c r="C153" s="8">
        <v>51658</v>
      </c>
      <c r="D153" s="9">
        <v>463485650</v>
      </c>
      <c r="E153" s="57">
        <v>600</v>
      </c>
      <c r="F153" s="10" t="s">
        <v>142</v>
      </c>
      <c r="G153" s="88">
        <v>12000</v>
      </c>
      <c r="H153" s="70">
        <f t="shared" si="6"/>
        <v>20</v>
      </c>
      <c r="I153" s="11">
        <f t="shared" ca="1" si="7"/>
        <v>46120</v>
      </c>
      <c r="J153" s="11">
        <f t="shared" ca="1" si="1"/>
        <v>46118</v>
      </c>
      <c r="K153" s="13"/>
    </row>
    <row r="154" spans="1:11" ht="18" x14ac:dyDescent="0.4">
      <c r="A154" s="7" t="s">
        <v>98</v>
      </c>
      <c r="B154" s="86" t="s">
        <v>138</v>
      </c>
      <c r="C154" s="8">
        <v>51658</v>
      </c>
      <c r="D154" s="9">
        <v>463485660</v>
      </c>
      <c r="E154" s="57">
        <v>600</v>
      </c>
      <c r="F154" s="10" t="s">
        <v>143</v>
      </c>
      <c r="G154" s="88">
        <v>0</v>
      </c>
      <c r="H154" s="70">
        <f t="shared" si="6"/>
        <v>0</v>
      </c>
      <c r="I154" s="11">
        <f t="shared" ca="1" si="7"/>
        <v>46120</v>
      </c>
      <c r="J154" s="11">
        <f t="shared" ca="1" si="1"/>
        <v>46118</v>
      </c>
      <c r="K154" s="13"/>
    </row>
    <row r="155" spans="1:11" ht="18" x14ac:dyDescent="0.4">
      <c r="A155" s="7" t="s">
        <v>98</v>
      </c>
      <c r="B155" s="86" t="s">
        <v>138</v>
      </c>
      <c r="C155" s="8">
        <v>51658</v>
      </c>
      <c r="D155" s="9">
        <v>463485380</v>
      </c>
      <c r="E155" s="57">
        <v>400</v>
      </c>
      <c r="F155" s="10" t="s">
        <v>144</v>
      </c>
      <c r="G155" s="88">
        <v>0</v>
      </c>
      <c r="H155" s="70">
        <f t="shared" si="6"/>
        <v>0</v>
      </c>
      <c r="I155" s="11">
        <f t="shared" ca="1" si="7"/>
        <v>46120</v>
      </c>
      <c r="J155" s="11">
        <f t="shared" ca="1" si="1"/>
        <v>46118</v>
      </c>
      <c r="K155" s="13"/>
    </row>
    <row r="156" spans="1:11" ht="18" x14ac:dyDescent="0.4">
      <c r="A156" s="7" t="s">
        <v>98</v>
      </c>
      <c r="B156" s="86" t="s">
        <v>138</v>
      </c>
      <c r="C156" s="8">
        <v>51658</v>
      </c>
      <c r="D156" s="9">
        <v>463485390</v>
      </c>
      <c r="E156" s="57">
        <v>400</v>
      </c>
      <c r="F156" s="10" t="s">
        <v>145</v>
      </c>
      <c r="G156" s="88">
        <v>4000</v>
      </c>
      <c r="H156" s="70">
        <f t="shared" si="6"/>
        <v>10</v>
      </c>
      <c r="I156" s="11">
        <f t="shared" ca="1" si="7"/>
        <v>46120</v>
      </c>
      <c r="J156" s="11">
        <f t="shared" ca="1" si="1"/>
        <v>46118</v>
      </c>
      <c r="K156" s="13"/>
    </row>
    <row r="157" spans="1:11" ht="18" x14ac:dyDescent="0.4">
      <c r="A157" s="7" t="s">
        <v>98</v>
      </c>
      <c r="B157" s="86" t="s">
        <v>138</v>
      </c>
      <c r="C157" s="8">
        <v>51658</v>
      </c>
      <c r="D157" s="9">
        <v>463485400</v>
      </c>
      <c r="E157" s="57">
        <v>400</v>
      </c>
      <c r="F157" s="10" t="s">
        <v>146</v>
      </c>
      <c r="G157" s="88">
        <v>0</v>
      </c>
      <c r="H157" s="70">
        <f t="shared" si="6"/>
        <v>0</v>
      </c>
      <c r="I157" s="11">
        <f ca="1">I148</f>
        <v>46120</v>
      </c>
      <c r="J157" s="11">
        <f t="shared" ca="1" si="1"/>
        <v>46118</v>
      </c>
      <c r="K157" s="13"/>
    </row>
    <row r="158" spans="1:11" ht="18" x14ac:dyDescent="0.4">
      <c r="A158" s="7" t="s">
        <v>98</v>
      </c>
      <c r="B158" s="86" t="s">
        <v>138</v>
      </c>
      <c r="C158" s="8">
        <v>51658</v>
      </c>
      <c r="D158" s="9">
        <v>463485440</v>
      </c>
      <c r="E158" s="57">
        <v>400</v>
      </c>
      <c r="F158" s="10" t="s">
        <v>147</v>
      </c>
      <c r="G158" s="88">
        <v>0</v>
      </c>
      <c r="H158" s="70">
        <f t="shared" si="6"/>
        <v>0</v>
      </c>
      <c r="I158" s="11">
        <f t="shared" ca="1" si="5"/>
        <v>46120</v>
      </c>
      <c r="J158" s="11">
        <f t="shared" ca="1" si="1"/>
        <v>46118</v>
      </c>
      <c r="K158" s="13"/>
    </row>
    <row r="159" spans="1:11" ht="18" x14ac:dyDescent="0.4">
      <c r="A159" s="7" t="s">
        <v>98</v>
      </c>
      <c r="B159" s="86" t="s">
        <v>138</v>
      </c>
      <c r="C159" s="8">
        <v>51658</v>
      </c>
      <c r="D159" s="9">
        <v>463485450</v>
      </c>
      <c r="E159" s="57">
        <v>400</v>
      </c>
      <c r="F159" s="10" t="s">
        <v>148</v>
      </c>
      <c r="G159" s="88">
        <v>0</v>
      </c>
      <c r="H159" s="70">
        <f t="shared" si="6"/>
        <v>0</v>
      </c>
      <c r="I159" s="11">
        <f t="shared" ca="1" si="5"/>
        <v>46120</v>
      </c>
      <c r="J159" s="11">
        <f t="shared" ca="1" si="1"/>
        <v>46118</v>
      </c>
      <c r="K159" s="13"/>
    </row>
    <row r="160" spans="1:11" ht="18" x14ac:dyDescent="0.4">
      <c r="A160" s="7" t="s">
        <v>98</v>
      </c>
      <c r="B160" s="86" t="s">
        <v>138</v>
      </c>
      <c r="C160" s="8">
        <v>51658</v>
      </c>
      <c r="D160" s="9">
        <v>463485460</v>
      </c>
      <c r="E160" s="57">
        <v>400</v>
      </c>
      <c r="F160" s="10" t="s">
        <v>149</v>
      </c>
      <c r="G160" s="88">
        <v>0</v>
      </c>
      <c r="H160" s="70">
        <f t="shared" si="6"/>
        <v>0</v>
      </c>
      <c r="I160" s="11">
        <f t="shared" ca="1" si="5"/>
        <v>46120</v>
      </c>
      <c r="J160" s="11">
        <f t="shared" ca="1" si="1"/>
        <v>46118</v>
      </c>
      <c r="K160" s="13"/>
    </row>
    <row r="161" spans="1:11" ht="18" x14ac:dyDescent="0.4">
      <c r="A161" s="7" t="s">
        <v>98</v>
      </c>
      <c r="B161" s="86" t="s">
        <v>138</v>
      </c>
      <c r="C161" s="8">
        <v>51659</v>
      </c>
      <c r="D161" s="9">
        <v>463563890</v>
      </c>
      <c r="E161" s="57">
        <v>400</v>
      </c>
      <c r="F161" s="10" t="s">
        <v>144</v>
      </c>
      <c r="G161" s="88">
        <v>0</v>
      </c>
      <c r="H161" s="70">
        <f t="shared" si="6"/>
        <v>0</v>
      </c>
      <c r="I161" s="11">
        <f t="shared" ca="1" si="5"/>
        <v>46120</v>
      </c>
      <c r="J161" s="11">
        <f t="shared" ca="1" si="1"/>
        <v>46118</v>
      </c>
      <c r="K161" s="13"/>
    </row>
    <row r="162" spans="1:11" ht="18" x14ac:dyDescent="0.4">
      <c r="A162" s="7" t="s">
        <v>98</v>
      </c>
      <c r="B162" s="86" t="s">
        <v>138</v>
      </c>
      <c r="C162" s="8">
        <v>51660</v>
      </c>
      <c r="D162" s="9">
        <v>463563900</v>
      </c>
      <c r="E162" s="57">
        <v>400</v>
      </c>
      <c r="F162" s="10" t="s">
        <v>145</v>
      </c>
      <c r="G162" s="88">
        <v>4000</v>
      </c>
      <c r="H162" s="70">
        <f t="shared" si="6"/>
        <v>10</v>
      </c>
      <c r="I162" s="11">
        <f t="shared" ca="1" si="5"/>
        <v>46120</v>
      </c>
      <c r="J162" s="11">
        <f t="shared" ca="1" si="1"/>
        <v>46118</v>
      </c>
      <c r="K162" s="13"/>
    </row>
    <row r="163" spans="1:11" ht="18" x14ac:dyDescent="0.4">
      <c r="A163" s="7" t="s">
        <v>98</v>
      </c>
      <c r="B163" s="85" t="s">
        <v>138</v>
      </c>
      <c r="C163" s="8">
        <v>51661</v>
      </c>
      <c r="D163" s="9">
        <v>463563910</v>
      </c>
      <c r="E163" s="57">
        <v>400</v>
      </c>
      <c r="F163" s="10" t="s">
        <v>146</v>
      </c>
      <c r="G163" s="88">
        <v>0</v>
      </c>
      <c r="H163" s="70">
        <f t="shared" si="6"/>
        <v>0</v>
      </c>
      <c r="I163" s="11">
        <f t="shared" ca="1" si="5"/>
        <v>46120</v>
      </c>
      <c r="J163" s="11">
        <f t="shared" ca="1" si="1"/>
        <v>46118</v>
      </c>
      <c r="K163" s="13"/>
    </row>
    <row r="164" spans="1:11" ht="18" x14ac:dyDescent="0.4">
      <c r="A164" s="7" t="s">
        <v>98</v>
      </c>
      <c r="B164" s="85" t="s">
        <v>138</v>
      </c>
      <c r="C164" s="8">
        <v>51662</v>
      </c>
      <c r="D164" s="9">
        <v>463563950</v>
      </c>
      <c r="E164" s="57">
        <v>400</v>
      </c>
      <c r="F164" s="10" t="s">
        <v>147</v>
      </c>
      <c r="G164" s="88">
        <v>0</v>
      </c>
      <c r="H164" s="70">
        <f t="shared" si="6"/>
        <v>0</v>
      </c>
      <c r="I164" s="11">
        <f t="shared" ca="1" si="5"/>
        <v>46120</v>
      </c>
      <c r="J164" s="11">
        <f t="shared" ca="1" si="1"/>
        <v>46118</v>
      </c>
      <c r="K164" s="13"/>
    </row>
    <row r="165" spans="1:11" ht="18" x14ac:dyDescent="0.4">
      <c r="A165" s="7" t="s">
        <v>98</v>
      </c>
      <c r="B165" s="85" t="s">
        <v>138</v>
      </c>
      <c r="C165" s="8">
        <v>51663</v>
      </c>
      <c r="D165" s="9">
        <v>463563960</v>
      </c>
      <c r="E165" s="57">
        <v>400</v>
      </c>
      <c r="F165" s="10" t="s">
        <v>148</v>
      </c>
      <c r="G165" s="88">
        <v>4000</v>
      </c>
      <c r="H165" s="70">
        <f t="shared" si="6"/>
        <v>10</v>
      </c>
      <c r="I165" s="11">
        <f t="shared" ca="1" si="5"/>
        <v>46120</v>
      </c>
      <c r="J165" s="11">
        <f t="shared" ca="1" si="1"/>
        <v>46118</v>
      </c>
      <c r="K165" s="13"/>
    </row>
    <row r="166" spans="1:11" ht="18" x14ac:dyDescent="0.4">
      <c r="A166" s="7" t="s">
        <v>98</v>
      </c>
      <c r="B166" s="85" t="s">
        <v>138</v>
      </c>
      <c r="C166" s="8">
        <v>51664</v>
      </c>
      <c r="D166" s="9">
        <v>463563970</v>
      </c>
      <c r="E166" s="57">
        <v>400</v>
      </c>
      <c r="F166" s="10" t="s">
        <v>149</v>
      </c>
      <c r="G166" s="88">
        <v>0</v>
      </c>
      <c r="H166" s="70">
        <f t="shared" si="6"/>
        <v>0</v>
      </c>
      <c r="I166" s="11">
        <f t="shared" ca="1" si="5"/>
        <v>46120</v>
      </c>
      <c r="J166" s="11">
        <f t="shared" ca="1" si="1"/>
        <v>46118</v>
      </c>
      <c r="K166" s="13"/>
    </row>
    <row r="167" spans="1:11" ht="18" x14ac:dyDescent="0.4">
      <c r="A167" s="7" t="s">
        <v>98</v>
      </c>
      <c r="B167" s="85" t="s">
        <v>138</v>
      </c>
      <c r="C167" s="8">
        <v>51620</v>
      </c>
      <c r="D167" s="9">
        <v>463485280</v>
      </c>
      <c r="E167" s="57">
        <v>840</v>
      </c>
      <c r="F167" s="10" t="s">
        <v>150</v>
      </c>
      <c r="G167" s="88">
        <v>0</v>
      </c>
      <c r="H167" s="70">
        <f t="shared" si="6"/>
        <v>0</v>
      </c>
      <c r="I167" s="11">
        <f t="shared" ca="1" si="5"/>
        <v>46120</v>
      </c>
      <c r="J167" s="11">
        <f t="shared" ca="1" si="1"/>
        <v>46118</v>
      </c>
      <c r="K167" s="13"/>
    </row>
    <row r="168" spans="1:11" ht="18" x14ac:dyDescent="0.4">
      <c r="A168" s="7" t="s">
        <v>98</v>
      </c>
      <c r="B168" s="85" t="s">
        <v>138</v>
      </c>
      <c r="C168" s="8">
        <v>51620</v>
      </c>
      <c r="D168" s="9">
        <v>463485300</v>
      </c>
      <c r="E168" s="57">
        <v>840</v>
      </c>
      <c r="F168" s="10" t="s">
        <v>151</v>
      </c>
      <c r="G168" s="88">
        <v>5040</v>
      </c>
      <c r="H168" s="70">
        <f t="shared" si="6"/>
        <v>6</v>
      </c>
      <c r="I168" s="11">
        <f t="shared" ca="1" si="5"/>
        <v>46120</v>
      </c>
      <c r="J168" s="11">
        <f t="shared" ca="1" si="1"/>
        <v>46118</v>
      </c>
      <c r="K168" s="13"/>
    </row>
    <row r="169" spans="1:11" ht="18" x14ac:dyDescent="0.4">
      <c r="A169" s="7" t="s">
        <v>98</v>
      </c>
      <c r="B169" s="85" t="s">
        <v>138</v>
      </c>
      <c r="C169" s="8">
        <v>51620</v>
      </c>
      <c r="D169" s="9">
        <v>463485320</v>
      </c>
      <c r="E169" s="57">
        <v>840</v>
      </c>
      <c r="F169" s="10" t="s">
        <v>152</v>
      </c>
      <c r="G169" s="88">
        <v>0</v>
      </c>
      <c r="H169" s="70">
        <f t="shared" si="6"/>
        <v>0</v>
      </c>
      <c r="I169" s="11">
        <f t="shared" ca="1" si="5"/>
        <v>46120</v>
      </c>
      <c r="J169" s="11">
        <f t="shared" ca="1" si="1"/>
        <v>46118</v>
      </c>
      <c r="K169" s="13"/>
    </row>
    <row r="170" spans="1:11" ht="18" x14ac:dyDescent="0.4">
      <c r="A170" s="7" t="s">
        <v>98</v>
      </c>
      <c r="B170" s="85" t="s">
        <v>153</v>
      </c>
      <c r="C170" s="8">
        <v>21796</v>
      </c>
      <c r="D170" s="9">
        <v>463508340</v>
      </c>
      <c r="E170" s="57">
        <v>1920</v>
      </c>
      <c r="F170" s="10" t="s">
        <v>154</v>
      </c>
      <c r="G170" s="88">
        <v>3840</v>
      </c>
      <c r="H170" s="70">
        <f t="shared" si="6"/>
        <v>2</v>
      </c>
      <c r="I170" s="11">
        <f t="shared" ref="I170:I205" ca="1" si="8">I162</f>
        <v>46120</v>
      </c>
      <c r="J170" s="11">
        <f t="shared" ca="1" si="1"/>
        <v>46118</v>
      </c>
      <c r="K170" s="13"/>
    </row>
    <row r="171" spans="1:11" ht="18" x14ac:dyDescent="0.4">
      <c r="A171" s="7" t="s">
        <v>98</v>
      </c>
      <c r="B171" s="85" t="s">
        <v>138</v>
      </c>
      <c r="C171" s="8">
        <v>15565</v>
      </c>
      <c r="D171" s="9">
        <v>463526200</v>
      </c>
      <c r="E171" s="57">
        <v>30</v>
      </c>
      <c r="F171" s="10" t="s">
        <v>155</v>
      </c>
      <c r="G171" s="88">
        <v>600</v>
      </c>
      <c r="H171" s="70">
        <f t="shared" si="6"/>
        <v>20</v>
      </c>
      <c r="I171" s="11">
        <f t="shared" ca="1" si="8"/>
        <v>46120</v>
      </c>
      <c r="J171" s="11">
        <f t="shared" ca="1" si="1"/>
        <v>46118</v>
      </c>
      <c r="K171" s="13"/>
    </row>
    <row r="172" spans="1:11" ht="18" x14ac:dyDescent="0.4">
      <c r="A172" s="7" t="s">
        <v>98</v>
      </c>
      <c r="B172" s="85" t="s">
        <v>138</v>
      </c>
      <c r="C172" s="8">
        <v>15565</v>
      </c>
      <c r="D172" s="9">
        <v>463496640</v>
      </c>
      <c r="E172" s="57">
        <v>30</v>
      </c>
      <c r="F172" s="10" t="s">
        <v>155</v>
      </c>
      <c r="G172" s="88">
        <v>240</v>
      </c>
      <c r="H172" s="70">
        <f t="shared" si="6"/>
        <v>8</v>
      </c>
      <c r="I172" s="11">
        <f t="shared" ca="1" si="8"/>
        <v>46120</v>
      </c>
      <c r="J172" s="11">
        <f t="shared" ca="1" si="1"/>
        <v>46118</v>
      </c>
      <c r="K172" s="13"/>
    </row>
    <row r="173" spans="1:11" ht="18" x14ac:dyDescent="0.4">
      <c r="A173" s="7" t="s">
        <v>98</v>
      </c>
      <c r="B173" s="85" t="s">
        <v>138</v>
      </c>
      <c r="C173" s="8">
        <v>15565</v>
      </c>
      <c r="D173" s="9">
        <v>463548380</v>
      </c>
      <c r="E173" s="57">
        <v>30</v>
      </c>
      <c r="F173" s="10" t="s">
        <v>155</v>
      </c>
      <c r="G173" s="88">
        <v>450</v>
      </c>
      <c r="H173" s="70">
        <f t="shared" si="6"/>
        <v>15</v>
      </c>
      <c r="I173" s="11">
        <f t="shared" ca="1" si="8"/>
        <v>46120</v>
      </c>
      <c r="J173" s="11">
        <f t="shared" ca="1" si="1"/>
        <v>46118</v>
      </c>
      <c r="K173" s="8"/>
    </row>
    <row r="174" spans="1:11" ht="18" x14ac:dyDescent="0.4">
      <c r="A174" s="7" t="s">
        <v>98</v>
      </c>
      <c r="B174" s="85" t="s">
        <v>156</v>
      </c>
      <c r="C174" s="8">
        <v>49630</v>
      </c>
      <c r="D174" s="9">
        <v>463476050</v>
      </c>
      <c r="E174" s="57">
        <v>720</v>
      </c>
      <c r="F174" s="10" t="s">
        <v>157</v>
      </c>
      <c r="G174" s="88">
        <v>2160</v>
      </c>
      <c r="H174" s="70">
        <f t="shared" si="6"/>
        <v>3</v>
      </c>
      <c r="I174" s="11">
        <f t="shared" ca="1" si="8"/>
        <v>46120</v>
      </c>
      <c r="J174" s="11">
        <f t="shared" ca="1" si="1"/>
        <v>46118</v>
      </c>
      <c r="K174" s="8"/>
    </row>
    <row r="175" spans="1:11" ht="18" x14ac:dyDescent="0.4">
      <c r="A175" s="7" t="s">
        <v>98</v>
      </c>
      <c r="B175" s="85" t="s">
        <v>158</v>
      </c>
      <c r="C175" s="8">
        <v>73850</v>
      </c>
      <c r="D175" s="9">
        <v>463491430</v>
      </c>
      <c r="E175" s="57">
        <v>600</v>
      </c>
      <c r="F175" s="10" t="s">
        <v>159</v>
      </c>
      <c r="G175" s="88">
        <v>3600</v>
      </c>
      <c r="H175" s="70">
        <f t="shared" si="6"/>
        <v>6</v>
      </c>
      <c r="I175" s="11">
        <f t="shared" ca="1" si="8"/>
        <v>46120</v>
      </c>
      <c r="J175" s="11">
        <f t="shared" ca="1" si="1"/>
        <v>46118</v>
      </c>
      <c r="K175" s="8"/>
    </row>
    <row r="176" spans="1:11" ht="18" x14ac:dyDescent="0.4">
      <c r="A176" s="7" t="s">
        <v>98</v>
      </c>
      <c r="B176" s="85" t="s">
        <v>160</v>
      </c>
      <c r="C176" s="8">
        <v>40870</v>
      </c>
      <c r="D176" s="9">
        <v>463479340</v>
      </c>
      <c r="E176" s="57">
        <v>100</v>
      </c>
      <c r="F176" s="10" t="s">
        <v>161</v>
      </c>
      <c r="G176" s="88">
        <v>0</v>
      </c>
      <c r="H176" s="70">
        <f t="shared" si="6"/>
        <v>0</v>
      </c>
      <c r="I176" s="11">
        <f t="shared" ca="1" si="8"/>
        <v>46120</v>
      </c>
      <c r="J176" s="11">
        <f t="shared" ca="1" si="1"/>
        <v>46118</v>
      </c>
      <c r="K176" s="8"/>
    </row>
    <row r="177" spans="1:11" ht="18" x14ac:dyDescent="0.4">
      <c r="A177" s="7" t="s">
        <v>98</v>
      </c>
      <c r="B177" s="85" t="s">
        <v>160</v>
      </c>
      <c r="C177" s="8">
        <v>40870</v>
      </c>
      <c r="D177" s="9">
        <v>463479350</v>
      </c>
      <c r="E177" s="57">
        <v>100</v>
      </c>
      <c r="F177" s="10" t="s">
        <v>162</v>
      </c>
      <c r="G177" s="88">
        <v>0</v>
      </c>
      <c r="H177" s="70">
        <f t="shared" si="6"/>
        <v>0</v>
      </c>
      <c r="I177" s="11">
        <f t="shared" ca="1" si="8"/>
        <v>46120</v>
      </c>
      <c r="J177" s="11">
        <f t="shared" ca="1" si="1"/>
        <v>46118</v>
      </c>
      <c r="K177" s="8"/>
    </row>
    <row r="178" spans="1:11" ht="18" x14ac:dyDescent="0.4">
      <c r="A178" s="7" t="s">
        <v>98</v>
      </c>
      <c r="B178" s="85" t="s">
        <v>163</v>
      </c>
      <c r="C178" s="8">
        <v>10675</v>
      </c>
      <c r="D178" s="9">
        <v>552822300</v>
      </c>
      <c r="E178" s="57">
        <v>4320</v>
      </c>
      <c r="F178" s="10" t="s">
        <v>164</v>
      </c>
      <c r="G178" s="88">
        <v>14400</v>
      </c>
      <c r="H178" s="70">
        <f t="shared" si="6"/>
        <v>3.3333333333333335</v>
      </c>
      <c r="I178" s="11">
        <f t="shared" ca="1" si="8"/>
        <v>46120</v>
      </c>
      <c r="J178" s="11">
        <f t="shared" ca="1" si="1"/>
        <v>46118</v>
      </c>
      <c r="K178" s="8"/>
    </row>
    <row r="179" spans="1:11" ht="18" x14ac:dyDescent="0.4">
      <c r="A179" s="7" t="s">
        <v>98</v>
      </c>
      <c r="B179" s="85" t="s">
        <v>163</v>
      </c>
      <c r="C179" s="8">
        <v>10675</v>
      </c>
      <c r="D179" s="9">
        <v>552822310</v>
      </c>
      <c r="E179" s="57">
        <v>4320</v>
      </c>
      <c r="F179" s="10" t="s">
        <v>165</v>
      </c>
      <c r="G179" s="88">
        <v>14400</v>
      </c>
      <c r="H179" s="70">
        <f t="shared" si="6"/>
        <v>3.3333333333333335</v>
      </c>
      <c r="I179" s="11">
        <f t="shared" ca="1" si="8"/>
        <v>46120</v>
      </c>
      <c r="J179" s="11">
        <f t="shared" ca="1" si="1"/>
        <v>46118</v>
      </c>
      <c r="K179" s="8"/>
    </row>
    <row r="180" spans="1:11" ht="18" x14ac:dyDescent="0.4">
      <c r="A180" s="7" t="s">
        <v>98</v>
      </c>
      <c r="B180" s="85" t="s">
        <v>163</v>
      </c>
      <c r="C180" s="8">
        <v>10675</v>
      </c>
      <c r="D180" s="9">
        <v>463405760</v>
      </c>
      <c r="E180" s="57">
        <v>680</v>
      </c>
      <c r="F180" s="10" t="s">
        <v>166</v>
      </c>
      <c r="G180" s="88">
        <v>0</v>
      </c>
      <c r="H180" s="70">
        <f t="shared" si="6"/>
        <v>0</v>
      </c>
      <c r="I180" s="11">
        <f t="shared" ca="1" si="8"/>
        <v>46120</v>
      </c>
      <c r="J180" s="11">
        <f t="shared" ca="1" si="1"/>
        <v>46118</v>
      </c>
      <c r="K180" s="8"/>
    </row>
    <row r="181" spans="1:11" ht="18" x14ac:dyDescent="0.4">
      <c r="A181" s="7" t="s">
        <v>98</v>
      </c>
      <c r="B181" s="85" t="s">
        <v>167</v>
      </c>
      <c r="C181" s="8">
        <v>64641</v>
      </c>
      <c r="D181" s="9">
        <v>463543900</v>
      </c>
      <c r="E181" s="57">
        <v>20000</v>
      </c>
      <c r="F181" s="10" t="s">
        <v>168</v>
      </c>
      <c r="G181" s="88">
        <v>20000</v>
      </c>
      <c r="H181" s="70">
        <f t="shared" si="6"/>
        <v>1</v>
      </c>
      <c r="I181" s="11">
        <f t="shared" ca="1" si="8"/>
        <v>46120</v>
      </c>
      <c r="J181" s="11">
        <f t="shared" ca="1" si="1"/>
        <v>46118</v>
      </c>
      <c r="K181" s="13"/>
    </row>
    <row r="182" spans="1:11" ht="18" x14ac:dyDescent="0.4">
      <c r="A182" s="7" t="s">
        <v>98</v>
      </c>
      <c r="B182" s="85" t="s">
        <v>169</v>
      </c>
      <c r="C182" s="8">
        <v>31610</v>
      </c>
      <c r="D182" s="9">
        <v>552822380</v>
      </c>
      <c r="E182" s="57">
        <v>600</v>
      </c>
      <c r="F182" s="10" t="s">
        <v>170</v>
      </c>
      <c r="G182" s="88">
        <v>0</v>
      </c>
      <c r="H182" s="70">
        <f t="shared" si="6"/>
        <v>0</v>
      </c>
      <c r="I182" s="11">
        <f t="shared" ca="1" si="8"/>
        <v>46120</v>
      </c>
      <c r="J182" s="11">
        <f t="shared" ca="1" si="1"/>
        <v>46118</v>
      </c>
      <c r="K182" s="13"/>
    </row>
    <row r="183" spans="1:11" ht="18" x14ac:dyDescent="0.4">
      <c r="A183" s="7" t="s">
        <v>98</v>
      </c>
      <c r="B183" s="85" t="s">
        <v>169</v>
      </c>
      <c r="C183" s="8">
        <v>31610</v>
      </c>
      <c r="D183" s="9">
        <v>463572030</v>
      </c>
      <c r="E183" s="57">
        <v>600</v>
      </c>
      <c r="F183" s="10" t="s">
        <v>171</v>
      </c>
      <c r="G183" s="88">
        <v>1040</v>
      </c>
      <c r="H183" s="70">
        <f t="shared" si="6"/>
        <v>1.7333333333333334</v>
      </c>
      <c r="I183" s="11">
        <f t="shared" ca="1" si="8"/>
        <v>46120</v>
      </c>
      <c r="J183" s="11">
        <f t="shared" ca="1" si="1"/>
        <v>46118</v>
      </c>
      <c r="K183" s="13"/>
    </row>
    <row r="184" spans="1:11" ht="18" x14ac:dyDescent="0.4">
      <c r="A184" s="7" t="s">
        <v>98</v>
      </c>
      <c r="B184" s="85" t="s">
        <v>169</v>
      </c>
      <c r="C184" s="8">
        <v>31610</v>
      </c>
      <c r="D184" s="9">
        <v>463572050</v>
      </c>
      <c r="E184" s="57">
        <v>600</v>
      </c>
      <c r="F184" s="10" t="s">
        <v>172</v>
      </c>
      <c r="G184" s="88">
        <v>0</v>
      </c>
      <c r="H184" s="70">
        <f t="shared" si="6"/>
        <v>0</v>
      </c>
      <c r="I184" s="11">
        <f t="shared" ca="1" si="8"/>
        <v>46120</v>
      </c>
      <c r="J184" s="11">
        <f t="shared" ca="1" si="1"/>
        <v>46118</v>
      </c>
      <c r="K184" s="13"/>
    </row>
    <row r="185" spans="1:11" ht="18" x14ac:dyDescent="0.4">
      <c r="A185" s="7" t="s">
        <v>98</v>
      </c>
      <c r="B185" s="85" t="s">
        <v>169</v>
      </c>
      <c r="C185" s="8">
        <v>31610</v>
      </c>
      <c r="D185" s="9">
        <v>552823560</v>
      </c>
      <c r="E185" s="57">
        <v>600</v>
      </c>
      <c r="F185" s="10" t="s">
        <v>173</v>
      </c>
      <c r="G185" s="88">
        <v>1200</v>
      </c>
      <c r="H185" s="70">
        <f t="shared" si="6"/>
        <v>2</v>
      </c>
      <c r="I185" s="11">
        <f t="shared" ca="1" si="8"/>
        <v>46120</v>
      </c>
      <c r="J185" s="11">
        <f t="shared" ca="1" si="1"/>
        <v>46118</v>
      </c>
      <c r="K185" s="13"/>
    </row>
    <row r="186" spans="1:11" ht="18" x14ac:dyDescent="0.4">
      <c r="A186" s="7" t="s">
        <v>98</v>
      </c>
      <c r="B186" s="85" t="s">
        <v>169</v>
      </c>
      <c r="C186" s="8">
        <v>31610</v>
      </c>
      <c r="D186" s="9">
        <v>463572040</v>
      </c>
      <c r="E186" s="57">
        <v>600</v>
      </c>
      <c r="F186" s="10" t="s">
        <v>174</v>
      </c>
      <c r="G186" s="88">
        <v>1680</v>
      </c>
      <c r="H186" s="70">
        <f t="shared" si="6"/>
        <v>2.8</v>
      </c>
      <c r="I186" s="11">
        <f t="shared" ca="1" si="8"/>
        <v>46120</v>
      </c>
      <c r="J186" s="11">
        <f t="shared" ca="1" si="1"/>
        <v>46118</v>
      </c>
      <c r="K186" s="13"/>
    </row>
    <row r="187" spans="1:11" ht="18" x14ac:dyDescent="0.4">
      <c r="A187" s="7" t="s">
        <v>98</v>
      </c>
      <c r="B187" s="85" t="s">
        <v>169</v>
      </c>
      <c r="C187" s="8">
        <v>31610</v>
      </c>
      <c r="D187" s="9">
        <v>463572060</v>
      </c>
      <c r="E187" s="57">
        <v>600</v>
      </c>
      <c r="F187" s="10" t="s">
        <v>175</v>
      </c>
      <c r="G187" s="88">
        <v>0</v>
      </c>
      <c r="H187" s="70">
        <f t="shared" si="6"/>
        <v>0</v>
      </c>
      <c r="I187" s="11">
        <f t="shared" ca="1" si="8"/>
        <v>46120</v>
      </c>
      <c r="J187" s="11">
        <f t="shared" ca="1" si="1"/>
        <v>46118</v>
      </c>
      <c r="K187" s="13"/>
    </row>
    <row r="188" spans="1:11" ht="18" x14ac:dyDescent="0.4">
      <c r="A188" s="7" t="s">
        <v>98</v>
      </c>
      <c r="B188" s="85" t="s">
        <v>176</v>
      </c>
      <c r="C188" s="8">
        <v>50111</v>
      </c>
      <c r="D188" s="9">
        <v>552833910</v>
      </c>
      <c r="E188" s="57">
        <v>9000</v>
      </c>
      <c r="F188" s="10" t="s">
        <v>177</v>
      </c>
      <c r="G188" s="88">
        <v>18000</v>
      </c>
      <c r="H188" s="70">
        <f t="shared" si="6"/>
        <v>2</v>
      </c>
      <c r="I188" s="11">
        <f t="shared" ca="1" si="8"/>
        <v>46120</v>
      </c>
      <c r="J188" s="11">
        <f t="shared" ca="1" si="1"/>
        <v>46118</v>
      </c>
      <c r="K188" s="13"/>
    </row>
    <row r="189" spans="1:11" ht="18" x14ac:dyDescent="0.4">
      <c r="A189" s="7" t="s">
        <v>98</v>
      </c>
      <c r="B189" s="85" t="s">
        <v>178</v>
      </c>
      <c r="C189" s="8">
        <v>56589</v>
      </c>
      <c r="D189" s="9">
        <v>463384907</v>
      </c>
      <c r="E189" s="57">
        <v>30</v>
      </c>
      <c r="F189" s="10" t="s">
        <v>179</v>
      </c>
      <c r="G189" s="88">
        <v>990</v>
      </c>
      <c r="H189" s="70">
        <f t="shared" si="6"/>
        <v>33</v>
      </c>
      <c r="I189" s="11">
        <f t="shared" ca="1" si="8"/>
        <v>46120</v>
      </c>
      <c r="J189" s="11">
        <f t="shared" ca="1" si="1"/>
        <v>46118</v>
      </c>
      <c r="K189" s="13"/>
    </row>
    <row r="190" spans="1:11" ht="18" x14ac:dyDescent="0.4">
      <c r="A190" s="7" t="s">
        <v>98</v>
      </c>
      <c r="B190" s="85" t="s">
        <v>178</v>
      </c>
      <c r="C190" s="8">
        <v>56589</v>
      </c>
      <c r="D190" s="9">
        <v>463384997</v>
      </c>
      <c r="E190" s="57">
        <v>30</v>
      </c>
      <c r="F190" s="10" t="s">
        <v>180</v>
      </c>
      <c r="G190" s="88">
        <v>600</v>
      </c>
      <c r="H190" s="70">
        <f t="shared" si="6"/>
        <v>20</v>
      </c>
      <c r="I190" s="11">
        <f t="shared" ca="1" si="8"/>
        <v>46120</v>
      </c>
      <c r="J190" s="11">
        <f t="shared" ca="1" si="1"/>
        <v>46118</v>
      </c>
      <c r="K190" s="13"/>
    </row>
    <row r="191" spans="1:11" ht="18" x14ac:dyDescent="0.4">
      <c r="A191" s="7" t="s">
        <v>98</v>
      </c>
      <c r="B191" s="85" t="s">
        <v>181</v>
      </c>
      <c r="C191" s="8">
        <v>50050</v>
      </c>
      <c r="D191" s="9">
        <v>463529270</v>
      </c>
      <c r="E191" s="57">
        <v>432</v>
      </c>
      <c r="F191" s="10" t="s">
        <v>182</v>
      </c>
      <c r="G191" s="88">
        <v>1728</v>
      </c>
      <c r="H191" s="70">
        <f t="shared" si="6"/>
        <v>4</v>
      </c>
      <c r="I191" s="11">
        <f t="shared" ca="1" si="8"/>
        <v>46120</v>
      </c>
      <c r="J191" s="11">
        <f t="shared" ca="1" si="1"/>
        <v>46118</v>
      </c>
      <c r="K191" s="13"/>
    </row>
    <row r="192" spans="1:11" ht="18" x14ac:dyDescent="0.4">
      <c r="A192" s="7" t="s">
        <v>98</v>
      </c>
      <c r="B192" s="85" t="s">
        <v>183</v>
      </c>
      <c r="C192" s="8">
        <v>30467</v>
      </c>
      <c r="D192" s="9">
        <v>552806540</v>
      </c>
      <c r="E192" s="57">
        <v>1200</v>
      </c>
      <c r="F192" s="10" t="s">
        <v>184</v>
      </c>
      <c r="G192" s="88">
        <v>3600</v>
      </c>
      <c r="H192" s="70">
        <f t="shared" si="6"/>
        <v>3</v>
      </c>
      <c r="I192" s="11">
        <f t="shared" ca="1" si="8"/>
        <v>46120</v>
      </c>
      <c r="J192" s="11">
        <f t="shared" ca="1" si="1"/>
        <v>46118</v>
      </c>
      <c r="K192" s="13"/>
    </row>
    <row r="193" spans="1:11" ht="18" x14ac:dyDescent="0.4">
      <c r="A193" s="7" t="s">
        <v>98</v>
      </c>
      <c r="B193" s="85" t="s">
        <v>183</v>
      </c>
      <c r="C193" s="8">
        <v>30467</v>
      </c>
      <c r="D193" s="9">
        <v>463389730</v>
      </c>
      <c r="E193" s="57">
        <v>400</v>
      </c>
      <c r="F193" s="10" t="s">
        <v>185</v>
      </c>
      <c r="G193" s="88">
        <v>20000</v>
      </c>
      <c r="H193" s="70">
        <f t="shared" si="6"/>
        <v>50</v>
      </c>
      <c r="I193" s="11">
        <f t="shared" ca="1" si="8"/>
        <v>46120</v>
      </c>
      <c r="J193" s="11">
        <f t="shared" ca="1" si="1"/>
        <v>46118</v>
      </c>
      <c r="K193" s="13"/>
    </row>
    <row r="194" spans="1:11" ht="18" x14ac:dyDescent="0.4">
      <c r="A194" s="7" t="s">
        <v>98</v>
      </c>
      <c r="B194" s="85" t="s">
        <v>183</v>
      </c>
      <c r="C194" s="8">
        <v>30467</v>
      </c>
      <c r="D194" s="9">
        <v>463383070</v>
      </c>
      <c r="E194" s="57">
        <v>200</v>
      </c>
      <c r="F194" s="10" t="s">
        <v>186</v>
      </c>
      <c r="G194" s="88">
        <v>0</v>
      </c>
      <c r="H194" s="70">
        <f t="shared" si="6"/>
        <v>0</v>
      </c>
      <c r="I194" s="11">
        <f t="shared" ca="1" si="8"/>
        <v>46120</v>
      </c>
      <c r="J194" s="11">
        <f t="shared" ca="1" si="1"/>
        <v>46118</v>
      </c>
      <c r="K194" s="13"/>
    </row>
    <row r="195" spans="1:11" ht="18" x14ac:dyDescent="0.4">
      <c r="A195" s="7" t="s">
        <v>98</v>
      </c>
      <c r="B195" s="85" t="s">
        <v>183</v>
      </c>
      <c r="C195" s="8">
        <v>30467</v>
      </c>
      <c r="D195" s="9">
        <v>463532630</v>
      </c>
      <c r="E195" s="57">
        <v>250</v>
      </c>
      <c r="F195" s="10" t="s">
        <v>187</v>
      </c>
      <c r="G195" s="88">
        <v>0</v>
      </c>
      <c r="H195" s="70">
        <f t="shared" si="6"/>
        <v>0</v>
      </c>
      <c r="I195" s="11">
        <f t="shared" ca="1" si="8"/>
        <v>46120</v>
      </c>
      <c r="J195" s="11">
        <f t="shared" ca="1" si="1"/>
        <v>46118</v>
      </c>
      <c r="K195" s="13"/>
    </row>
    <row r="196" spans="1:11" ht="18" x14ac:dyDescent="0.4">
      <c r="A196" s="7" t="s">
        <v>98</v>
      </c>
      <c r="B196" s="85" t="s">
        <v>183</v>
      </c>
      <c r="C196" s="8">
        <v>30467</v>
      </c>
      <c r="D196" s="9">
        <v>552821810</v>
      </c>
      <c r="E196" s="57">
        <v>350</v>
      </c>
      <c r="F196" s="10" t="s">
        <v>188</v>
      </c>
      <c r="G196" s="88">
        <v>3500</v>
      </c>
      <c r="H196" s="70">
        <f t="shared" ref="H196:H259" si="9">+G196/E196</f>
        <v>10</v>
      </c>
      <c r="I196" s="11">
        <f t="shared" ca="1" si="8"/>
        <v>46120</v>
      </c>
      <c r="J196" s="11">
        <f t="shared" ca="1" si="1"/>
        <v>46118</v>
      </c>
      <c r="K196" s="13"/>
    </row>
    <row r="197" spans="1:11" ht="18" x14ac:dyDescent="0.4">
      <c r="A197" s="7" t="s">
        <v>98</v>
      </c>
      <c r="B197" s="52" t="s">
        <v>189</v>
      </c>
      <c r="C197" s="49">
        <v>5934</v>
      </c>
      <c r="D197" s="50">
        <v>463384870</v>
      </c>
      <c r="E197" s="49">
        <v>1000</v>
      </c>
      <c r="F197" s="51" t="s">
        <v>190</v>
      </c>
      <c r="G197" s="88">
        <v>0</v>
      </c>
      <c r="H197" s="70">
        <f t="shared" si="9"/>
        <v>0</v>
      </c>
      <c r="I197" s="11">
        <f t="shared" ca="1" si="8"/>
        <v>46120</v>
      </c>
      <c r="J197" s="11">
        <f t="shared" ca="1" si="1"/>
        <v>46118</v>
      </c>
      <c r="K197" s="13"/>
    </row>
    <row r="198" spans="1:11" ht="18" x14ac:dyDescent="0.4">
      <c r="A198" s="7" t="s">
        <v>98</v>
      </c>
      <c r="B198" s="52" t="s">
        <v>189</v>
      </c>
      <c r="C198" s="49">
        <v>5934</v>
      </c>
      <c r="D198" s="50">
        <v>463516230</v>
      </c>
      <c r="E198" s="49">
        <v>80</v>
      </c>
      <c r="F198" s="51" t="s">
        <v>191</v>
      </c>
      <c r="G198" s="88">
        <v>0</v>
      </c>
      <c r="H198" s="70">
        <f t="shared" si="9"/>
        <v>0</v>
      </c>
      <c r="I198" s="11">
        <f t="shared" ca="1" si="8"/>
        <v>46120</v>
      </c>
      <c r="J198" s="11">
        <f t="shared" ca="1" si="1"/>
        <v>46118</v>
      </c>
      <c r="K198" s="13"/>
    </row>
    <row r="199" spans="1:11" ht="18" x14ac:dyDescent="0.4">
      <c r="A199" s="7" t="s">
        <v>98</v>
      </c>
      <c r="B199" s="85" t="s">
        <v>189</v>
      </c>
      <c r="C199" s="8">
        <v>5934</v>
      </c>
      <c r="D199" s="9">
        <v>552841160</v>
      </c>
      <c r="E199" s="57">
        <v>1000</v>
      </c>
      <c r="F199" s="10" t="s">
        <v>192</v>
      </c>
      <c r="G199" s="88">
        <v>0</v>
      </c>
      <c r="H199" s="70">
        <f t="shared" si="9"/>
        <v>0</v>
      </c>
      <c r="I199" s="11">
        <f t="shared" ca="1" si="8"/>
        <v>46120</v>
      </c>
      <c r="J199" s="11">
        <f t="shared" ca="1" si="1"/>
        <v>46118</v>
      </c>
      <c r="K199" s="13"/>
    </row>
    <row r="200" spans="1:11" ht="18" x14ac:dyDescent="0.4">
      <c r="A200" s="7" t="s">
        <v>98</v>
      </c>
      <c r="B200" s="85" t="s">
        <v>193</v>
      </c>
      <c r="C200" s="8">
        <v>19414</v>
      </c>
      <c r="D200" s="9">
        <v>463532640</v>
      </c>
      <c r="E200" s="57">
        <v>1100</v>
      </c>
      <c r="F200" s="10" t="s">
        <v>194</v>
      </c>
      <c r="G200" s="88">
        <v>0</v>
      </c>
      <c r="H200" s="70">
        <f t="shared" si="9"/>
        <v>0</v>
      </c>
      <c r="I200" s="11">
        <f t="shared" ca="1" si="8"/>
        <v>46120</v>
      </c>
      <c r="J200" s="11">
        <f t="shared" ca="1" si="1"/>
        <v>46118</v>
      </c>
      <c r="K200" s="13"/>
    </row>
    <row r="201" spans="1:11" ht="18" x14ac:dyDescent="0.4">
      <c r="A201" s="7" t="s">
        <v>98</v>
      </c>
      <c r="B201" s="85" t="s">
        <v>193</v>
      </c>
      <c r="C201" s="8">
        <v>19414</v>
      </c>
      <c r="D201" s="9">
        <v>463532650</v>
      </c>
      <c r="E201" s="57">
        <v>800</v>
      </c>
      <c r="F201" s="10" t="s">
        <v>195</v>
      </c>
      <c r="G201" s="88">
        <v>24000</v>
      </c>
      <c r="H201" s="70">
        <f t="shared" si="9"/>
        <v>30</v>
      </c>
      <c r="I201" s="11">
        <f t="shared" ca="1" si="8"/>
        <v>46120</v>
      </c>
      <c r="J201" s="11">
        <f t="shared" ca="1" si="1"/>
        <v>46118</v>
      </c>
      <c r="K201" s="13"/>
    </row>
    <row r="202" spans="1:11" ht="18" x14ac:dyDescent="0.4">
      <c r="A202" s="7" t="s">
        <v>98</v>
      </c>
      <c r="B202" s="85" t="s">
        <v>193</v>
      </c>
      <c r="C202" s="8">
        <v>19414</v>
      </c>
      <c r="D202" s="9">
        <v>162970240</v>
      </c>
      <c r="E202" s="57">
        <v>500</v>
      </c>
      <c r="F202" s="10" t="s">
        <v>196</v>
      </c>
      <c r="G202" s="88">
        <v>0</v>
      </c>
      <c r="H202" s="70">
        <f t="shared" si="9"/>
        <v>0</v>
      </c>
      <c r="I202" s="11">
        <f t="shared" ca="1" si="8"/>
        <v>46120</v>
      </c>
      <c r="J202" s="11">
        <f t="shared" ca="1" si="1"/>
        <v>46118</v>
      </c>
      <c r="K202" s="13"/>
    </row>
    <row r="203" spans="1:11" ht="18" x14ac:dyDescent="0.4">
      <c r="A203" s="7" t="s">
        <v>98</v>
      </c>
      <c r="B203" s="85" t="s">
        <v>197</v>
      </c>
      <c r="C203" s="8">
        <v>1020</v>
      </c>
      <c r="D203" s="9">
        <v>463379748</v>
      </c>
      <c r="E203" s="57">
        <v>18</v>
      </c>
      <c r="F203" s="10" t="s">
        <v>198</v>
      </c>
      <c r="G203" s="88">
        <v>630</v>
      </c>
      <c r="H203" s="70">
        <f t="shared" si="9"/>
        <v>35</v>
      </c>
      <c r="I203" s="11">
        <f t="shared" ca="1" si="8"/>
        <v>46120</v>
      </c>
      <c r="J203" s="11">
        <f t="shared" ca="1" si="1"/>
        <v>46118</v>
      </c>
      <c r="K203" s="13"/>
    </row>
    <row r="204" spans="1:11" ht="18" x14ac:dyDescent="0.4">
      <c r="A204" s="7" t="s">
        <v>98</v>
      </c>
      <c r="B204" s="85" t="s">
        <v>197</v>
      </c>
      <c r="C204" s="8">
        <v>1020</v>
      </c>
      <c r="D204" s="9">
        <v>463379778</v>
      </c>
      <c r="E204" s="57">
        <v>18</v>
      </c>
      <c r="F204" s="10" t="s">
        <v>199</v>
      </c>
      <c r="G204" s="88">
        <v>900</v>
      </c>
      <c r="H204" s="70">
        <f t="shared" si="9"/>
        <v>50</v>
      </c>
      <c r="I204" s="11">
        <f t="shared" ca="1" si="8"/>
        <v>46120</v>
      </c>
      <c r="J204" s="11">
        <f t="shared" ca="1" si="1"/>
        <v>46118</v>
      </c>
      <c r="K204" s="13"/>
    </row>
    <row r="205" spans="1:11" ht="18" x14ac:dyDescent="0.4">
      <c r="A205" s="7" t="s">
        <v>98</v>
      </c>
      <c r="B205" s="85" t="s">
        <v>200</v>
      </c>
      <c r="C205" s="8">
        <v>1073</v>
      </c>
      <c r="D205" s="9">
        <v>463576288</v>
      </c>
      <c r="E205" s="57">
        <v>27</v>
      </c>
      <c r="F205" s="10" t="s">
        <v>201</v>
      </c>
      <c r="G205" s="88">
        <v>594</v>
      </c>
      <c r="H205" s="70">
        <f t="shared" si="9"/>
        <v>22</v>
      </c>
      <c r="I205" s="11">
        <f t="shared" ca="1" si="8"/>
        <v>46120</v>
      </c>
      <c r="J205" s="11">
        <f t="shared" ca="1" si="1"/>
        <v>46118</v>
      </c>
      <c r="K205" s="13"/>
    </row>
    <row r="206" spans="1:11" ht="18" x14ac:dyDescent="0.4">
      <c r="A206" s="7" t="s">
        <v>98</v>
      </c>
      <c r="B206" s="85" t="s">
        <v>200</v>
      </c>
      <c r="C206" s="8">
        <v>1073</v>
      </c>
      <c r="D206" s="9">
        <v>463576277</v>
      </c>
      <c r="E206" s="57">
        <v>36</v>
      </c>
      <c r="F206" s="10" t="s">
        <v>202</v>
      </c>
      <c r="G206" s="88">
        <v>648</v>
      </c>
      <c r="H206" s="70">
        <f t="shared" si="9"/>
        <v>18</v>
      </c>
      <c r="I206" s="11">
        <f t="shared" ref="I206:I245" ca="1" si="10">I205</f>
        <v>46120</v>
      </c>
      <c r="J206" s="11">
        <f t="shared" ca="1" si="1"/>
        <v>46118</v>
      </c>
      <c r="K206" s="13"/>
    </row>
    <row r="207" spans="1:11" ht="18" x14ac:dyDescent="0.4">
      <c r="A207" s="7" t="s">
        <v>98</v>
      </c>
      <c r="B207" s="85" t="s">
        <v>197</v>
      </c>
      <c r="C207" s="8">
        <v>1020</v>
      </c>
      <c r="D207" s="9">
        <v>463384927</v>
      </c>
      <c r="E207" s="57">
        <v>32</v>
      </c>
      <c r="F207" s="10" t="s">
        <v>203</v>
      </c>
      <c r="G207" s="88">
        <v>640</v>
      </c>
      <c r="H207" s="70">
        <f t="shared" si="9"/>
        <v>20</v>
      </c>
      <c r="I207" s="11">
        <f t="shared" ca="1" si="10"/>
        <v>46120</v>
      </c>
      <c r="J207" s="11">
        <f t="shared" ca="1" si="1"/>
        <v>46118</v>
      </c>
      <c r="K207" s="13"/>
    </row>
    <row r="208" spans="1:11" ht="18" x14ac:dyDescent="0.4">
      <c r="A208" s="7" t="s">
        <v>98</v>
      </c>
      <c r="B208" s="85" t="s">
        <v>197</v>
      </c>
      <c r="C208" s="8">
        <v>1020</v>
      </c>
      <c r="D208" s="9">
        <v>463489077</v>
      </c>
      <c r="E208" s="57">
        <v>32</v>
      </c>
      <c r="F208" s="10" t="s">
        <v>204</v>
      </c>
      <c r="G208" s="88">
        <v>960</v>
      </c>
      <c r="H208" s="70">
        <f t="shared" si="9"/>
        <v>30</v>
      </c>
      <c r="I208" s="11">
        <f t="shared" ca="1" si="10"/>
        <v>46120</v>
      </c>
      <c r="J208" s="11">
        <f t="shared" ca="1" si="1"/>
        <v>46118</v>
      </c>
      <c r="K208" s="13"/>
    </row>
    <row r="209" spans="1:11" ht="18" x14ac:dyDescent="0.4">
      <c r="A209" s="7" t="s">
        <v>98</v>
      </c>
      <c r="B209" s="85" t="s">
        <v>205</v>
      </c>
      <c r="C209" s="8">
        <v>11431</v>
      </c>
      <c r="D209" s="9">
        <v>463526240</v>
      </c>
      <c r="E209" s="57">
        <v>1600</v>
      </c>
      <c r="F209" s="10" t="s">
        <v>206</v>
      </c>
      <c r="G209" s="88">
        <v>0</v>
      </c>
      <c r="H209" s="70">
        <f t="shared" si="9"/>
        <v>0</v>
      </c>
      <c r="I209" s="11">
        <f t="shared" ca="1" si="10"/>
        <v>46120</v>
      </c>
      <c r="J209" s="11">
        <f t="shared" ca="1" si="1"/>
        <v>46118</v>
      </c>
      <c r="K209" s="13"/>
    </row>
    <row r="210" spans="1:11" ht="18" x14ac:dyDescent="0.4">
      <c r="A210" s="7" t="s">
        <v>98</v>
      </c>
      <c r="B210" s="85" t="s">
        <v>205</v>
      </c>
      <c r="C210" s="8">
        <v>11431</v>
      </c>
      <c r="D210" s="9">
        <v>463496660</v>
      </c>
      <c r="E210" s="57">
        <v>800</v>
      </c>
      <c r="F210" s="10" t="s">
        <v>206</v>
      </c>
      <c r="G210" s="88">
        <v>0</v>
      </c>
      <c r="H210" s="70">
        <f t="shared" si="9"/>
        <v>0</v>
      </c>
      <c r="I210" s="11">
        <f t="shared" ca="1" si="10"/>
        <v>46120</v>
      </c>
      <c r="J210" s="11">
        <f t="shared" ca="1" si="1"/>
        <v>46118</v>
      </c>
      <c r="K210" s="13"/>
    </row>
    <row r="211" spans="1:11" ht="18" x14ac:dyDescent="0.4">
      <c r="A211" s="7" t="s">
        <v>98</v>
      </c>
      <c r="B211" s="85" t="s">
        <v>205</v>
      </c>
      <c r="C211" s="8">
        <v>11431</v>
      </c>
      <c r="D211" s="9">
        <v>463492670</v>
      </c>
      <c r="E211" s="57">
        <v>800</v>
      </c>
      <c r="F211" s="10" t="s">
        <v>206</v>
      </c>
      <c r="G211" s="88">
        <v>1600</v>
      </c>
      <c r="H211" s="70">
        <f t="shared" si="9"/>
        <v>2</v>
      </c>
      <c r="I211" s="11">
        <f t="shared" ca="1" si="10"/>
        <v>46120</v>
      </c>
      <c r="J211" s="11">
        <f t="shared" ca="1" si="1"/>
        <v>46118</v>
      </c>
      <c r="K211" s="13"/>
    </row>
    <row r="212" spans="1:11" ht="18" x14ac:dyDescent="0.4">
      <c r="A212" s="7" t="s">
        <v>98</v>
      </c>
      <c r="B212" s="85" t="s">
        <v>207</v>
      </c>
      <c r="C212" s="8">
        <v>14928</v>
      </c>
      <c r="D212" s="9">
        <v>463556950</v>
      </c>
      <c r="E212" s="57">
        <v>40</v>
      </c>
      <c r="F212" s="10" t="s">
        <v>208</v>
      </c>
      <c r="G212" s="88">
        <v>160</v>
      </c>
      <c r="H212" s="70">
        <f t="shared" si="9"/>
        <v>4</v>
      </c>
      <c r="I212" s="11">
        <f t="shared" ca="1" si="10"/>
        <v>46120</v>
      </c>
      <c r="J212" s="11">
        <f t="shared" ca="1" si="1"/>
        <v>46118</v>
      </c>
      <c r="K212" s="13"/>
    </row>
    <row r="213" spans="1:11" ht="18" x14ac:dyDescent="0.4">
      <c r="A213" s="7" t="s">
        <v>98</v>
      </c>
      <c r="B213" s="85" t="s">
        <v>207</v>
      </c>
      <c r="C213" s="8">
        <v>14928</v>
      </c>
      <c r="D213" s="9">
        <v>463526220</v>
      </c>
      <c r="E213" s="57">
        <v>40</v>
      </c>
      <c r="F213" s="10" t="s">
        <v>209</v>
      </c>
      <c r="G213" s="88">
        <v>400</v>
      </c>
      <c r="H213" s="70">
        <f t="shared" si="9"/>
        <v>10</v>
      </c>
      <c r="I213" s="11">
        <f t="shared" ca="1" si="10"/>
        <v>46120</v>
      </c>
      <c r="J213" s="11">
        <f t="shared" ca="1" si="1"/>
        <v>46118</v>
      </c>
      <c r="K213" s="13"/>
    </row>
    <row r="214" spans="1:11" ht="18" x14ac:dyDescent="0.4">
      <c r="A214" s="7" t="s">
        <v>98</v>
      </c>
      <c r="B214" s="85" t="s">
        <v>207</v>
      </c>
      <c r="C214" s="8">
        <v>14928</v>
      </c>
      <c r="D214" s="9">
        <v>463496630</v>
      </c>
      <c r="E214" s="57">
        <v>40</v>
      </c>
      <c r="F214" s="10" t="s">
        <v>210</v>
      </c>
      <c r="G214" s="88">
        <v>480</v>
      </c>
      <c r="H214" s="70">
        <f t="shared" si="9"/>
        <v>12</v>
      </c>
      <c r="I214" s="11">
        <f t="shared" ca="1" si="10"/>
        <v>46120</v>
      </c>
      <c r="J214" s="11">
        <f t="shared" ca="1" si="1"/>
        <v>46118</v>
      </c>
      <c r="K214" s="13"/>
    </row>
    <row r="215" spans="1:11" ht="18" x14ac:dyDescent="0.4">
      <c r="A215" s="7" t="s">
        <v>98</v>
      </c>
      <c r="B215" s="85" t="s">
        <v>207</v>
      </c>
      <c r="C215" s="8">
        <v>14928</v>
      </c>
      <c r="D215" s="9">
        <v>463358702</v>
      </c>
      <c r="E215" s="57">
        <v>100</v>
      </c>
      <c r="F215" s="10" t="s">
        <v>211</v>
      </c>
      <c r="G215" s="88">
        <v>1600</v>
      </c>
      <c r="H215" s="70">
        <f t="shared" si="9"/>
        <v>16</v>
      </c>
      <c r="I215" s="11">
        <f t="shared" ca="1" si="10"/>
        <v>46120</v>
      </c>
      <c r="J215" s="11">
        <f t="shared" ca="1" si="1"/>
        <v>46118</v>
      </c>
      <c r="K215" s="13"/>
    </row>
    <row r="216" spans="1:11" ht="18" x14ac:dyDescent="0.4">
      <c r="A216" s="7" t="s">
        <v>98</v>
      </c>
      <c r="B216" s="85" t="s">
        <v>207</v>
      </c>
      <c r="C216" s="8">
        <v>14929</v>
      </c>
      <c r="D216" s="9">
        <v>463564010</v>
      </c>
      <c r="E216" s="57">
        <v>100</v>
      </c>
      <c r="F216" s="10" t="s">
        <v>212</v>
      </c>
      <c r="G216" s="88">
        <v>0</v>
      </c>
      <c r="H216" s="70">
        <f t="shared" si="9"/>
        <v>0</v>
      </c>
      <c r="I216" s="11">
        <f t="shared" ca="1" si="10"/>
        <v>46120</v>
      </c>
      <c r="J216" s="11">
        <f t="shared" ca="1" si="1"/>
        <v>46118</v>
      </c>
      <c r="K216" s="13"/>
    </row>
    <row r="217" spans="1:11" ht="18" x14ac:dyDescent="0.4">
      <c r="A217" s="7" t="s">
        <v>98</v>
      </c>
      <c r="B217" s="85" t="s">
        <v>207</v>
      </c>
      <c r="C217" s="8">
        <v>14928</v>
      </c>
      <c r="D217" s="9">
        <v>463383610</v>
      </c>
      <c r="E217" s="57">
        <v>40</v>
      </c>
      <c r="F217" s="10" t="s">
        <v>213</v>
      </c>
      <c r="G217" s="88">
        <v>920</v>
      </c>
      <c r="H217" s="70">
        <f t="shared" si="9"/>
        <v>23</v>
      </c>
      <c r="I217" s="11">
        <f t="shared" ca="1" si="10"/>
        <v>46120</v>
      </c>
      <c r="J217" s="11">
        <f t="shared" ca="1" si="1"/>
        <v>46118</v>
      </c>
      <c r="K217" s="13"/>
    </row>
    <row r="218" spans="1:11" ht="18" x14ac:dyDescent="0.4">
      <c r="A218" s="7" t="s">
        <v>98</v>
      </c>
      <c r="B218" s="85" t="s">
        <v>214</v>
      </c>
      <c r="C218" s="8">
        <v>21341</v>
      </c>
      <c r="D218" s="9">
        <v>463485520</v>
      </c>
      <c r="E218" s="57">
        <v>480</v>
      </c>
      <c r="F218" s="10" t="s">
        <v>215</v>
      </c>
      <c r="G218" s="88">
        <v>1440</v>
      </c>
      <c r="H218" s="70">
        <f t="shared" si="9"/>
        <v>3</v>
      </c>
      <c r="I218" s="11">
        <f t="shared" ca="1" si="10"/>
        <v>46120</v>
      </c>
      <c r="J218" s="11">
        <f t="shared" ca="1" si="1"/>
        <v>46118</v>
      </c>
      <c r="K218" s="13"/>
    </row>
    <row r="219" spans="1:11" ht="18" x14ac:dyDescent="0.4">
      <c r="A219" s="7" t="s">
        <v>98</v>
      </c>
      <c r="B219" s="85" t="s">
        <v>214</v>
      </c>
      <c r="C219" s="8">
        <v>21342</v>
      </c>
      <c r="D219" s="9">
        <v>463496650</v>
      </c>
      <c r="E219" s="57">
        <v>25</v>
      </c>
      <c r="F219" s="10" t="s">
        <v>216</v>
      </c>
      <c r="G219" s="88">
        <v>0</v>
      </c>
      <c r="H219" s="70">
        <f t="shared" si="9"/>
        <v>0</v>
      </c>
      <c r="I219" s="11">
        <f t="shared" ca="1" si="10"/>
        <v>46120</v>
      </c>
      <c r="J219" s="11">
        <f t="shared" ca="1" si="1"/>
        <v>46118</v>
      </c>
      <c r="K219" s="13"/>
    </row>
    <row r="220" spans="1:11" ht="18" x14ac:dyDescent="0.4">
      <c r="A220" s="7" t="s">
        <v>98</v>
      </c>
      <c r="B220" s="85" t="s">
        <v>214</v>
      </c>
      <c r="C220" s="8">
        <v>21342</v>
      </c>
      <c r="D220" s="9">
        <v>463581750</v>
      </c>
      <c r="E220" s="57">
        <v>25</v>
      </c>
      <c r="F220" s="10" t="s">
        <v>216</v>
      </c>
      <c r="G220" s="88">
        <v>1500</v>
      </c>
      <c r="H220" s="70">
        <f t="shared" si="9"/>
        <v>60</v>
      </c>
      <c r="I220" s="11">
        <f t="shared" ca="1" si="10"/>
        <v>46120</v>
      </c>
      <c r="J220" s="11">
        <f t="shared" ca="1" si="1"/>
        <v>46118</v>
      </c>
      <c r="K220" s="13"/>
    </row>
    <row r="221" spans="1:11" ht="18" x14ac:dyDescent="0.4">
      <c r="A221" s="7" t="s">
        <v>98</v>
      </c>
      <c r="B221" s="85" t="s">
        <v>214</v>
      </c>
      <c r="C221" s="8">
        <v>21342</v>
      </c>
      <c r="D221" s="9">
        <v>463491660</v>
      </c>
      <c r="E221" s="57">
        <v>300</v>
      </c>
      <c r="F221" s="10" t="s">
        <v>217</v>
      </c>
      <c r="G221" s="88">
        <v>0</v>
      </c>
      <c r="H221" s="70">
        <f t="shared" si="9"/>
        <v>0</v>
      </c>
      <c r="I221" s="11">
        <f t="shared" ca="1" si="10"/>
        <v>46120</v>
      </c>
      <c r="J221" s="11">
        <f t="shared" ca="1" si="1"/>
        <v>46118</v>
      </c>
      <c r="K221" s="13"/>
    </row>
    <row r="222" spans="1:11" ht="18" x14ac:dyDescent="0.4">
      <c r="A222" s="7" t="s">
        <v>98</v>
      </c>
      <c r="B222" s="85" t="s">
        <v>218</v>
      </c>
      <c r="C222" s="8">
        <v>23480</v>
      </c>
      <c r="D222" s="9">
        <v>552849890</v>
      </c>
      <c r="E222" s="57">
        <v>180</v>
      </c>
      <c r="F222" s="10" t="s">
        <v>219</v>
      </c>
      <c r="G222" s="88">
        <v>1080</v>
      </c>
      <c r="H222" s="70">
        <f t="shared" si="9"/>
        <v>6</v>
      </c>
      <c r="I222" s="11">
        <f t="shared" ca="1" si="10"/>
        <v>46120</v>
      </c>
      <c r="J222" s="11">
        <f t="shared" ca="1" si="1"/>
        <v>46118</v>
      </c>
      <c r="K222" s="13"/>
    </row>
    <row r="223" spans="1:11" ht="18" x14ac:dyDescent="0.4">
      <c r="A223" s="7" t="s">
        <v>98</v>
      </c>
      <c r="B223" s="85" t="s">
        <v>218</v>
      </c>
      <c r="C223" s="8">
        <v>23480</v>
      </c>
      <c r="D223" s="9">
        <v>463357980</v>
      </c>
      <c r="E223" s="57">
        <v>1000</v>
      </c>
      <c r="F223" s="10" t="s">
        <v>220</v>
      </c>
      <c r="G223" s="88">
        <v>8000</v>
      </c>
      <c r="H223" s="70">
        <f t="shared" si="9"/>
        <v>8</v>
      </c>
      <c r="I223" s="11">
        <f t="shared" ca="1" si="10"/>
        <v>46120</v>
      </c>
      <c r="J223" s="11">
        <f t="shared" ca="1" si="1"/>
        <v>46118</v>
      </c>
      <c r="K223" s="13"/>
    </row>
    <row r="224" spans="1:11" ht="18" x14ac:dyDescent="0.4">
      <c r="A224" s="7" t="s">
        <v>98</v>
      </c>
      <c r="B224" s="85" t="s">
        <v>218</v>
      </c>
      <c r="C224" s="8">
        <v>23480</v>
      </c>
      <c r="D224" s="9">
        <v>463482030</v>
      </c>
      <c r="E224" s="57">
        <v>200</v>
      </c>
      <c r="F224" s="10" t="s">
        <v>221</v>
      </c>
      <c r="G224" s="88">
        <v>1200</v>
      </c>
      <c r="H224" s="70">
        <f t="shared" si="9"/>
        <v>6</v>
      </c>
      <c r="I224" s="11">
        <f t="shared" ca="1" si="10"/>
        <v>46120</v>
      </c>
      <c r="J224" s="11">
        <f t="shared" ca="1" si="1"/>
        <v>46118</v>
      </c>
      <c r="K224" s="13"/>
    </row>
    <row r="225" spans="1:11" ht="18" x14ac:dyDescent="0.4">
      <c r="A225" s="7" t="s">
        <v>98</v>
      </c>
      <c r="B225" s="85" t="s">
        <v>218</v>
      </c>
      <c r="C225" s="8">
        <v>23480</v>
      </c>
      <c r="D225" s="9">
        <v>144576860</v>
      </c>
      <c r="E225" s="57">
        <v>1500</v>
      </c>
      <c r="F225" s="10" t="s">
        <v>222</v>
      </c>
      <c r="G225" s="88">
        <v>1500</v>
      </c>
      <c r="H225" s="70">
        <f t="shared" si="9"/>
        <v>1</v>
      </c>
      <c r="I225" s="11">
        <f t="shared" ca="1" si="10"/>
        <v>46120</v>
      </c>
      <c r="J225" s="11">
        <f t="shared" ca="1" si="1"/>
        <v>46118</v>
      </c>
      <c r="K225" s="13"/>
    </row>
    <row r="226" spans="1:11" ht="18" x14ac:dyDescent="0.4">
      <c r="A226" s="7" t="s">
        <v>98</v>
      </c>
      <c r="B226" s="85" t="s">
        <v>223</v>
      </c>
      <c r="C226" s="8">
        <v>23481</v>
      </c>
      <c r="D226" s="9">
        <v>463504270</v>
      </c>
      <c r="E226" s="57">
        <v>500</v>
      </c>
      <c r="F226" s="10" t="s">
        <v>224</v>
      </c>
      <c r="G226" s="88">
        <v>0</v>
      </c>
      <c r="H226" s="70">
        <f t="shared" si="9"/>
        <v>0</v>
      </c>
      <c r="I226" s="11">
        <f t="shared" ca="1" si="10"/>
        <v>46120</v>
      </c>
      <c r="J226" s="11">
        <f t="shared" ca="1" si="1"/>
        <v>46118</v>
      </c>
      <c r="K226" s="13"/>
    </row>
    <row r="227" spans="1:11" ht="18" x14ac:dyDescent="0.4">
      <c r="A227" s="7" t="s">
        <v>98</v>
      </c>
      <c r="B227" s="85" t="s">
        <v>223</v>
      </c>
      <c r="C227" s="8">
        <v>23481</v>
      </c>
      <c r="D227" s="9">
        <v>463504270</v>
      </c>
      <c r="E227" s="57">
        <v>500</v>
      </c>
      <c r="F227" s="10" t="s">
        <v>224</v>
      </c>
      <c r="G227" s="88">
        <v>1500</v>
      </c>
      <c r="H227" s="70">
        <f t="shared" si="9"/>
        <v>3</v>
      </c>
      <c r="I227" s="11">
        <f t="shared" ca="1" si="10"/>
        <v>46120</v>
      </c>
      <c r="J227" s="11">
        <f t="shared" ca="1" si="1"/>
        <v>46118</v>
      </c>
      <c r="K227" s="13"/>
    </row>
    <row r="228" spans="1:11" ht="18" x14ac:dyDescent="0.4">
      <c r="A228" s="7" t="s">
        <v>98</v>
      </c>
      <c r="B228" s="85" t="s">
        <v>223</v>
      </c>
      <c r="C228" s="8">
        <v>23481</v>
      </c>
      <c r="D228" s="9">
        <v>463399250</v>
      </c>
      <c r="E228" s="57">
        <v>500</v>
      </c>
      <c r="F228" s="10" t="s">
        <v>224</v>
      </c>
      <c r="G228" s="88">
        <v>3500</v>
      </c>
      <c r="H228" s="70">
        <f t="shared" si="9"/>
        <v>7</v>
      </c>
      <c r="I228" s="11">
        <f t="shared" ca="1" si="10"/>
        <v>46120</v>
      </c>
      <c r="J228" s="11">
        <f t="shared" ca="1" si="1"/>
        <v>46118</v>
      </c>
      <c r="K228" s="13"/>
    </row>
    <row r="229" spans="1:11" ht="18" x14ac:dyDescent="0.4">
      <c r="A229" s="7" t="s">
        <v>98</v>
      </c>
      <c r="B229" s="85" t="s">
        <v>225</v>
      </c>
      <c r="C229" s="8">
        <v>27986</v>
      </c>
      <c r="D229" s="9">
        <v>463526190</v>
      </c>
      <c r="E229" s="57">
        <v>400</v>
      </c>
      <c r="F229" s="10" t="s">
        <v>226</v>
      </c>
      <c r="G229" s="88">
        <v>0</v>
      </c>
      <c r="H229" s="70">
        <f t="shared" si="9"/>
        <v>0</v>
      </c>
      <c r="I229" s="11">
        <f t="shared" ca="1" si="10"/>
        <v>46120</v>
      </c>
      <c r="J229" s="11">
        <f t="shared" ca="1" si="1"/>
        <v>46118</v>
      </c>
      <c r="K229" s="13"/>
    </row>
    <row r="230" spans="1:11" ht="18" x14ac:dyDescent="0.4">
      <c r="A230" s="7" t="s">
        <v>98</v>
      </c>
      <c r="B230" s="85" t="s">
        <v>225</v>
      </c>
      <c r="C230" s="8">
        <v>27986</v>
      </c>
      <c r="D230" s="9">
        <v>463524600</v>
      </c>
      <c r="E230" s="57">
        <v>500</v>
      </c>
      <c r="F230" s="10" t="s">
        <v>227</v>
      </c>
      <c r="G230" s="88">
        <v>2000</v>
      </c>
      <c r="H230" s="70">
        <f t="shared" si="9"/>
        <v>4</v>
      </c>
      <c r="I230" s="11">
        <f t="shared" ca="1" si="10"/>
        <v>46120</v>
      </c>
      <c r="J230" s="11">
        <f t="shared" ca="1" si="1"/>
        <v>46118</v>
      </c>
      <c r="K230" s="13"/>
    </row>
    <row r="231" spans="1:11" ht="18" x14ac:dyDescent="0.4">
      <c r="A231" s="7" t="s">
        <v>98</v>
      </c>
      <c r="B231" s="85" t="s">
        <v>225</v>
      </c>
      <c r="C231" s="8">
        <v>27986</v>
      </c>
      <c r="D231" s="9">
        <v>552849810</v>
      </c>
      <c r="E231" s="57">
        <v>500</v>
      </c>
      <c r="F231" s="10" t="s">
        <v>228</v>
      </c>
      <c r="G231" s="88">
        <v>0</v>
      </c>
      <c r="H231" s="70">
        <f t="shared" si="9"/>
        <v>0</v>
      </c>
      <c r="I231" s="11">
        <f t="shared" ca="1" si="10"/>
        <v>46120</v>
      </c>
      <c r="J231" s="11">
        <f t="shared" ca="1" si="1"/>
        <v>46118</v>
      </c>
      <c r="K231" s="13"/>
    </row>
    <row r="232" spans="1:11" ht="18" x14ac:dyDescent="0.4">
      <c r="A232" s="7" t="s">
        <v>98</v>
      </c>
      <c r="B232" s="85" t="s">
        <v>225</v>
      </c>
      <c r="C232" s="8">
        <v>27986</v>
      </c>
      <c r="D232" s="9">
        <v>463355140</v>
      </c>
      <c r="E232" s="57">
        <v>500</v>
      </c>
      <c r="F232" s="10" t="s">
        <v>228</v>
      </c>
      <c r="G232" s="88">
        <v>1000</v>
      </c>
      <c r="H232" s="70">
        <f t="shared" si="9"/>
        <v>2</v>
      </c>
      <c r="I232" s="11">
        <f t="shared" ca="1" si="10"/>
        <v>46120</v>
      </c>
      <c r="J232" s="11">
        <f t="shared" ca="1" si="1"/>
        <v>46118</v>
      </c>
      <c r="K232" s="13"/>
    </row>
    <row r="233" spans="1:11" ht="18" x14ac:dyDescent="0.4">
      <c r="A233" s="7" t="s">
        <v>98</v>
      </c>
      <c r="B233" s="85" t="s">
        <v>229</v>
      </c>
      <c r="C233" s="8">
        <v>32059</v>
      </c>
      <c r="D233" s="9">
        <v>552822590</v>
      </c>
      <c r="E233" s="57">
        <v>2800</v>
      </c>
      <c r="F233" s="10" t="s">
        <v>230</v>
      </c>
      <c r="G233" s="88">
        <v>14000</v>
      </c>
      <c r="H233" s="70">
        <f t="shared" si="9"/>
        <v>5</v>
      </c>
      <c r="I233" s="11">
        <f t="shared" ca="1" si="10"/>
        <v>46120</v>
      </c>
      <c r="J233" s="11">
        <f t="shared" ca="1" si="1"/>
        <v>46118</v>
      </c>
      <c r="K233" s="13"/>
    </row>
    <row r="234" spans="1:11" ht="18" x14ac:dyDescent="0.4">
      <c r="A234" s="7" t="s">
        <v>98</v>
      </c>
      <c r="B234" s="85" t="s">
        <v>231</v>
      </c>
      <c r="C234" s="8">
        <v>32572</v>
      </c>
      <c r="D234" s="9">
        <v>552820870</v>
      </c>
      <c r="E234" s="57">
        <v>720</v>
      </c>
      <c r="F234" s="10" t="s">
        <v>232</v>
      </c>
      <c r="G234" s="88">
        <v>7920</v>
      </c>
      <c r="H234" s="70">
        <f t="shared" si="9"/>
        <v>11</v>
      </c>
      <c r="I234" s="11">
        <f t="shared" ca="1" si="10"/>
        <v>46120</v>
      </c>
      <c r="J234" s="11">
        <f t="shared" ca="1" si="1"/>
        <v>46118</v>
      </c>
      <c r="K234" s="13"/>
    </row>
    <row r="235" spans="1:11" ht="18" x14ac:dyDescent="0.4">
      <c r="A235" s="7" t="s">
        <v>98</v>
      </c>
      <c r="B235" s="85" t="s">
        <v>233</v>
      </c>
      <c r="C235" s="8">
        <v>33132</v>
      </c>
      <c r="D235" s="9">
        <v>552823610</v>
      </c>
      <c r="E235" s="57">
        <v>900</v>
      </c>
      <c r="F235" s="10" t="s">
        <v>234</v>
      </c>
      <c r="G235" s="88">
        <v>900</v>
      </c>
      <c r="H235" s="70">
        <f t="shared" si="9"/>
        <v>1</v>
      </c>
      <c r="I235" s="11">
        <f t="shared" ca="1" si="10"/>
        <v>46120</v>
      </c>
      <c r="J235" s="11">
        <f t="shared" ca="1" si="1"/>
        <v>46118</v>
      </c>
      <c r="K235" s="13"/>
    </row>
    <row r="236" spans="1:11" ht="18" x14ac:dyDescent="0.4">
      <c r="A236" s="7" t="s">
        <v>98</v>
      </c>
      <c r="B236" s="85" t="s">
        <v>235</v>
      </c>
      <c r="C236" s="8">
        <v>33518</v>
      </c>
      <c r="D236" s="9">
        <v>463496670</v>
      </c>
      <c r="E236" s="57">
        <v>48</v>
      </c>
      <c r="F236" s="10" t="s">
        <v>236</v>
      </c>
      <c r="G236" s="88">
        <v>480</v>
      </c>
      <c r="H236" s="70">
        <f t="shared" si="9"/>
        <v>10</v>
      </c>
      <c r="I236" s="11">
        <f t="shared" ca="1" si="10"/>
        <v>46120</v>
      </c>
      <c r="J236" s="11">
        <f t="shared" ca="1" si="1"/>
        <v>46118</v>
      </c>
      <c r="K236" s="13"/>
    </row>
    <row r="237" spans="1:11" ht="18" x14ac:dyDescent="0.4">
      <c r="A237" s="7" t="s">
        <v>98</v>
      </c>
      <c r="B237" s="85" t="s">
        <v>235</v>
      </c>
      <c r="C237" s="8">
        <v>33518</v>
      </c>
      <c r="D237" s="9">
        <v>463433880</v>
      </c>
      <c r="E237" s="57">
        <v>48</v>
      </c>
      <c r="F237" s="10" t="s">
        <v>237</v>
      </c>
      <c r="G237" s="88">
        <v>1344</v>
      </c>
      <c r="H237" s="70">
        <f t="shared" si="9"/>
        <v>28</v>
      </c>
      <c r="I237" s="11">
        <f t="shared" ca="1" si="10"/>
        <v>46120</v>
      </c>
      <c r="J237" s="11">
        <f t="shared" ca="1" si="1"/>
        <v>46118</v>
      </c>
      <c r="K237" s="13"/>
    </row>
    <row r="238" spans="1:11" ht="18" x14ac:dyDescent="0.4">
      <c r="A238" s="7" t="s">
        <v>98</v>
      </c>
      <c r="B238" s="85" t="s">
        <v>238</v>
      </c>
      <c r="C238" s="8">
        <v>58696</v>
      </c>
      <c r="D238" s="9">
        <v>463495790</v>
      </c>
      <c r="E238" s="57">
        <v>1200</v>
      </c>
      <c r="F238" s="10" t="s">
        <v>239</v>
      </c>
      <c r="G238" s="88">
        <v>0</v>
      </c>
      <c r="H238" s="70">
        <f t="shared" si="9"/>
        <v>0</v>
      </c>
      <c r="I238" s="11">
        <f t="shared" ca="1" si="10"/>
        <v>46120</v>
      </c>
      <c r="J238" s="11">
        <f t="shared" ca="1" si="1"/>
        <v>46118</v>
      </c>
      <c r="K238" s="13"/>
    </row>
    <row r="239" spans="1:11" ht="18" x14ac:dyDescent="0.4">
      <c r="A239" s="7" t="s">
        <v>98</v>
      </c>
      <c r="B239" s="85" t="s">
        <v>22</v>
      </c>
      <c r="C239" s="8">
        <v>47104</v>
      </c>
      <c r="D239" s="9">
        <v>552840970</v>
      </c>
      <c r="E239" s="57">
        <v>240</v>
      </c>
      <c r="F239" s="10" t="s">
        <v>240</v>
      </c>
      <c r="G239" s="88">
        <v>1680</v>
      </c>
      <c r="H239" s="70">
        <f t="shared" si="9"/>
        <v>7</v>
      </c>
      <c r="I239" s="11">
        <f t="shared" ca="1" si="10"/>
        <v>46120</v>
      </c>
      <c r="J239" s="11">
        <f t="shared" ca="1" si="1"/>
        <v>46118</v>
      </c>
      <c r="K239" s="13"/>
    </row>
    <row r="240" spans="1:11" ht="18" x14ac:dyDescent="0.4">
      <c r="A240" s="7" t="s">
        <v>98</v>
      </c>
      <c r="B240" s="85" t="s">
        <v>22</v>
      </c>
      <c r="C240" s="8">
        <v>47104</v>
      </c>
      <c r="D240" s="9">
        <v>552840960</v>
      </c>
      <c r="E240" s="57">
        <v>240</v>
      </c>
      <c r="F240" s="10" t="s">
        <v>241</v>
      </c>
      <c r="G240" s="88">
        <v>1680</v>
      </c>
      <c r="H240" s="70">
        <f t="shared" si="9"/>
        <v>7</v>
      </c>
      <c r="I240" s="11">
        <f t="shared" ca="1" si="10"/>
        <v>46120</v>
      </c>
      <c r="J240" s="11">
        <f t="shared" ca="1" si="1"/>
        <v>46118</v>
      </c>
      <c r="K240" s="13"/>
    </row>
    <row r="241" spans="1:11" ht="18" x14ac:dyDescent="0.4">
      <c r="A241" s="7" t="s">
        <v>98</v>
      </c>
      <c r="B241" s="85" t="s">
        <v>242</v>
      </c>
      <c r="C241" s="8">
        <v>35657</v>
      </c>
      <c r="D241" s="9">
        <v>463370940</v>
      </c>
      <c r="E241" s="57">
        <v>500</v>
      </c>
      <c r="F241" s="10" t="s">
        <v>243</v>
      </c>
      <c r="G241" s="88">
        <v>0</v>
      </c>
      <c r="H241" s="70">
        <f t="shared" si="9"/>
        <v>0</v>
      </c>
      <c r="I241" s="11">
        <f t="shared" ca="1" si="10"/>
        <v>46120</v>
      </c>
      <c r="J241" s="11">
        <f t="shared" ca="1" si="1"/>
        <v>46118</v>
      </c>
      <c r="K241" s="13"/>
    </row>
    <row r="242" spans="1:11" ht="18" x14ac:dyDescent="0.4">
      <c r="A242" s="7" t="s">
        <v>98</v>
      </c>
      <c r="B242" s="85" t="s">
        <v>242</v>
      </c>
      <c r="C242" s="8">
        <v>35657</v>
      </c>
      <c r="D242" s="9">
        <v>463488490</v>
      </c>
      <c r="E242" s="57">
        <v>500</v>
      </c>
      <c r="F242" s="10" t="s">
        <v>243</v>
      </c>
      <c r="G242" s="88">
        <v>0</v>
      </c>
      <c r="H242" s="70">
        <f t="shared" si="9"/>
        <v>0</v>
      </c>
      <c r="I242" s="11">
        <f t="shared" ca="1" si="10"/>
        <v>46120</v>
      </c>
      <c r="J242" s="11">
        <f t="shared" ca="1" si="1"/>
        <v>46118</v>
      </c>
      <c r="K242" s="13"/>
    </row>
    <row r="243" spans="1:11" ht="18" x14ac:dyDescent="0.4">
      <c r="A243" s="7" t="s">
        <v>98</v>
      </c>
      <c r="B243" s="85" t="s">
        <v>244</v>
      </c>
      <c r="C243" s="8">
        <v>40840</v>
      </c>
      <c r="D243" s="9">
        <v>552822730</v>
      </c>
      <c r="E243" s="57">
        <v>750</v>
      </c>
      <c r="F243" s="10" t="s">
        <v>245</v>
      </c>
      <c r="G243" s="88">
        <v>75000</v>
      </c>
      <c r="H243" s="70">
        <f t="shared" si="9"/>
        <v>100</v>
      </c>
      <c r="I243" s="11">
        <f t="shared" ca="1" si="10"/>
        <v>46120</v>
      </c>
      <c r="J243" s="11">
        <f t="shared" ca="1" si="1"/>
        <v>46118</v>
      </c>
      <c r="K243" s="13"/>
    </row>
    <row r="244" spans="1:11" ht="18" x14ac:dyDescent="0.4">
      <c r="A244" s="7" t="s">
        <v>98</v>
      </c>
      <c r="B244" s="85" t="s">
        <v>244</v>
      </c>
      <c r="C244" s="8">
        <v>40840</v>
      </c>
      <c r="D244" s="9">
        <v>552822450</v>
      </c>
      <c r="E244" s="57">
        <v>700</v>
      </c>
      <c r="F244" s="10" t="s">
        <v>246</v>
      </c>
      <c r="G244" s="88">
        <v>70000</v>
      </c>
      <c r="H244" s="70">
        <f t="shared" si="9"/>
        <v>100</v>
      </c>
      <c r="I244" s="11">
        <f t="shared" ca="1" si="10"/>
        <v>46120</v>
      </c>
      <c r="J244" s="11">
        <f t="shared" ca="1" si="1"/>
        <v>46118</v>
      </c>
      <c r="K244" s="13"/>
    </row>
    <row r="245" spans="1:11" ht="18" x14ac:dyDescent="0.4">
      <c r="A245" s="32" t="s">
        <v>98</v>
      </c>
      <c r="B245" s="87" t="s">
        <v>244</v>
      </c>
      <c r="C245" s="33">
        <v>40840</v>
      </c>
      <c r="D245" s="34">
        <v>552822810</v>
      </c>
      <c r="E245" s="62">
        <v>400</v>
      </c>
      <c r="F245" s="35" t="s">
        <v>247</v>
      </c>
      <c r="G245" s="89">
        <v>40000</v>
      </c>
      <c r="H245" s="74">
        <f t="shared" si="9"/>
        <v>100</v>
      </c>
      <c r="I245" s="55">
        <f t="shared" ca="1" si="10"/>
        <v>46120</v>
      </c>
      <c r="J245" s="55">
        <f t="shared" ca="1" si="1"/>
        <v>46118</v>
      </c>
      <c r="K245" s="56"/>
    </row>
    <row r="246" spans="1:11" ht="18" x14ac:dyDescent="0.4">
      <c r="A246" s="7" t="s">
        <v>0</v>
      </c>
      <c r="B246" s="60" t="s">
        <v>248</v>
      </c>
      <c r="C246" s="57">
        <v>72958</v>
      </c>
      <c r="D246" s="70">
        <v>463526030</v>
      </c>
      <c r="E246" s="57">
        <v>120</v>
      </c>
      <c r="F246" s="71" t="s">
        <v>249</v>
      </c>
      <c r="G246" s="91">
        <v>0</v>
      </c>
      <c r="H246" s="70">
        <f t="shared" si="9"/>
        <v>0</v>
      </c>
      <c r="I246" s="53">
        <f ca="1">I245</f>
        <v>46120</v>
      </c>
      <c r="J246" s="53">
        <f t="shared" ca="1" si="1"/>
        <v>46118</v>
      </c>
      <c r="K246" s="21"/>
    </row>
    <row r="247" spans="1:11" ht="18" x14ac:dyDescent="0.4">
      <c r="A247" s="7" t="s">
        <v>0</v>
      </c>
      <c r="B247" s="60" t="s">
        <v>248</v>
      </c>
      <c r="C247" s="57">
        <v>72958</v>
      </c>
      <c r="D247" s="70">
        <v>463523670</v>
      </c>
      <c r="E247" s="57">
        <v>120</v>
      </c>
      <c r="F247" s="71" t="s">
        <v>249</v>
      </c>
      <c r="G247" s="61">
        <v>0</v>
      </c>
      <c r="H247" s="70">
        <f t="shared" si="9"/>
        <v>0</v>
      </c>
      <c r="I247" s="53">
        <f t="shared" ref="I247:I310" ca="1" si="11">I246</f>
        <v>46120</v>
      </c>
      <c r="J247" s="53">
        <f t="shared" ca="1" si="1"/>
        <v>46118</v>
      </c>
      <c r="K247" s="21"/>
    </row>
    <row r="248" spans="1:11" ht="18" x14ac:dyDescent="0.4">
      <c r="A248" s="7" t="s">
        <v>0</v>
      </c>
      <c r="B248" s="60" t="s">
        <v>248</v>
      </c>
      <c r="C248" s="57">
        <v>72958</v>
      </c>
      <c r="D248" s="70">
        <v>463523680</v>
      </c>
      <c r="E248" s="57">
        <v>120</v>
      </c>
      <c r="F248" s="71" t="s">
        <v>249</v>
      </c>
      <c r="G248" s="61">
        <v>0</v>
      </c>
      <c r="H248" s="70">
        <f t="shared" si="9"/>
        <v>0</v>
      </c>
      <c r="I248" s="53">
        <f t="shared" ca="1" si="11"/>
        <v>46120</v>
      </c>
      <c r="J248" s="53">
        <f t="shared" ca="1" si="1"/>
        <v>46118</v>
      </c>
      <c r="K248" s="21"/>
    </row>
    <row r="249" spans="1:11" ht="18" x14ac:dyDescent="0.4">
      <c r="A249" s="7" t="s">
        <v>0</v>
      </c>
      <c r="B249" s="60" t="s">
        <v>248</v>
      </c>
      <c r="C249" s="57">
        <v>72958</v>
      </c>
      <c r="D249" s="70">
        <v>463524370</v>
      </c>
      <c r="E249" s="57">
        <v>120</v>
      </c>
      <c r="F249" s="71" t="s">
        <v>249</v>
      </c>
      <c r="G249" s="61">
        <v>0</v>
      </c>
      <c r="H249" s="70">
        <f t="shared" si="9"/>
        <v>0</v>
      </c>
      <c r="I249" s="53">
        <f t="shared" ca="1" si="11"/>
        <v>46120</v>
      </c>
      <c r="J249" s="53">
        <f t="shared" ca="1" si="1"/>
        <v>46118</v>
      </c>
      <c r="K249" s="7"/>
    </row>
    <row r="250" spans="1:11" ht="18" x14ac:dyDescent="0.4">
      <c r="A250" s="7" t="s">
        <v>0</v>
      </c>
      <c r="B250" s="60" t="s">
        <v>248</v>
      </c>
      <c r="C250" s="57">
        <v>72958</v>
      </c>
      <c r="D250" s="70">
        <v>463524380</v>
      </c>
      <c r="E250" s="57">
        <v>120</v>
      </c>
      <c r="F250" s="71" t="s">
        <v>249</v>
      </c>
      <c r="G250" s="61">
        <v>0</v>
      </c>
      <c r="H250" s="70">
        <f t="shared" si="9"/>
        <v>0</v>
      </c>
      <c r="I250" s="53">
        <f t="shared" ca="1" si="11"/>
        <v>46120</v>
      </c>
      <c r="J250" s="53">
        <f t="shared" ca="1" si="1"/>
        <v>46118</v>
      </c>
      <c r="K250" s="7"/>
    </row>
    <row r="251" spans="1:11" ht="18" x14ac:dyDescent="0.4">
      <c r="A251" s="7" t="s">
        <v>0</v>
      </c>
      <c r="B251" s="60" t="s">
        <v>250</v>
      </c>
      <c r="C251" s="57">
        <v>37866</v>
      </c>
      <c r="D251" s="70">
        <v>463453590</v>
      </c>
      <c r="E251" s="57">
        <v>120</v>
      </c>
      <c r="F251" s="71" t="s">
        <v>249</v>
      </c>
      <c r="G251" s="61">
        <v>0</v>
      </c>
      <c r="H251" s="70">
        <f t="shared" si="9"/>
        <v>0</v>
      </c>
      <c r="I251" s="53">
        <f t="shared" ca="1" si="11"/>
        <v>46120</v>
      </c>
      <c r="J251" s="53">
        <f t="shared" ca="1" si="1"/>
        <v>46118</v>
      </c>
      <c r="K251" s="21"/>
    </row>
    <row r="252" spans="1:11" ht="18" x14ac:dyDescent="0.4">
      <c r="A252" s="7" t="s">
        <v>0</v>
      </c>
      <c r="B252" s="81" t="s">
        <v>250</v>
      </c>
      <c r="C252" s="57">
        <v>37866</v>
      </c>
      <c r="D252" s="70">
        <v>463453600</v>
      </c>
      <c r="E252" s="57">
        <v>120</v>
      </c>
      <c r="F252" s="71" t="s">
        <v>251</v>
      </c>
      <c r="G252" s="61">
        <v>0</v>
      </c>
      <c r="H252" s="70">
        <f t="shared" si="9"/>
        <v>0</v>
      </c>
      <c r="I252" s="53">
        <f t="shared" ca="1" si="11"/>
        <v>46120</v>
      </c>
      <c r="J252" s="53">
        <f t="shared" ca="1" si="1"/>
        <v>46118</v>
      </c>
      <c r="K252" s="21"/>
    </row>
    <row r="253" spans="1:11" ht="18" x14ac:dyDescent="0.4">
      <c r="A253" s="7" t="s">
        <v>0</v>
      </c>
      <c r="B253" s="81" t="s">
        <v>250</v>
      </c>
      <c r="C253" s="57">
        <v>37866</v>
      </c>
      <c r="D253" s="70">
        <v>463453610</v>
      </c>
      <c r="E253" s="57">
        <v>120</v>
      </c>
      <c r="F253" s="71" t="s">
        <v>252</v>
      </c>
      <c r="G253" s="61">
        <v>0</v>
      </c>
      <c r="H253" s="70">
        <f t="shared" si="9"/>
        <v>0</v>
      </c>
      <c r="I253" s="53">
        <f t="shared" ca="1" si="11"/>
        <v>46120</v>
      </c>
      <c r="J253" s="53">
        <f t="shared" ca="1" si="1"/>
        <v>46118</v>
      </c>
      <c r="K253" s="21"/>
    </row>
    <row r="254" spans="1:11" ht="18" x14ac:dyDescent="0.4">
      <c r="A254" s="7" t="s">
        <v>0</v>
      </c>
      <c r="B254" s="81" t="s">
        <v>250</v>
      </c>
      <c r="C254" s="57">
        <v>37866</v>
      </c>
      <c r="D254" s="70">
        <v>463453620</v>
      </c>
      <c r="E254" s="57">
        <v>120</v>
      </c>
      <c r="F254" s="71" t="s">
        <v>253</v>
      </c>
      <c r="G254" s="61">
        <v>0</v>
      </c>
      <c r="H254" s="70">
        <f t="shared" si="9"/>
        <v>0</v>
      </c>
      <c r="I254" s="53">
        <f t="shared" ca="1" si="11"/>
        <v>46120</v>
      </c>
      <c r="J254" s="53">
        <f t="shared" ca="1" si="1"/>
        <v>46118</v>
      </c>
      <c r="K254" s="21"/>
    </row>
    <row r="255" spans="1:11" ht="18" x14ac:dyDescent="0.4">
      <c r="A255" s="7" t="s">
        <v>0</v>
      </c>
      <c r="B255" s="81" t="s">
        <v>250</v>
      </c>
      <c r="C255" s="57">
        <v>37866</v>
      </c>
      <c r="D255" s="70">
        <v>463453580</v>
      </c>
      <c r="E255" s="57">
        <v>120</v>
      </c>
      <c r="F255" s="71" t="s">
        <v>249</v>
      </c>
      <c r="G255" s="61">
        <v>0</v>
      </c>
      <c r="H255" s="70">
        <f t="shared" si="9"/>
        <v>0</v>
      </c>
      <c r="I255" s="53">
        <f t="shared" ca="1" si="11"/>
        <v>46120</v>
      </c>
      <c r="J255" s="53">
        <f t="shared" ca="1" si="1"/>
        <v>46118</v>
      </c>
      <c r="K255" s="7"/>
    </row>
    <row r="256" spans="1:11" ht="18" x14ac:dyDescent="0.4">
      <c r="A256" s="7" t="s">
        <v>0</v>
      </c>
      <c r="B256" s="81" t="s">
        <v>250</v>
      </c>
      <c r="C256" s="57">
        <v>37866</v>
      </c>
      <c r="D256" s="70">
        <v>463453570</v>
      </c>
      <c r="E256" s="57">
        <v>120</v>
      </c>
      <c r="F256" s="71" t="s">
        <v>249</v>
      </c>
      <c r="G256" s="61">
        <v>0</v>
      </c>
      <c r="H256" s="70">
        <f t="shared" si="9"/>
        <v>0</v>
      </c>
      <c r="I256" s="53">
        <f t="shared" ca="1" si="11"/>
        <v>46120</v>
      </c>
      <c r="J256" s="53">
        <f t="shared" ca="1" si="1"/>
        <v>46118</v>
      </c>
      <c r="K256" s="21"/>
    </row>
    <row r="257" spans="1:11" ht="18" x14ac:dyDescent="0.4">
      <c r="A257" s="7" t="s">
        <v>0</v>
      </c>
      <c r="B257" s="81" t="s">
        <v>250</v>
      </c>
      <c r="C257" s="57">
        <v>37866</v>
      </c>
      <c r="D257" s="70">
        <v>463522020</v>
      </c>
      <c r="E257" s="57">
        <v>120</v>
      </c>
      <c r="F257" s="71" t="s">
        <v>249</v>
      </c>
      <c r="G257" s="61">
        <v>0</v>
      </c>
      <c r="H257" s="70">
        <f t="shared" si="9"/>
        <v>0</v>
      </c>
      <c r="I257" s="53">
        <f t="shared" ca="1" si="11"/>
        <v>46120</v>
      </c>
      <c r="J257" s="53">
        <f t="shared" ca="1" si="1"/>
        <v>46118</v>
      </c>
      <c r="K257" s="21"/>
    </row>
    <row r="258" spans="1:11" ht="18" x14ac:dyDescent="0.4">
      <c r="A258" s="7" t="s">
        <v>0</v>
      </c>
      <c r="B258" s="81" t="s">
        <v>250</v>
      </c>
      <c r="C258" s="57">
        <v>37866</v>
      </c>
      <c r="D258" s="70">
        <v>463522030</v>
      </c>
      <c r="E258" s="57">
        <v>120</v>
      </c>
      <c r="F258" s="71" t="s">
        <v>249</v>
      </c>
      <c r="G258" s="61">
        <v>0</v>
      </c>
      <c r="H258" s="70">
        <f t="shared" si="9"/>
        <v>0</v>
      </c>
      <c r="I258" s="53">
        <f t="shared" ca="1" si="11"/>
        <v>46120</v>
      </c>
      <c r="J258" s="53">
        <f t="shared" ca="1" si="1"/>
        <v>46118</v>
      </c>
      <c r="K258" s="7"/>
    </row>
    <row r="259" spans="1:11" ht="18" x14ac:dyDescent="0.4">
      <c r="A259" s="7" t="s">
        <v>0</v>
      </c>
      <c r="B259" s="81" t="s">
        <v>254</v>
      </c>
      <c r="C259" s="57">
        <v>1097</v>
      </c>
      <c r="D259" s="70">
        <v>552172560</v>
      </c>
      <c r="E259" s="57">
        <v>32</v>
      </c>
      <c r="F259" s="71" t="s">
        <v>255</v>
      </c>
      <c r="G259" s="61">
        <v>0</v>
      </c>
      <c r="H259" s="70">
        <f t="shared" si="9"/>
        <v>0</v>
      </c>
      <c r="I259" s="53">
        <f t="shared" ca="1" si="11"/>
        <v>46120</v>
      </c>
      <c r="J259" s="53">
        <f t="shared" ref="J259:J513" ca="1" si="12">TODAY()</f>
        <v>46118</v>
      </c>
      <c r="K259" s="21"/>
    </row>
    <row r="260" spans="1:11" ht="18" x14ac:dyDescent="0.4">
      <c r="A260" s="7" t="s">
        <v>0</v>
      </c>
      <c r="B260" s="60" t="s">
        <v>254</v>
      </c>
      <c r="C260" s="57">
        <v>1097</v>
      </c>
      <c r="D260" s="70">
        <v>552172570</v>
      </c>
      <c r="E260" s="57">
        <v>32</v>
      </c>
      <c r="F260" s="71" t="s">
        <v>256</v>
      </c>
      <c r="G260" s="61">
        <v>0</v>
      </c>
      <c r="H260" s="70">
        <f t="shared" ref="H260:H323" si="13">+G260/E260</f>
        <v>0</v>
      </c>
      <c r="I260" s="53">
        <f ca="1">I259</f>
        <v>46120</v>
      </c>
      <c r="J260" s="53">
        <f t="shared" ca="1" si="12"/>
        <v>46118</v>
      </c>
      <c r="K260" s="21"/>
    </row>
    <row r="261" spans="1:11" ht="18" x14ac:dyDescent="0.4">
      <c r="A261" s="7" t="s">
        <v>0</v>
      </c>
      <c r="B261" s="60" t="s">
        <v>254</v>
      </c>
      <c r="C261" s="57">
        <v>1097</v>
      </c>
      <c r="D261" s="70">
        <v>463497420</v>
      </c>
      <c r="E261" s="57">
        <v>32</v>
      </c>
      <c r="F261" s="71" t="s">
        <v>257</v>
      </c>
      <c r="G261" s="61">
        <v>0</v>
      </c>
      <c r="H261" s="70">
        <f t="shared" si="13"/>
        <v>0</v>
      </c>
      <c r="I261" s="53">
        <f t="shared" ca="1" si="11"/>
        <v>46120</v>
      </c>
      <c r="J261" s="53">
        <f t="shared" ca="1" si="12"/>
        <v>46118</v>
      </c>
      <c r="K261" s="21"/>
    </row>
    <row r="262" spans="1:11" ht="18" x14ac:dyDescent="0.4">
      <c r="A262" s="7" t="s">
        <v>0</v>
      </c>
      <c r="B262" s="60" t="s">
        <v>254</v>
      </c>
      <c r="C262" s="57">
        <v>1097</v>
      </c>
      <c r="D262" s="70">
        <v>463497440</v>
      </c>
      <c r="E262" s="57">
        <v>32</v>
      </c>
      <c r="F262" s="71" t="s">
        <v>258</v>
      </c>
      <c r="G262" s="61">
        <v>0</v>
      </c>
      <c r="H262" s="70">
        <f t="shared" si="13"/>
        <v>0</v>
      </c>
      <c r="I262" s="53">
        <f t="shared" ca="1" si="11"/>
        <v>46120</v>
      </c>
      <c r="J262" s="53">
        <f t="shared" ca="1" si="12"/>
        <v>46118</v>
      </c>
      <c r="K262" s="21"/>
    </row>
    <row r="263" spans="1:11" ht="18" x14ac:dyDescent="0.4">
      <c r="A263" s="7" t="s">
        <v>0</v>
      </c>
      <c r="B263" s="60" t="s">
        <v>254</v>
      </c>
      <c r="C263" s="57">
        <v>1097</v>
      </c>
      <c r="D263" s="70">
        <v>552168990</v>
      </c>
      <c r="E263" s="57">
        <v>32</v>
      </c>
      <c r="F263" s="71" t="s">
        <v>257</v>
      </c>
      <c r="G263" s="61">
        <v>0</v>
      </c>
      <c r="H263" s="70">
        <f t="shared" si="13"/>
        <v>0</v>
      </c>
      <c r="I263" s="53">
        <f t="shared" ca="1" si="11"/>
        <v>46120</v>
      </c>
      <c r="J263" s="53">
        <f t="shared" ca="1" si="12"/>
        <v>46118</v>
      </c>
      <c r="K263" s="21"/>
    </row>
    <row r="264" spans="1:11" ht="18" x14ac:dyDescent="0.4">
      <c r="A264" s="7" t="s">
        <v>0</v>
      </c>
      <c r="B264" s="60" t="s">
        <v>254</v>
      </c>
      <c r="C264" s="57">
        <v>1097</v>
      </c>
      <c r="D264" s="70">
        <v>463478520</v>
      </c>
      <c r="E264" s="57">
        <v>32</v>
      </c>
      <c r="F264" s="71" t="s">
        <v>259</v>
      </c>
      <c r="G264" s="61">
        <v>0</v>
      </c>
      <c r="H264" s="70">
        <f t="shared" si="13"/>
        <v>0</v>
      </c>
      <c r="I264" s="53">
        <f t="shared" ca="1" si="11"/>
        <v>46120</v>
      </c>
      <c r="J264" s="53">
        <f t="shared" ca="1" si="12"/>
        <v>46118</v>
      </c>
      <c r="K264" s="21"/>
    </row>
    <row r="265" spans="1:11" ht="18" x14ac:dyDescent="0.4">
      <c r="A265" s="7" t="s">
        <v>0</v>
      </c>
      <c r="B265" s="60" t="s">
        <v>254</v>
      </c>
      <c r="C265" s="57">
        <v>1097</v>
      </c>
      <c r="D265" s="70">
        <v>463478480</v>
      </c>
      <c r="E265" s="57">
        <v>32</v>
      </c>
      <c r="F265" s="71" t="s">
        <v>260</v>
      </c>
      <c r="G265" s="61">
        <v>0</v>
      </c>
      <c r="H265" s="70">
        <f t="shared" si="13"/>
        <v>0</v>
      </c>
      <c r="I265" s="53">
        <f t="shared" ca="1" si="11"/>
        <v>46120</v>
      </c>
      <c r="J265" s="53">
        <f t="shared" ca="1" si="12"/>
        <v>46118</v>
      </c>
      <c r="K265" s="21"/>
    </row>
    <row r="266" spans="1:11" ht="18" x14ac:dyDescent="0.4">
      <c r="A266" s="7" t="s">
        <v>0</v>
      </c>
      <c r="B266" s="60" t="s">
        <v>254</v>
      </c>
      <c r="C266" s="57">
        <v>1097</v>
      </c>
      <c r="D266" s="70">
        <v>463478560</v>
      </c>
      <c r="E266" s="57">
        <v>32</v>
      </c>
      <c r="F266" s="71" t="s">
        <v>261</v>
      </c>
      <c r="G266" s="61">
        <v>0</v>
      </c>
      <c r="H266" s="70">
        <f t="shared" si="13"/>
        <v>0</v>
      </c>
      <c r="I266" s="53">
        <f t="shared" ca="1" si="11"/>
        <v>46120</v>
      </c>
      <c r="J266" s="53">
        <f t="shared" ca="1" si="12"/>
        <v>46118</v>
      </c>
      <c r="K266" s="21"/>
    </row>
    <row r="267" spans="1:11" ht="18" x14ac:dyDescent="0.4">
      <c r="A267" s="7" t="s">
        <v>0</v>
      </c>
      <c r="B267" s="60" t="s">
        <v>254</v>
      </c>
      <c r="C267" s="57">
        <v>1097</v>
      </c>
      <c r="D267" s="70">
        <v>463478590</v>
      </c>
      <c r="E267" s="57">
        <v>32</v>
      </c>
      <c r="F267" s="71" t="s">
        <v>262</v>
      </c>
      <c r="G267" s="61">
        <v>0</v>
      </c>
      <c r="H267" s="70">
        <f t="shared" si="13"/>
        <v>0</v>
      </c>
      <c r="I267" s="53">
        <f t="shared" ca="1" si="11"/>
        <v>46120</v>
      </c>
      <c r="J267" s="53">
        <f t="shared" ca="1" si="12"/>
        <v>46118</v>
      </c>
      <c r="K267" s="7"/>
    </row>
    <row r="268" spans="1:11" ht="18" x14ac:dyDescent="0.4">
      <c r="A268" s="7" t="s">
        <v>0</v>
      </c>
      <c r="B268" s="60" t="s">
        <v>254</v>
      </c>
      <c r="C268" s="57">
        <v>1097</v>
      </c>
      <c r="D268" s="70">
        <v>463526890</v>
      </c>
      <c r="E268" s="57">
        <v>32</v>
      </c>
      <c r="F268" s="71" t="s">
        <v>263</v>
      </c>
      <c r="G268" s="61">
        <v>0</v>
      </c>
      <c r="H268" s="70">
        <f t="shared" si="13"/>
        <v>0</v>
      </c>
      <c r="I268" s="53">
        <f t="shared" ca="1" si="11"/>
        <v>46120</v>
      </c>
      <c r="J268" s="53">
        <f t="shared" ca="1" si="12"/>
        <v>46118</v>
      </c>
      <c r="K268" s="7"/>
    </row>
    <row r="269" spans="1:11" ht="18" x14ac:dyDescent="0.4">
      <c r="A269" s="7" t="s">
        <v>0</v>
      </c>
      <c r="B269" s="60" t="s">
        <v>254</v>
      </c>
      <c r="C269" s="57">
        <v>1097</v>
      </c>
      <c r="D269" s="70">
        <v>463534080</v>
      </c>
      <c r="E269" s="57">
        <v>32</v>
      </c>
      <c r="F269" s="71" t="s">
        <v>263</v>
      </c>
      <c r="G269" s="61">
        <v>0</v>
      </c>
      <c r="H269" s="70">
        <f t="shared" si="13"/>
        <v>0</v>
      </c>
      <c r="I269" s="53">
        <f t="shared" ca="1" si="11"/>
        <v>46120</v>
      </c>
      <c r="J269" s="53">
        <f t="shared" ca="1" si="12"/>
        <v>46118</v>
      </c>
      <c r="K269" s="21"/>
    </row>
    <row r="270" spans="1:11" ht="18" x14ac:dyDescent="0.4">
      <c r="A270" s="7" t="s">
        <v>0</v>
      </c>
      <c r="B270" s="60" t="s">
        <v>264</v>
      </c>
      <c r="C270" s="7">
        <v>39667</v>
      </c>
      <c r="D270" s="9">
        <v>552809780</v>
      </c>
      <c r="E270" s="7">
        <v>360</v>
      </c>
      <c r="F270" s="19" t="s">
        <v>265</v>
      </c>
      <c r="G270" s="61">
        <v>0</v>
      </c>
      <c r="H270" s="70">
        <f t="shared" si="13"/>
        <v>0</v>
      </c>
      <c r="I270" s="53">
        <f t="shared" ca="1" si="11"/>
        <v>46120</v>
      </c>
      <c r="J270" s="53">
        <f t="shared" ca="1" si="12"/>
        <v>46118</v>
      </c>
      <c r="K270" s="21"/>
    </row>
    <row r="271" spans="1:11" ht="18" x14ac:dyDescent="0.4">
      <c r="A271" s="7" t="s">
        <v>0</v>
      </c>
      <c r="B271" s="81" t="s">
        <v>266</v>
      </c>
      <c r="C271" s="57">
        <v>35281</v>
      </c>
      <c r="D271" s="70">
        <v>521498190</v>
      </c>
      <c r="E271" s="57">
        <v>100</v>
      </c>
      <c r="F271" s="71" t="s">
        <v>267</v>
      </c>
      <c r="G271" s="61">
        <v>0</v>
      </c>
      <c r="H271" s="70">
        <f t="shared" si="13"/>
        <v>0</v>
      </c>
      <c r="I271" s="53">
        <f t="shared" ca="1" si="11"/>
        <v>46120</v>
      </c>
      <c r="J271" s="53">
        <f t="shared" ca="1" si="12"/>
        <v>46118</v>
      </c>
      <c r="K271" s="7"/>
    </row>
    <row r="272" spans="1:11" ht="18" x14ac:dyDescent="0.4">
      <c r="A272" s="7" t="s">
        <v>0</v>
      </c>
      <c r="B272" s="81" t="s">
        <v>266</v>
      </c>
      <c r="C272" s="57">
        <v>35281</v>
      </c>
      <c r="D272" s="70">
        <v>521641510</v>
      </c>
      <c r="E272" s="57">
        <v>100</v>
      </c>
      <c r="F272" s="71" t="s">
        <v>268</v>
      </c>
      <c r="G272" s="61">
        <v>0</v>
      </c>
      <c r="H272" s="70">
        <f t="shared" si="13"/>
        <v>0</v>
      </c>
      <c r="I272" s="53">
        <f t="shared" ca="1" si="11"/>
        <v>46120</v>
      </c>
      <c r="J272" s="53">
        <f t="shared" ca="1" si="12"/>
        <v>46118</v>
      </c>
      <c r="K272" s="7"/>
    </row>
    <row r="273" spans="1:11" ht="18" x14ac:dyDescent="0.4">
      <c r="A273" s="7" t="s">
        <v>0</v>
      </c>
      <c r="B273" s="81" t="s">
        <v>269</v>
      </c>
      <c r="C273" s="57">
        <v>64680</v>
      </c>
      <c r="D273" s="70">
        <v>552364550</v>
      </c>
      <c r="E273" s="57">
        <v>2160</v>
      </c>
      <c r="F273" s="71" t="s">
        <v>270</v>
      </c>
      <c r="G273" s="61">
        <v>0</v>
      </c>
      <c r="H273" s="70">
        <f t="shared" si="13"/>
        <v>0</v>
      </c>
      <c r="I273" s="53">
        <f t="shared" ca="1" si="11"/>
        <v>46120</v>
      </c>
      <c r="J273" s="53">
        <f t="shared" ca="1" si="12"/>
        <v>46118</v>
      </c>
      <c r="K273" s="21"/>
    </row>
    <row r="274" spans="1:11" ht="18" x14ac:dyDescent="0.4">
      <c r="A274" s="7" t="s">
        <v>0</v>
      </c>
      <c r="B274" s="81" t="s">
        <v>269</v>
      </c>
      <c r="C274" s="57">
        <v>64680</v>
      </c>
      <c r="D274" s="70">
        <v>552597520</v>
      </c>
      <c r="E274" s="57">
        <v>3600</v>
      </c>
      <c r="F274" s="71" t="s">
        <v>271</v>
      </c>
      <c r="G274" s="61">
        <v>0</v>
      </c>
      <c r="H274" s="70">
        <f t="shared" si="13"/>
        <v>0</v>
      </c>
      <c r="I274" s="53">
        <f t="shared" ca="1" si="11"/>
        <v>46120</v>
      </c>
      <c r="J274" s="53">
        <f t="shared" ca="1" si="12"/>
        <v>46118</v>
      </c>
      <c r="K274" s="21"/>
    </row>
    <row r="275" spans="1:11" ht="18" x14ac:dyDescent="0.4">
      <c r="A275" s="7" t="s">
        <v>0</v>
      </c>
      <c r="B275" s="81" t="s">
        <v>269</v>
      </c>
      <c r="C275" s="57">
        <v>64680</v>
      </c>
      <c r="D275" s="70">
        <v>551896360</v>
      </c>
      <c r="E275" s="57">
        <v>360</v>
      </c>
      <c r="F275" s="71" t="s">
        <v>272</v>
      </c>
      <c r="G275" s="61">
        <v>0</v>
      </c>
      <c r="H275" s="70">
        <f t="shared" si="13"/>
        <v>0</v>
      </c>
      <c r="I275" s="53">
        <f t="shared" ca="1" si="11"/>
        <v>46120</v>
      </c>
      <c r="J275" s="53">
        <f t="shared" ca="1" si="12"/>
        <v>46118</v>
      </c>
      <c r="K275" s="21"/>
    </row>
    <row r="276" spans="1:11" ht="18" x14ac:dyDescent="0.4">
      <c r="A276" s="7" t="s">
        <v>0</v>
      </c>
      <c r="B276" s="81" t="s">
        <v>269</v>
      </c>
      <c r="C276" s="57">
        <v>64680</v>
      </c>
      <c r="D276" s="70">
        <v>552305070</v>
      </c>
      <c r="E276" s="57">
        <v>360</v>
      </c>
      <c r="F276" s="71" t="s">
        <v>265</v>
      </c>
      <c r="G276" s="61">
        <v>0</v>
      </c>
      <c r="H276" s="70">
        <f t="shared" si="13"/>
        <v>0</v>
      </c>
      <c r="I276" s="53">
        <f t="shared" ca="1" si="11"/>
        <v>46120</v>
      </c>
      <c r="J276" s="53">
        <f t="shared" ca="1" si="12"/>
        <v>46118</v>
      </c>
      <c r="K276" s="21"/>
    </row>
    <row r="277" spans="1:11" ht="18" x14ac:dyDescent="0.4">
      <c r="A277" s="7" t="s">
        <v>0</v>
      </c>
      <c r="B277" s="81" t="s">
        <v>269</v>
      </c>
      <c r="C277" s="57">
        <v>64680</v>
      </c>
      <c r="D277" s="70">
        <v>463361860</v>
      </c>
      <c r="E277" s="57">
        <v>32</v>
      </c>
      <c r="F277" s="71" t="s">
        <v>273</v>
      </c>
      <c r="G277" s="61">
        <v>0</v>
      </c>
      <c r="H277" s="70">
        <f t="shared" si="13"/>
        <v>0</v>
      </c>
      <c r="I277" s="53">
        <f t="shared" ca="1" si="11"/>
        <v>46120</v>
      </c>
      <c r="J277" s="53">
        <f t="shared" ca="1" si="12"/>
        <v>46118</v>
      </c>
      <c r="K277" s="21"/>
    </row>
    <row r="278" spans="1:11" ht="18" x14ac:dyDescent="0.4">
      <c r="A278" s="7" t="s">
        <v>0</v>
      </c>
      <c r="B278" s="81" t="s">
        <v>269</v>
      </c>
      <c r="C278" s="57">
        <v>64680</v>
      </c>
      <c r="D278" s="70">
        <v>463361870</v>
      </c>
      <c r="E278" s="57">
        <v>32</v>
      </c>
      <c r="F278" s="71" t="s">
        <v>273</v>
      </c>
      <c r="G278" s="61">
        <v>0</v>
      </c>
      <c r="H278" s="70">
        <f t="shared" si="13"/>
        <v>0</v>
      </c>
      <c r="I278" s="53">
        <f t="shared" ca="1" si="11"/>
        <v>46120</v>
      </c>
      <c r="J278" s="53">
        <f t="shared" ca="1" si="12"/>
        <v>46118</v>
      </c>
      <c r="K278" s="21"/>
    </row>
    <row r="279" spans="1:11" ht="18" x14ac:dyDescent="0.4">
      <c r="A279" s="7" t="s">
        <v>0</v>
      </c>
      <c r="B279" s="81" t="s">
        <v>269</v>
      </c>
      <c r="C279" s="57">
        <v>64680</v>
      </c>
      <c r="D279" s="70">
        <v>463361880</v>
      </c>
      <c r="E279" s="57">
        <v>32</v>
      </c>
      <c r="F279" s="71" t="s">
        <v>274</v>
      </c>
      <c r="G279" s="61">
        <v>0</v>
      </c>
      <c r="H279" s="70">
        <f t="shared" si="13"/>
        <v>0</v>
      </c>
      <c r="I279" s="53">
        <f t="shared" ca="1" si="11"/>
        <v>46120</v>
      </c>
      <c r="J279" s="53">
        <f t="shared" ca="1" si="12"/>
        <v>46118</v>
      </c>
      <c r="K279" s="21"/>
    </row>
    <row r="280" spans="1:11" ht="18" x14ac:dyDescent="0.4">
      <c r="A280" s="7" t="s">
        <v>0</v>
      </c>
      <c r="B280" s="81" t="s">
        <v>269</v>
      </c>
      <c r="C280" s="57">
        <v>64680</v>
      </c>
      <c r="D280" s="70">
        <v>463361890</v>
      </c>
      <c r="E280" s="57">
        <v>32</v>
      </c>
      <c r="F280" s="71" t="s">
        <v>273</v>
      </c>
      <c r="G280" s="61">
        <v>0</v>
      </c>
      <c r="H280" s="70">
        <f t="shared" si="13"/>
        <v>0</v>
      </c>
      <c r="I280" s="53">
        <f t="shared" ca="1" si="11"/>
        <v>46120</v>
      </c>
      <c r="J280" s="53">
        <f t="shared" ca="1" si="12"/>
        <v>46118</v>
      </c>
      <c r="K280" s="21"/>
    </row>
    <row r="281" spans="1:11" ht="18" x14ac:dyDescent="0.4">
      <c r="A281" s="7" t="s">
        <v>0</v>
      </c>
      <c r="B281" s="81" t="s">
        <v>275</v>
      </c>
      <c r="C281" s="57">
        <v>37474</v>
      </c>
      <c r="D281" s="70">
        <v>518657410</v>
      </c>
      <c r="E281" s="57">
        <v>80</v>
      </c>
      <c r="F281" s="71" t="s">
        <v>276</v>
      </c>
      <c r="G281" s="61">
        <v>0</v>
      </c>
      <c r="H281" s="70">
        <f t="shared" si="13"/>
        <v>0</v>
      </c>
      <c r="I281" s="53">
        <f t="shared" ca="1" si="11"/>
        <v>46120</v>
      </c>
      <c r="J281" s="53">
        <f t="shared" ca="1" si="12"/>
        <v>46118</v>
      </c>
      <c r="K281" s="21"/>
    </row>
    <row r="282" spans="1:11" ht="18" x14ac:dyDescent="0.4">
      <c r="A282" s="7" t="s">
        <v>0</v>
      </c>
      <c r="B282" s="60" t="s">
        <v>277</v>
      </c>
      <c r="C282" s="57">
        <v>47097</v>
      </c>
      <c r="D282" s="70">
        <v>518469540</v>
      </c>
      <c r="E282" s="57">
        <v>80</v>
      </c>
      <c r="F282" s="71" t="s">
        <v>278</v>
      </c>
      <c r="G282" s="61">
        <v>0</v>
      </c>
      <c r="H282" s="70">
        <f t="shared" si="13"/>
        <v>0</v>
      </c>
      <c r="I282" s="53">
        <f t="shared" ca="1" si="11"/>
        <v>46120</v>
      </c>
      <c r="J282" s="53">
        <f t="shared" ca="1" si="12"/>
        <v>46118</v>
      </c>
      <c r="K282" s="21"/>
    </row>
    <row r="283" spans="1:11" ht="18" x14ac:dyDescent="0.4">
      <c r="A283" s="7" t="s">
        <v>0</v>
      </c>
      <c r="B283" s="60" t="s">
        <v>277</v>
      </c>
      <c r="C283" s="57">
        <v>47097</v>
      </c>
      <c r="D283" s="70">
        <v>521053400</v>
      </c>
      <c r="E283" s="57">
        <v>80</v>
      </c>
      <c r="F283" s="71" t="s">
        <v>279</v>
      </c>
      <c r="G283" s="61">
        <v>0</v>
      </c>
      <c r="H283" s="70">
        <f t="shared" si="13"/>
        <v>0</v>
      </c>
      <c r="I283" s="53">
        <f t="shared" ca="1" si="11"/>
        <v>46120</v>
      </c>
      <c r="J283" s="53">
        <f t="shared" ca="1" si="12"/>
        <v>46118</v>
      </c>
      <c r="K283" s="21"/>
    </row>
    <row r="284" spans="1:11" ht="18" x14ac:dyDescent="0.4">
      <c r="A284" s="7" t="s">
        <v>0</v>
      </c>
      <c r="B284" s="83" t="s">
        <v>277</v>
      </c>
      <c r="C284" s="75">
        <v>47097</v>
      </c>
      <c r="D284" s="76">
        <v>521053400</v>
      </c>
      <c r="E284" s="75">
        <v>80</v>
      </c>
      <c r="F284" s="77" t="s">
        <v>279</v>
      </c>
      <c r="G284" s="61">
        <v>0</v>
      </c>
      <c r="H284" s="70">
        <f t="shared" si="13"/>
        <v>0</v>
      </c>
      <c r="I284" s="11">
        <f t="shared" ca="1" si="11"/>
        <v>46120</v>
      </c>
      <c r="J284" s="11">
        <f t="shared" ca="1" si="12"/>
        <v>46118</v>
      </c>
      <c r="K284" s="8"/>
    </row>
    <row r="285" spans="1:11" ht="18" x14ac:dyDescent="0.4">
      <c r="A285" s="7" t="s">
        <v>0</v>
      </c>
      <c r="B285" s="60" t="s">
        <v>280</v>
      </c>
      <c r="C285" s="57">
        <v>78605</v>
      </c>
      <c r="D285" s="70">
        <v>552398190</v>
      </c>
      <c r="E285" s="57">
        <v>500</v>
      </c>
      <c r="F285" s="71" t="s">
        <v>281</v>
      </c>
      <c r="G285" s="61">
        <v>0</v>
      </c>
      <c r="H285" s="70">
        <f t="shared" si="13"/>
        <v>0</v>
      </c>
      <c r="I285" s="53">
        <f t="shared" ca="1" si="11"/>
        <v>46120</v>
      </c>
      <c r="J285" s="53">
        <f t="shared" ca="1" si="12"/>
        <v>46118</v>
      </c>
      <c r="K285" s="21"/>
    </row>
    <row r="286" spans="1:11" ht="18" x14ac:dyDescent="0.4">
      <c r="A286" s="7" t="s">
        <v>0</v>
      </c>
      <c r="B286" s="81" t="s">
        <v>282</v>
      </c>
      <c r="C286" s="57">
        <v>73850</v>
      </c>
      <c r="D286" s="70">
        <v>552188560</v>
      </c>
      <c r="E286" s="57">
        <v>50</v>
      </c>
      <c r="F286" s="71" t="s">
        <v>283</v>
      </c>
      <c r="G286" s="61">
        <v>0</v>
      </c>
      <c r="H286" s="70">
        <f t="shared" si="13"/>
        <v>0</v>
      </c>
      <c r="I286" s="53">
        <f t="shared" ca="1" si="11"/>
        <v>46120</v>
      </c>
      <c r="J286" s="53">
        <f t="shared" ca="1" si="12"/>
        <v>46118</v>
      </c>
      <c r="K286" s="21"/>
    </row>
    <row r="287" spans="1:11" ht="18" x14ac:dyDescent="0.4">
      <c r="A287" s="7" t="s">
        <v>0</v>
      </c>
      <c r="B287" s="81" t="s">
        <v>282</v>
      </c>
      <c r="C287" s="57">
        <v>73850</v>
      </c>
      <c r="D287" s="70">
        <v>552278750</v>
      </c>
      <c r="E287" s="57">
        <v>150</v>
      </c>
      <c r="F287" s="71" t="s">
        <v>284</v>
      </c>
      <c r="G287" s="61">
        <v>0</v>
      </c>
      <c r="H287" s="70">
        <f t="shared" si="13"/>
        <v>0</v>
      </c>
      <c r="I287" s="53">
        <f t="shared" ca="1" si="11"/>
        <v>46120</v>
      </c>
      <c r="J287" s="53">
        <f t="shared" ca="1" si="12"/>
        <v>46118</v>
      </c>
      <c r="K287" s="21"/>
    </row>
    <row r="288" spans="1:11" ht="18" x14ac:dyDescent="0.4">
      <c r="A288" s="7" t="s">
        <v>0</v>
      </c>
      <c r="B288" s="81" t="s">
        <v>282</v>
      </c>
      <c r="C288" s="57">
        <v>73850</v>
      </c>
      <c r="D288" s="70">
        <v>552278770</v>
      </c>
      <c r="E288" s="57">
        <v>150</v>
      </c>
      <c r="F288" s="71" t="s">
        <v>285</v>
      </c>
      <c r="G288" s="61">
        <v>0</v>
      </c>
      <c r="H288" s="70">
        <f t="shared" si="13"/>
        <v>0</v>
      </c>
      <c r="I288" s="53">
        <f t="shared" ca="1" si="11"/>
        <v>46120</v>
      </c>
      <c r="J288" s="53">
        <f t="shared" ca="1" si="12"/>
        <v>46118</v>
      </c>
      <c r="K288" s="21"/>
    </row>
    <row r="289" spans="1:11" ht="18" x14ac:dyDescent="0.4">
      <c r="A289" s="7" t="s">
        <v>0</v>
      </c>
      <c r="B289" s="81" t="s">
        <v>286</v>
      </c>
      <c r="C289" s="57">
        <v>51625</v>
      </c>
      <c r="D289" s="70">
        <v>551812430</v>
      </c>
      <c r="E289" s="57">
        <v>2160</v>
      </c>
      <c r="F289" s="71" t="s">
        <v>287</v>
      </c>
      <c r="G289" s="61">
        <v>0</v>
      </c>
      <c r="H289" s="70">
        <f t="shared" si="13"/>
        <v>0</v>
      </c>
      <c r="I289" s="53">
        <f t="shared" ca="1" si="11"/>
        <v>46120</v>
      </c>
      <c r="J289" s="53">
        <f t="shared" ca="1" si="12"/>
        <v>46118</v>
      </c>
      <c r="K289" s="21"/>
    </row>
    <row r="290" spans="1:11" ht="18" x14ac:dyDescent="0.4">
      <c r="A290" s="7" t="s">
        <v>0</v>
      </c>
      <c r="B290" s="81" t="s">
        <v>286</v>
      </c>
      <c r="C290" s="57">
        <v>51625</v>
      </c>
      <c r="D290" s="70">
        <v>552168510</v>
      </c>
      <c r="E290" s="57">
        <v>640</v>
      </c>
      <c r="F290" s="71" t="s">
        <v>287</v>
      </c>
      <c r="G290" s="61">
        <v>0</v>
      </c>
      <c r="H290" s="70">
        <f t="shared" si="13"/>
        <v>0</v>
      </c>
      <c r="I290" s="53">
        <f t="shared" ca="1" si="11"/>
        <v>46120</v>
      </c>
      <c r="J290" s="53">
        <f t="shared" ca="1" si="12"/>
        <v>46118</v>
      </c>
      <c r="K290" s="7"/>
    </row>
    <row r="291" spans="1:11" ht="18" x14ac:dyDescent="0.4">
      <c r="A291" s="7" t="s">
        <v>0</v>
      </c>
      <c r="B291" s="81" t="s">
        <v>286</v>
      </c>
      <c r="C291" s="57">
        <v>51625</v>
      </c>
      <c r="D291" s="70">
        <v>552188650</v>
      </c>
      <c r="E291" s="57">
        <v>640</v>
      </c>
      <c r="F291" s="71" t="s">
        <v>287</v>
      </c>
      <c r="G291" s="61">
        <v>0</v>
      </c>
      <c r="H291" s="70">
        <f t="shared" si="13"/>
        <v>0</v>
      </c>
      <c r="I291" s="53">
        <f t="shared" ca="1" si="11"/>
        <v>46120</v>
      </c>
      <c r="J291" s="53">
        <f t="shared" ca="1" si="12"/>
        <v>46118</v>
      </c>
      <c r="K291" s="7"/>
    </row>
    <row r="292" spans="1:11" ht="18" x14ac:dyDescent="0.4">
      <c r="A292" s="7" t="s">
        <v>0</v>
      </c>
      <c r="B292" s="82" t="s">
        <v>288</v>
      </c>
      <c r="C292" s="57">
        <v>20748</v>
      </c>
      <c r="D292" s="70">
        <v>552178590</v>
      </c>
      <c r="E292" s="57">
        <v>288</v>
      </c>
      <c r="F292" s="71" t="s">
        <v>289</v>
      </c>
      <c r="G292" s="61">
        <v>0</v>
      </c>
      <c r="H292" s="70">
        <f t="shared" si="13"/>
        <v>0</v>
      </c>
      <c r="I292" s="53">
        <f t="shared" ca="1" si="11"/>
        <v>46120</v>
      </c>
      <c r="J292" s="53">
        <f t="shared" ca="1" si="12"/>
        <v>46118</v>
      </c>
      <c r="K292" s="21"/>
    </row>
    <row r="293" spans="1:11" ht="18" x14ac:dyDescent="0.4">
      <c r="A293" s="7" t="s">
        <v>0</v>
      </c>
      <c r="B293" s="81" t="s">
        <v>290</v>
      </c>
      <c r="C293" s="57">
        <v>68265</v>
      </c>
      <c r="D293" s="70">
        <v>552776160</v>
      </c>
      <c r="E293" s="57">
        <v>150</v>
      </c>
      <c r="F293" s="71" t="s">
        <v>291</v>
      </c>
      <c r="G293" s="61">
        <v>0</v>
      </c>
      <c r="H293" s="70">
        <f t="shared" si="13"/>
        <v>0</v>
      </c>
      <c r="I293" s="11">
        <f t="shared" ca="1" si="11"/>
        <v>46120</v>
      </c>
      <c r="J293" s="11">
        <f t="shared" ca="1" si="12"/>
        <v>46118</v>
      </c>
      <c r="K293" s="13"/>
    </row>
    <row r="294" spans="1:11" ht="18" x14ac:dyDescent="0.4">
      <c r="A294" s="7" t="s">
        <v>0</v>
      </c>
      <c r="B294" s="81" t="s">
        <v>290</v>
      </c>
      <c r="C294" s="57">
        <v>68265</v>
      </c>
      <c r="D294" s="70">
        <v>552282450</v>
      </c>
      <c r="E294" s="57">
        <v>150</v>
      </c>
      <c r="F294" s="71" t="s">
        <v>291</v>
      </c>
      <c r="G294" s="61">
        <v>0</v>
      </c>
      <c r="H294" s="70">
        <f t="shared" si="13"/>
        <v>0</v>
      </c>
      <c r="I294" s="11">
        <f t="shared" ca="1" si="11"/>
        <v>46120</v>
      </c>
      <c r="J294" s="11">
        <f t="shared" ca="1" si="12"/>
        <v>46118</v>
      </c>
      <c r="K294" s="8"/>
    </row>
    <row r="295" spans="1:11" ht="18" x14ac:dyDescent="0.4">
      <c r="A295" s="7" t="s">
        <v>0</v>
      </c>
      <c r="B295" s="82" t="s">
        <v>292</v>
      </c>
      <c r="C295" s="57">
        <v>19424</v>
      </c>
      <c r="D295" s="70">
        <v>552384520</v>
      </c>
      <c r="E295" s="57">
        <v>1440</v>
      </c>
      <c r="F295" s="71" t="s">
        <v>293</v>
      </c>
      <c r="G295" s="61">
        <v>0</v>
      </c>
      <c r="H295" s="70">
        <f t="shared" si="13"/>
        <v>0</v>
      </c>
      <c r="I295" s="11">
        <f t="shared" ca="1" si="11"/>
        <v>46120</v>
      </c>
      <c r="J295" s="11">
        <f t="shared" ca="1" si="12"/>
        <v>46118</v>
      </c>
      <c r="K295" s="13"/>
    </row>
    <row r="296" spans="1:11" ht="18" x14ac:dyDescent="0.4">
      <c r="A296" s="7" t="s">
        <v>0</v>
      </c>
      <c r="B296" s="81" t="s">
        <v>294</v>
      </c>
      <c r="C296" s="57">
        <v>21796</v>
      </c>
      <c r="D296" s="70">
        <v>552807200</v>
      </c>
      <c r="E296" s="57">
        <v>1920</v>
      </c>
      <c r="F296" s="71" t="s">
        <v>293</v>
      </c>
      <c r="G296" s="61">
        <v>0</v>
      </c>
      <c r="H296" s="70">
        <f t="shared" si="13"/>
        <v>0</v>
      </c>
      <c r="I296" s="11">
        <f t="shared" ca="1" si="11"/>
        <v>46120</v>
      </c>
      <c r="J296" s="11">
        <f t="shared" ca="1" si="12"/>
        <v>46118</v>
      </c>
      <c r="K296" s="8"/>
    </row>
    <row r="297" spans="1:11" ht="18" x14ac:dyDescent="0.4">
      <c r="A297" s="7" t="s">
        <v>0</v>
      </c>
      <c r="B297" s="81" t="s">
        <v>295</v>
      </c>
      <c r="C297" s="60">
        <v>51620</v>
      </c>
      <c r="D297" s="70">
        <v>552610980</v>
      </c>
      <c r="E297" s="57">
        <v>840</v>
      </c>
      <c r="F297" s="71" t="s">
        <v>296</v>
      </c>
      <c r="G297" s="61">
        <v>0</v>
      </c>
      <c r="H297" s="70">
        <f t="shared" si="13"/>
        <v>0</v>
      </c>
      <c r="I297" s="11">
        <f t="shared" ca="1" si="11"/>
        <v>46120</v>
      </c>
      <c r="J297" s="11">
        <f t="shared" ca="1" si="12"/>
        <v>46118</v>
      </c>
      <c r="K297" s="8"/>
    </row>
    <row r="298" spans="1:11" ht="18" x14ac:dyDescent="0.4">
      <c r="A298" s="7" t="s">
        <v>0</v>
      </c>
      <c r="B298" s="81" t="s">
        <v>295</v>
      </c>
      <c r="C298" s="60">
        <v>51620</v>
      </c>
      <c r="D298" s="70">
        <v>552611020</v>
      </c>
      <c r="E298" s="57">
        <v>1440</v>
      </c>
      <c r="F298" s="71" t="s">
        <v>297</v>
      </c>
      <c r="G298" s="61">
        <v>0</v>
      </c>
      <c r="H298" s="70">
        <f t="shared" si="13"/>
        <v>0</v>
      </c>
      <c r="I298" s="11">
        <f t="shared" ca="1" si="11"/>
        <v>46120</v>
      </c>
      <c r="J298" s="11">
        <f t="shared" ca="1" si="12"/>
        <v>46118</v>
      </c>
      <c r="K298" s="13"/>
    </row>
    <row r="299" spans="1:11" ht="18" x14ac:dyDescent="0.4">
      <c r="A299" s="7" t="s">
        <v>0</v>
      </c>
      <c r="B299" s="81" t="s">
        <v>295</v>
      </c>
      <c r="C299" s="60">
        <v>51620</v>
      </c>
      <c r="D299" s="70">
        <v>552611060</v>
      </c>
      <c r="E299" s="57">
        <v>840</v>
      </c>
      <c r="F299" s="71" t="s">
        <v>298</v>
      </c>
      <c r="G299" s="61">
        <v>0</v>
      </c>
      <c r="H299" s="70">
        <f t="shared" si="13"/>
        <v>0</v>
      </c>
      <c r="I299" s="11">
        <f t="shared" ca="1" si="11"/>
        <v>46120</v>
      </c>
      <c r="J299" s="11">
        <f t="shared" ca="1" si="12"/>
        <v>46118</v>
      </c>
      <c r="K299" s="13"/>
    </row>
    <row r="300" spans="1:11" ht="18" x14ac:dyDescent="0.4">
      <c r="A300" s="7" t="s">
        <v>0</v>
      </c>
      <c r="B300" s="81" t="s">
        <v>295</v>
      </c>
      <c r="C300" s="60">
        <v>51620</v>
      </c>
      <c r="D300" s="70">
        <v>552670810</v>
      </c>
      <c r="E300" s="57">
        <v>840</v>
      </c>
      <c r="F300" s="71" t="s">
        <v>296</v>
      </c>
      <c r="G300" s="61">
        <v>0</v>
      </c>
      <c r="H300" s="70">
        <f t="shared" si="13"/>
        <v>0</v>
      </c>
      <c r="I300" s="11">
        <f t="shared" ca="1" si="11"/>
        <v>46120</v>
      </c>
      <c r="J300" s="11">
        <f t="shared" ca="1" si="12"/>
        <v>46118</v>
      </c>
      <c r="K300" s="13"/>
    </row>
    <row r="301" spans="1:11" ht="18" x14ac:dyDescent="0.4">
      <c r="A301" s="7" t="s">
        <v>0</v>
      </c>
      <c r="B301" s="81" t="s">
        <v>295</v>
      </c>
      <c r="C301" s="60">
        <v>51620</v>
      </c>
      <c r="D301" s="70">
        <v>552670830</v>
      </c>
      <c r="E301" s="57">
        <v>1440</v>
      </c>
      <c r="F301" s="71" t="s">
        <v>297</v>
      </c>
      <c r="G301" s="61">
        <v>0</v>
      </c>
      <c r="H301" s="70">
        <f t="shared" si="13"/>
        <v>0</v>
      </c>
      <c r="I301" s="11">
        <f t="shared" ca="1" si="11"/>
        <v>46120</v>
      </c>
      <c r="J301" s="11">
        <f t="shared" ca="1" si="12"/>
        <v>46118</v>
      </c>
      <c r="K301" s="13"/>
    </row>
    <row r="302" spans="1:11" ht="18" x14ac:dyDescent="0.4">
      <c r="A302" s="7" t="s">
        <v>0</v>
      </c>
      <c r="B302" s="81" t="s">
        <v>295</v>
      </c>
      <c r="C302" s="60">
        <v>51620</v>
      </c>
      <c r="D302" s="70">
        <v>552670850</v>
      </c>
      <c r="E302" s="57">
        <v>840</v>
      </c>
      <c r="F302" s="71" t="s">
        <v>298</v>
      </c>
      <c r="G302" s="61">
        <v>0</v>
      </c>
      <c r="H302" s="70">
        <f t="shared" si="13"/>
        <v>0</v>
      </c>
      <c r="I302" s="11">
        <f t="shared" ca="1" si="11"/>
        <v>46120</v>
      </c>
      <c r="J302" s="11">
        <f t="shared" ca="1" si="12"/>
        <v>46118</v>
      </c>
      <c r="K302" s="13"/>
    </row>
    <row r="303" spans="1:11" ht="18" x14ac:dyDescent="0.4">
      <c r="A303" s="7" t="s">
        <v>0</v>
      </c>
      <c r="B303" s="81" t="s">
        <v>295</v>
      </c>
      <c r="C303" s="60">
        <v>51620</v>
      </c>
      <c r="D303" s="70">
        <v>552527010</v>
      </c>
      <c r="E303" s="57">
        <v>840</v>
      </c>
      <c r="F303" s="71" t="s">
        <v>296</v>
      </c>
      <c r="G303" s="61">
        <v>0</v>
      </c>
      <c r="H303" s="70">
        <f t="shared" si="13"/>
        <v>0</v>
      </c>
      <c r="I303" s="11">
        <f t="shared" ca="1" si="11"/>
        <v>46120</v>
      </c>
      <c r="J303" s="11">
        <f t="shared" ca="1" si="12"/>
        <v>46118</v>
      </c>
      <c r="K303" s="13"/>
    </row>
    <row r="304" spans="1:11" ht="18" x14ac:dyDescent="0.4">
      <c r="A304" s="7" t="s">
        <v>0</v>
      </c>
      <c r="B304" s="81" t="s">
        <v>295</v>
      </c>
      <c r="C304" s="60">
        <v>51620</v>
      </c>
      <c r="D304" s="70">
        <v>552527050</v>
      </c>
      <c r="E304" s="57">
        <v>1456</v>
      </c>
      <c r="F304" s="71" t="s">
        <v>297</v>
      </c>
      <c r="G304" s="61">
        <v>0</v>
      </c>
      <c r="H304" s="70">
        <f t="shared" si="13"/>
        <v>0</v>
      </c>
      <c r="I304" s="11">
        <f t="shared" ca="1" si="11"/>
        <v>46120</v>
      </c>
      <c r="J304" s="11">
        <f t="shared" ca="1" si="12"/>
        <v>46118</v>
      </c>
      <c r="K304" s="8"/>
    </row>
    <row r="305" spans="1:11" ht="18" x14ac:dyDescent="0.4">
      <c r="A305" s="7" t="s">
        <v>0</v>
      </c>
      <c r="B305" s="81" t="s">
        <v>295</v>
      </c>
      <c r="C305" s="60">
        <v>51620</v>
      </c>
      <c r="D305" s="70">
        <v>552527090</v>
      </c>
      <c r="E305" s="57">
        <v>840</v>
      </c>
      <c r="F305" s="71" t="s">
        <v>298</v>
      </c>
      <c r="G305" s="61">
        <v>0</v>
      </c>
      <c r="H305" s="70">
        <f t="shared" si="13"/>
        <v>0</v>
      </c>
      <c r="I305" s="11">
        <f t="shared" ca="1" si="11"/>
        <v>46120</v>
      </c>
      <c r="J305" s="11">
        <f t="shared" ca="1" si="12"/>
        <v>46118</v>
      </c>
      <c r="K305" s="8"/>
    </row>
    <row r="306" spans="1:11" ht="18" x14ac:dyDescent="0.4">
      <c r="A306" s="7" t="s">
        <v>0</v>
      </c>
      <c r="B306" s="81" t="s">
        <v>295</v>
      </c>
      <c r="C306" s="60">
        <v>51620</v>
      </c>
      <c r="D306" s="70">
        <v>552718660</v>
      </c>
      <c r="E306" s="57">
        <v>840</v>
      </c>
      <c r="F306" s="71" t="s">
        <v>296</v>
      </c>
      <c r="G306" s="61">
        <v>0</v>
      </c>
      <c r="H306" s="70">
        <f t="shared" si="13"/>
        <v>0</v>
      </c>
      <c r="I306" s="11">
        <f t="shared" ca="1" si="11"/>
        <v>46120</v>
      </c>
      <c r="J306" s="11">
        <f t="shared" ca="1" si="12"/>
        <v>46118</v>
      </c>
      <c r="K306" s="13"/>
    </row>
    <row r="307" spans="1:11" ht="18" x14ac:dyDescent="0.4">
      <c r="A307" s="7" t="s">
        <v>0</v>
      </c>
      <c r="B307" s="81" t="s">
        <v>295</v>
      </c>
      <c r="C307" s="60">
        <v>51620</v>
      </c>
      <c r="D307" s="70">
        <v>552720150</v>
      </c>
      <c r="E307" s="57">
        <v>1440</v>
      </c>
      <c r="F307" s="71" t="s">
        <v>297</v>
      </c>
      <c r="G307" s="61">
        <v>0</v>
      </c>
      <c r="H307" s="70">
        <f t="shared" si="13"/>
        <v>0</v>
      </c>
      <c r="I307" s="11">
        <f t="shared" ca="1" si="11"/>
        <v>46120</v>
      </c>
      <c r="J307" s="11">
        <f t="shared" ca="1" si="12"/>
        <v>46118</v>
      </c>
      <c r="K307" s="8"/>
    </row>
    <row r="308" spans="1:11" ht="18" x14ac:dyDescent="0.4">
      <c r="A308" s="7" t="s">
        <v>0</v>
      </c>
      <c r="B308" s="81" t="s">
        <v>295</v>
      </c>
      <c r="C308" s="60">
        <v>51620</v>
      </c>
      <c r="D308" s="70">
        <v>552720240</v>
      </c>
      <c r="E308" s="57">
        <v>840</v>
      </c>
      <c r="F308" s="71" t="s">
        <v>298</v>
      </c>
      <c r="G308" s="61">
        <v>0</v>
      </c>
      <c r="H308" s="70">
        <f t="shared" si="13"/>
        <v>0</v>
      </c>
      <c r="I308" s="11">
        <f t="shared" ca="1" si="11"/>
        <v>46120</v>
      </c>
      <c r="J308" s="11">
        <f t="shared" ca="1" si="12"/>
        <v>46118</v>
      </c>
      <c r="K308" s="13"/>
    </row>
    <row r="309" spans="1:11" ht="18" x14ac:dyDescent="0.4">
      <c r="A309" s="7" t="s">
        <v>0</v>
      </c>
      <c r="B309" s="81" t="s">
        <v>295</v>
      </c>
      <c r="C309" s="60">
        <v>51620</v>
      </c>
      <c r="D309" s="70">
        <v>552527390</v>
      </c>
      <c r="E309" s="57">
        <v>840</v>
      </c>
      <c r="F309" s="71" t="s">
        <v>296</v>
      </c>
      <c r="G309" s="61">
        <v>0</v>
      </c>
      <c r="H309" s="70">
        <f t="shared" si="13"/>
        <v>0</v>
      </c>
      <c r="I309" s="11">
        <f t="shared" ca="1" si="11"/>
        <v>46120</v>
      </c>
      <c r="J309" s="11">
        <f t="shared" ca="1" si="12"/>
        <v>46118</v>
      </c>
      <c r="K309" s="13"/>
    </row>
    <row r="310" spans="1:11" ht="18" x14ac:dyDescent="0.4">
      <c r="A310" s="7" t="s">
        <v>0</v>
      </c>
      <c r="B310" s="81" t="s">
        <v>295</v>
      </c>
      <c r="C310" s="60">
        <v>51620</v>
      </c>
      <c r="D310" s="70">
        <v>552527680</v>
      </c>
      <c r="E310" s="57">
        <v>1440</v>
      </c>
      <c r="F310" s="71" t="s">
        <v>297</v>
      </c>
      <c r="G310" s="61">
        <v>0</v>
      </c>
      <c r="H310" s="70">
        <f t="shared" si="13"/>
        <v>0</v>
      </c>
      <c r="I310" s="11">
        <f t="shared" ca="1" si="11"/>
        <v>46120</v>
      </c>
      <c r="J310" s="11">
        <f t="shared" ca="1" si="12"/>
        <v>46118</v>
      </c>
      <c r="K310" s="8"/>
    </row>
    <row r="311" spans="1:11" ht="18" x14ac:dyDescent="0.4">
      <c r="A311" s="7" t="s">
        <v>0</v>
      </c>
      <c r="B311" s="81" t="s">
        <v>295</v>
      </c>
      <c r="C311" s="60">
        <v>51620</v>
      </c>
      <c r="D311" s="70">
        <v>552527760</v>
      </c>
      <c r="E311" s="57">
        <v>840</v>
      </c>
      <c r="F311" s="71" t="s">
        <v>298</v>
      </c>
      <c r="G311" s="61">
        <v>0</v>
      </c>
      <c r="H311" s="70">
        <f t="shared" si="13"/>
        <v>0</v>
      </c>
      <c r="I311" s="11">
        <f t="shared" ref="I311:I374" ca="1" si="14">I310</f>
        <v>46120</v>
      </c>
      <c r="J311" s="11">
        <f t="shared" ca="1" si="12"/>
        <v>46118</v>
      </c>
      <c r="K311" s="13"/>
    </row>
    <row r="312" spans="1:11" ht="18" x14ac:dyDescent="0.4">
      <c r="A312" s="7" t="s">
        <v>0</v>
      </c>
      <c r="B312" s="81" t="s">
        <v>299</v>
      </c>
      <c r="C312" s="60">
        <v>51658</v>
      </c>
      <c r="D312" s="70">
        <v>552804260</v>
      </c>
      <c r="E312" s="57">
        <v>2000</v>
      </c>
      <c r="F312" s="71" t="s">
        <v>300</v>
      </c>
      <c r="G312" s="61">
        <v>0</v>
      </c>
      <c r="H312" s="70">
        <f t="shared" si="13"/>
        <v>0</v>
      </c>
      <c r="I312" s="11">
        <f t="shared" ca="1" si="14"/>
        <v>46120</v>
      </c>
      <c r="J312" s="11">
        <f t="shared" ca="1" si="12"/>
        <v>46118</v>
      </c>
      <c r="K312" s="13"/>
    </row>
    <row r="313" spans="1:11" ht="18" x14ac:dyDescent="0.4">
      <c r="A313" s="7" t="s">
        <v>0</v>
      </c>
      <c r="B313" s="81" t="s">
        <v>299</v>
      </c>
      <c r="C313" s="60">
        <v>51658</v>
      </c>
      <c r="D313" s="70">
        <v>552804270</v>
      </c>
      <c r="E313" s="57">
        <v>15000</v>
      </c>
      <c r="F313" s="71" t="s">
        <v>301</v>
      </c>
      <c r="G313" s="61">
        <v>0</v>
      </c>
      <c r="H313" s="70">
        <f t="shared" si="13"/>
        <v>0</v>
      </c>
      <c r="I313" s="11">
        <f t="shared" ca="1" si="14"/>
        <v>46120</v>
      </c>
      <c r="J313" s="11">
        <f t="shared" ca="1" si="12"/>
        <v>46118</v>
      </c>
      <c r="K313" s="13"/>
    </row>
    <row r="314" spans="1:11" ht="18" x14ac:dyDescent="0.4">
      <c r="A314" s="7" t="s">
        <v>0</v>
      </c>
      <c r="B314" s="81" t="s">
        <v>299</v>
      </c>
      <c r="C314" s="60">
        <v>51658</v>
      </c>
      <c r="D314" s="70">
        <v>552804280</v>
      </c>
      <c r="E314" s="57">
        <v>2000</v>
      </c>
      <c r="F314" s="71" t="s">
        <v>302</v>
      </c>
      <c r="G314" s="61">
        <v>0</v>
      </c>
      <c r="H314" s="70">
        <f t="shared" si="13"/>
        <v>0</v>
      </c>
      <c r="I314" s="11">
        <f t="shared" ca="1" si="14"/>
        <v>46120</v>
      </c>
      <c r="J314" s="11">
        <f t="shared" ca="1" si="12"/>
        <v>46118</v>
      </c>
      <c r="K314" s="13"/>
    </row>
    <row r="315" spans="1:11" ht="18" x14ac:dyDescent="0.4">
      <c r="A315" s="7" t="s">
        <v>0</v>
      </c>
      <c r="B315" s="81" t="s">
        <v>299</v>
      </c>
      <c r="C315" s="60">
        <v>51658</v>
      </c>
      <c r="D315" s="70">
        <v>552804320</v>
      </c>
      <c r="E315" s="57">
        <v>840</v>
      </c>
      <c r="F315" s="71" t="s">
        <v>303</v>
      </c>
      <c r="G315" s="61">
        <v>0</v>
      </c>
      <c r="H315" s="70">
        <f t="shared" si="13"/>
        <v>0</v>
      </c>
      <c r="I315" s="11">
        <f t="shared" ca="1" si="14"/>
        <v>46120</v>
      </c>
      <c r="J315" s="11">
        <f t="shared" ca="1" si="12"/>
        <v>46118</v>
      </c>
      <c r="K315" s="13"/>
    </row>
    <row r="316" spans="1:11" ht="18" x14ac:dyDescent="0.4">
      <c r="A316" s="7" t="s">
        <v>0</v>
      </c>
      <c r="B316" s="81" t="s">
        <v>299</v>
      </c>
      <c r="C316" s="60">
        <v>51658</v>
      </c>
      <c r="D316" s="70">
        <v>552804330</v>
      </c>
      <c r="E316" s="57">
        <v>2400</v>
      </c>
      <c r="F316" s="71" t="s">
        <v>304</v>
      </c>
      <c r="G316" s="61">
        <v>0</v>
      </c>
      <c r="H316" s="70">
        <f t="shared" si="13"/>
        <v>0</v>
      </c>
      <c r="I316" s="11">
        <f t="shared" ca="1" si="14"/>
        <v>46120</v>
      </c>
      <c r="J316" s="11">
        <f t="shared" ca="1" si="12"/>
        <v>46118</v>
      </c>
      <c r="K316" s="13"/>
    </row>
    <row r="317" spans="1:11" ht="18" x14ac:dyDescent="0.4">
      <c r="A317" s="7" t="s">
        <v>0</v>
      </c>
      <c r="B317" s="81" t="s">
        <v>299</v>
      </c>
      <c r="C317" s="60">
        <v>51658</v>
      </c>
      <c r="D317" s="70">
        <v>552804340</v>
      </c>
      <c r="E317" s="57">
        <v>960</v>
      </c>
      <c r="F317" s="71" t="s">
        <v>305</v>
      </c>
      <c r="G317" s="61">
        <v>0</v>
      </c>
      <c r="H317" s="70">
        <f t="shared" si="13"/>
        <v>0</v>
      </c>
      <c r="I317" s="11">
        <f t="shared" ca="1" si="14"/>
        <v>46120</v>
      </c>
      <c r="J317" s="11">
        <f t="shared" ca="1" si="12"/>
        <v>46118</v>
      </c>
      <c r="K317" s="13"/>
    </row>
    <row r="318" spans="1:11" ht="18" x14ac:dyDescent="0.4">
      <c r="A318" s="7" t="s">
        <v>0</v>
      </c>
      <c r="B318" s="81" t="s">
        <v>299</v>
      </c>
      <c r="C318" s="60">
        <v>51658</v>
      </c>
      <c r="D318" s="70">
        <v>552105070</v>
      </c>
      <c r="E318" s="57">
        <v>1488</v>
      </c>
      <c r="F318" s="71" t="s">
        <v>306</v>
      </c>
      <c r="G318" s="61">
        <v>0</v>
      </c>
      <c r="H318" s="70">
        <f t="shared" si="13"/>
        <v>0</v>
      </c>
      <c r="I318" s="11">
        <f t="shared" ca="1" si="14"/>
        <v>46120</v>
      </c>
      <c r="J318" s="11">
        <f t="shared" ca="1" si="12"/>
        <v>46118</v>
      </c>
      <c r="K318" s="13"/>
    </row>
    <row r="319" spans="1:11" ht="18" x14ac:dyDescent="0.4">
      <c r="A319" s="7" t="s">
        <v>0</v>
      </c>
      <c r="B319" s="81" t="s">
        <v>299</v>
      </c>
      <c r="C319" s="60">
        <v>51658</v>
      </c>
      <c r="D319" s="70">
        <v>552105090</v>
      </c>
      <c r="E319" s="57">
        <v>14880</v>
      </c>
      <c r="F319" s="71" t="s">
        <v>307</v>
      </c>
      <c r="G319" s="61">
        <v>0</v>
      </c>
      <c r="H319" s="70">
        <f t="shared" si="13"/>
        <v>0</v>
      </c>
      <c r="I319" s="11">
        <f t="shared" ca="1" si="14"/>
        <v>46120</v>
      </c>
      <c r="J319" s="11">
        <f t="shared" ca="1" si="12"/>
        <v>46118</v>
      </c>
      <c r="K319" s="13"/>
    </row>
    <row r="320" spans="1:11" ht="18" x14ac:dyDescent="0.4">
      <c r="A320" s="7" t="s">
        <v>0</v>
      </c>
      <c r="B320" s="81" t="s">
        <v>299</v>
      </c>
      <c r="C320" s="60">
        <v>51658</v>
      </c>
      <c r="D320" s="70">
        <v>552105110</v>
      </c>
      <c r="E320" s="57">
        <v>1488</v>
      </c>
      <c r="F320" s="71" t="s">
        <v>308</v>
      </c>
      <c r="G320" s="61">
        <v>0</v>
      </c>
      <c r="H320" s="70">
        <f t="shared" si="13"/>
        <v>0</v>
      </c>
      <c r="I320" s="11">
        <f t="shared" ca="1" si="14"/>
        <v>46120</v>
      </c>
      <c r="J320" s="11">
        <f t="shared" ca="1" si="12"/>
        <v>46118</v>
      </c>
      <c r="K320" s="13"/>
    </row>
    <row r="321" spans="1:11" ht="18" x14ac:dyDescent="0.4">
      <c r="A321" s="7" t="s">
        <v>0</v>
      </c>
      <c r="B321" s="81" t="s">
        <v>299</v>
      </c>
      <c r="C321" s="60">
        <v>51658</v>
      </c>
      <c r="D321" s="70">
        <v>552107380</v>
      </c>
      <c r="E321" s="57">
        <v>1536</v>
      </c>
      <c r="F321" s="71" t="s">
        <v>306</v>
      </c>
      <c r="G321" s="61">
        <v>0</v>
      </c>
      <c r="H321" s="70">
        <f t="shared" si="13"/>
        <v>0</v>
      </c>
      <c r="I321" s="11">
        <f t="shared" ca="1" si="14"/>
        <v>46120</v>
      </c>
      <c r="J321" s="11">
        <f t="shared" ca="1" si="12"/>
        <v>46118</v>
      </c>
      <c r="K321" s="13"/>
    </row>
    <row r="322" spans="1:11" ht="18" x14ac:dyDescent="0.4">
      <c r="A322" s="7" t="s">
        <v>0</v>
      </c>
      <c r="B322" s="81" t="s">
        <v>299</v>
      </c>
      <c r="C322" s="60">
        <v>51658</v>
      </c>
      <c r="D322" s="70">
        <v>552107390</v>
      </c>
      <c r="E322" s="57">
        <v>15360</v>
      </c>
      <c r="F322" s="71" t="s">
        <v>307</v>
      </c>
      <c r="G322" s="61">
        <v>0</v>
      </c>
      <c r="H322" s="70">
        <f t="shared" si="13"/>
        <v>0</v>
      </c>
      <c r="I322" s="11">
        <f t="shared" ca="1" si="14"/>
        <v>46120</v>
      </c>
      <c r="J322" s="11">
        <f t="shared" ca="1" si="12"/>
        <v>46118</v>
      </c>
      <c r="K322" s="13"/>
    </row>
    <row r="323" spans="1:11" ht="18" x14ac:dyDescent="0.4">
      <c r="A323" s="7" t="s">
        <v>0</v>
      </c>
      <c r="B323" s="81" t="s">
        <v>299</v>
      </c>
      <c r="C323" s="60">
        <v>51658</v>
      </c>
      <c r="D323" s="70">
        <v>552107400</v>
      </c>
      <c r="E323" s="57">
        <v>1536</v>
      </c>
      <c r="F323" s="71" t="s">
        <v>308</v>
      </c>
      <c r="G323" s="61">
        <v>0</v>
      </c>
      <c r="H323" s="70">
        <f t="shared" si="13"/>
        <v>0</v>
      </c>
      <c r="I323" s="11">
        <f t="shared" ca="1" si="14"/>
        <v>46120</v>
      </c>
      <c r="J323" s="11">
        <f t="shared" ca="1" si="12"/>
        <v>46118</v>
      </c>
      <c r="K323" s="13"/>
    </row>
    <row r="324" spans="1:11" ht="18" x14ac:dyDescent="0.4">
      <c r="A324" s="7" t="s">
        <v>0</v>
      </c>
      <c r="B324" s="81" t="s">
        <v>309</v>
      </c>
      <c r="C324" s="60">
        <v>21570</v>
      </c>
      <c r="D324" s="70">
        <v>463363330</v>
      </c>
      <c r="E324" s="57">
        <v>28000</v>
      </c>
      <c r="F324" s="71" t="s">
        <v>310</v>
      </c>
      <c r="G324" s="61">
        <v>0</v>
      </c>
      <c r="H324" s="70">
        <f t="shared" ref="H324:H368" si="15">+G324/E324</f>
        <v>0</v>
      </c>
      <c r="I324" s="11">
        <f t="shared" ca="1" si="14"/>
        <v>46120</v>
      </c>
      <c r="J324" s="11">
        <f t="shared" ca="1" si="12"/>
        <v>46118</v>
      </c>
      <c r="K324" s="13"/>
    </row>
    <row r="325" spans="1:11" ht="18" x14ac:dyDescent="0.4">
      <c r="A325" s="7" t="s">
        <v>0</v>
      </c>
      <c r="B325" s="81" t="s">
        <v>311</v>
      </c>
      <c r="C325" s="60">
        <v>40840</v>
      </c>
      <c r="D325" s="70">
        <v>187521210</v>
      </c>
      <c r="E325" s="57">
        <v>900</v>
      </c>
      <c r="F325" s="71" t="s">
        <v>312</v>
      </c>
      <c r="G325" s="61">
        <v>0</v>
      </c>
      <c r="H325" s="70">
        <f t="shared" si="15"/>
        <v>0</v>
      </c>
      <c r="I325" s="11">
        <f t="shared" ca="1" si="14"/>
        <v>46120</v>
      </c>
      <c r="J325" s="11">
        <f t="shared" ca="1" si="12"/>
        <v>46118</v>
      </c>
      <c r="K325" s="13"/>
    </row>
    <row r="326" spans="1:11" ht="18" x14ac:dyDescent="0.4">
      <c r="A326" s="7" t="s">
        <v>0</v>
      </c>
      <c r="B326" s="81" t="s">
        <v>311</v>
      </c>
      <c r="C326" s="60">
        <v>40840</v>
      </c>
      <c r="D326" s="70">
        <v>162891240</v>
      </c>
      <c r="E326" s="57">
        <v>100</v>
      </c>
      <c r="F326" s="71" t="s">
        <v>313</v>
      </c>
      <c r="G326" s="61">
        <v>0</v>
      </c>
      <c r="H326" s="70">
        <f t="shared" si="15"/>
        <v>0</v>
      </c>
      <c r="I326" s="11">
        <f t="shared" ca="1" si="14"/>
        <v>46120</v>
      </c>
      <c r="J326" s="11">
        <f t="shared" ca="1" si="12"/>
        <v>46118</v>
      </c>
      <c r="K326" s="13"/>
    </row>
    <row r="327" spans="1:11" ht="18" x14ac:dyDescent="0.4">
      <c r="A327" s="7" t="s">
        <v>0</v>
      </c>
      <c r="B327" s="81" t="s">
        <v>311</v>
      </c>
      <c r="C327" s="60">
        <v>40840</v>
      </c>
      <c r="D327" s="70">
        <v>463447260</v>
      </c>
      <c r="E327" s="57">
        <v>100</v>
      </c>
      <c r="F327" s="71" t="s">
        <v>313</v>
      </c>
      <c r="G327" s="61">
        <v>0</v>
      </c>
      <c r="H327" s="70">
        <f t="shared" si="15"/>
        <v>0</v>
      </c>
      <c r="I327" s="11">
        <f t="shared" ca="1" si="14"/>
        <v>46120</v>
      </c>
      <c r="J327" s="11">
        <f t="shared" ca="1" si="12"/>
        <v>46118</v>
      </c>
      <c r="K327" s="13"/>
    </row>
    <row r="328" spans="1:11" ht="18" x14ac:dyDescent="0.4">
      <c r="A328" s="7" t="s">
        <v>0</v>
      </c>
      <c r="B328" s="81" t="s">
        <v>311</v>
      </c>
      <c r="C328" s="60">
        <v>40840</v>
      </c>
      <c r="D328" s="70">
        <v>551877380</v>
      </c>
      <c r="E328" s="57">
        <v>150</v>
      </c>
      <c r="F328" s="71" t="s">
        <v>314</v>
      </c>
      <c r="G328" s="61">
        <v>0</v>
      </c>
      <c r="H328" s="70">
        <f t="shared" si="15"/>
        <v>0</v>
      </c>
      <c r="I328" s="11">
        <f t="shared" ca="1" si="14"/>
        <v>46120</v>
      </c>
      <c r="J328" s="11">
        <f t="shared" ca="1" si="12"/>
        <v>46118</v>
      </c>
      <c r="K328" s="13"/>
    </row>
    <row r="329" spans="1:11" ht="18" x14ac:dyDescent="0.4">
      <c r="A329" s="7" t="s">
        <v>0</v>
      </c>
      <c r="B329" s="81" t="s">
        <v>311</v>
      </c>
      <c r="C329" s="60">
        <v>40840</v>
      </c>
      <c r="D329" s="70">
        <v>552650820</v>
      </c>
      <c r="E329" s="57">
        <v>300</v>
      </c>
      <c r="F329" s="71" t="s">
        <v>315</v>
      </c>
      <c r="G329" s="61">
        <v>0</v>
      </c>
      <c r="H329" s="70">
        <f t="shared" si="15"/>
        <v>0</v>
      </c>
      <c r="I329" s="11">
        <f t="shared" ca="1" si="14"/>
        <v>46120</v>
      </c>
      <c r="J329" s="11">
        <f t="shared" ca="1" si="12"/>
        <v>46118</v>
      </c>
      <c r="K329" s="13"/>
    </row>
    <row r="330" spans="1:11" ht="18" x14ac:dyDescent="0.4">
      <c r="A330" s="7" t="s">
        <v>0</v>
      </c>
      <c r="B330" s="81" t="s">
        <v>316</v>
      </c>
      <c r="C330" s="57">
        <v>30467</v>
      </c>
      <c r="D330" s="70">
        <v>140593110</v>
      </c>
      <c r="E330" s="57">
        <v>1200</v>
      </c>
      <c r="F330" s="71" t="s">
        <v>317</v>
      </c>
      <c r="G330" s="61">
        <v>0</v>
      </c>
      <c r="H330" s="70">
        <f t="shared" si="15"/>
        <v>0</v>
      </c>
      <c r="I330" s="11">
        <f t="shared" ca="1" si="14"/>
        <v>46120</v>
      </c>
      <c r="J330" s="11">
        <f t="shared" ca="1" si="12"/>
        <v>46118</v>
      </c>
      <c r="K330" s="13"/>
    </row>
    <row r="331" spans="1:11" ht="18" x14ac:dyDescent="0.4">
      <c r="A331" s="7" t="s">
        <v>0</v>
      </c>
      <c r="B331" s="81" t="s">
        <v>316</v>
      </c>
      <c r="C331" s="57">
        <v>30467</v>
      </c>
      <c r="D331" s="70">
        <v>140594210</v>
      </c>
      <c r="E331" s="57">
        <v>800</v>
      </c>
      <c r="F331" s="71" t="s">
        <v>318</v>
      </c>
      <c r="G331" s="61">
        <v>0</v>
      </c>
      <c r="H331" s="70">
        <f t="shared" si="15"/>
        <v>0</v>
      </c>
      <c r="I331" s="11">
        <f t="shared" ca="1" si="14"/>
        <v>46120</v>
      </c>
      <c r="J331" s="11">
        <f t="shared" ca="1" si="12"/>
        <v>46118</v>
      </c>
      <c r="K331" s="13"/>
    </row>
    <row r="332" spans="1:11" ht="18" x14ac:dyDescent="0.4">
      <c r="A332" s="7" t="s">
        <v>0</v>
      </c>
      <c r="B332" s="81" t="s">
        <v>316</v>
      </c>
      <c r="C332" s="57">
        <v>30467</v>
      </c>
      <c r="D332" s="70">
        <v>517309140</v>
      </c>
      <c r="E332" s="57">
        <v>2500</v>
      </c>
      <c r="F332" s="71" t="s">
        <v>319</v>
      </c>
      <c r="G332" s="61">
        <v>0</v>
      </c>
      <c r="H332" s="70">
        <f t="shared" si="15"/>
        <v>0</v>
      </c>
      <c r="I332" s="11">
        <f t="shared" ca="1" si="14"/>
        <v>46120</v>
      </c>
      <c r="J332" s="11">
        <f t="shared" ca="1" si="12"/>
        <v>46118</v>
      </c>
      <c r="K332" s="13"/>
    </row>
    <row r="333" spans="1:11" ht="18" x14ac:dyDescent="0.4">
      <c r="A333" s="7" t="s">
        <v>0</v>
      </c>
      <c r="B333" s="60" t="s">
        <v>320</v>
      </c>
      <c r="C333" s="57">
        <v>19414</v>
      </c>
      <c r="D333" s="70">
        <v>77463090</v>
      </c>
      <c r="E333" s="57">
        <v>430</v>
      </c>
      <c r="F333" s="71" t="s">
        <v>321</v>
      </c>
      <c r="G333" s="61">
        <v>0</v>
      </c>
      <c r="H333" s="70">
        <f t="shared" si="15"/>
        <v>0</v>
      </c>
      <c r="I333" s="11">
        <f t="shared" ca="1" si="14"/>
        <v>46120</v>
      </c>
      <c r="J333" s="11">
        <f t="shared" ca="1" si="12"/>
        <v>46118</v>
      </c>
      <c r="K333" s="13"/>
    </row>
    <row r="334" spans="1:11" ht="18" x14ac:dyDescent="0.4">
      <c r="A334" s="7" t="s">
        <v>0</v>
      </c>
      <c r="B334" s="81" t="s">
        <v>320</v>
      </c>
      <c r="C334" s="57">
        <v>19414</v>
      </c>
      <c r="D334" s="70">
        <v>115864240</v>
      </c>
      <c r="E334" s="57">
        <v>300</v>
      </c>
      <c r="F334" s="71" t="s">
        <v>322</v>
      </c>
      <c r="G334" s="61">
        <v>0</v>
      </c>
      <c r="H334" s="70">
        <f t="shared" si="15"/>
        <v>0</v>
      </c>
      <c r="I334" s="11">
        <f t="shared" ca="1" si="14"/>
        <v>46120</v>
      </c>
      <c r="J334" s="11">
        <f t="shared" ca="1" si="12"/>
        <v>46118</v>
      </c>
      <c r="K334" s="13"/>
    </row>
    <row r="335" spans="1:11" ht="18" x14ac:dyDescent="0.4">
      <c r="A335" s="7" t="s">
        <v>0</v>
      </c>
      <c r="B335" s="81" t="s">
        <v>320</v>
      </c>
      <c r="C335" s="57">
        <v>19414</v>
      </c>
      <c r="D335" s="70">
        <v>143083240</v>
      </c>
      <c r="E335" s="57">
        <v>260</v>
      </c>
      <c r="F335" s="71" t="s">
        <v>323</v>
      </c>
      <c r="G335" s="61">
        <v>0</v>
      </c>
      <c r="H335" s="70">
        <f t="shared" si="15"/>
        <v>0</v>
      </c>
      <c r="I335" s="11">
        <f t="shared" ca="1" si="14"/>
        <v>46120</v>
      </c>
      <c r="J335" s="11">
        <f t="shared" ca="1" si="12"/>
        <v>46118</v>
      </c>
      <c r="K335" s="13"/>
    </row>
    <row r="336" spans="1:11" ht="18" x14ac:dyDescent="0.4">
      <c r="A336" s="7" t="s">
        <v>0</v>
      </c>
      <c r="B336" s="81" t="s">
        <v>320</v>
      </c>
      <c r="C336" s="57">
        <v>19414</v>
      </c>
      <c r="D336" s="70">
        <v>143085240</v>
      </c>
      <c r="E336" s="57">
        <v>210</v>
      </c>
      <c r="F336" s="71" t="s">
        <v>324</v>
      </c>
      <c r="G336" s="61">
        <v>0</v>
      </c>
      <c r="H336" s="70">
        <f t="shared" si="15"/>
        <v>0</v>
      </c>
      <c r="I336" s="11">
        <f t="shared" ca="1" si="14"/>
        <v>46120</v>
      </c>
      <c r="J336" s="11">
        <f t="shared" ca="1" si="12"/>
        <v>46118</v>
      </c>
      <c r="K336" s="13"/>
    </row>
    <row r="337" spans="1:11" ht="18" x14ac:dyDescent="0.4">
      <c r="A337" s="7" t="s">
        <v>0</v>
      </c>
      <c r="B337" s="81" t="s">
        <v>320</v>
      </c>
      <c r="C337" s="57">
        <v>19414</v>
      </c>
      <c r="D337" s="70">
        <v>116127240</v>
      </c>
      <c r="E337" s="57">
        <v>2000</v>
      </c>
      <c r="F337" s="71" t="s">
        <v>325</v>
      </c>
      <c r="G337" s="61">
        <v>0</v>
      </c>
      <c r="H337" s="70">
        <f t="shared" si="15"/>
        <v>0</v>
      </c>
      <c r="I337" s="11">
        <f t="shared" ca="1" si="14"/>
        <v>46120</v>
      </c>
      <c r="J337" s="11">
        <f t="shared" ca="1" si="12"/>
        <v>46118</v>
      </c>
      <c r="K337" s="13"/>
    </row>
    <row r="338" spans="1:11" ht="18" x14ac:dyDescent="0.4">
      <c r="A338" s="7" t="s">
        <v>0</v>
      </c>
      <c r="B338" s="81" t="s">
        <v>320</v>
      </c>
      <c r="C338" s="57">
        <v>19414</v>
      </c>
      <c r="D338" s="70">
        <v>116131240</v>
      </c>
      <c r="E338" s="57">
        <v>1500</v>
      </c>
      <c r="F338" s="71" t="s">
        <v>326</v>
      </c>
      <c r="G338" s="61">
        <v>0</v>
      </c>
      <c r="H338" s="70">
        <f t="shared" si="15"/>
        <v>0</v>
      </c>
      <c r="I338" s="11">
        <f t="shared" ca="1" si="14"/>
        <v>46120</v>
      </c>
      <c r="J338" s="11">
        <f t="shared" ca="1" si="12"/>
        <v>46118</v>
      </c>
      <c r="K338" s="13"/>
    </row>
    <row r="339" spans="1:11" ht="18" x14ac:dyDescent="0.4">
      <c r="A339" s="7" t="s">
        <v>0</v>
      </c>
      <c r="B339" s="81" t="s">
        <v>320</v>
      </c>
      <c r="C339" s="57">
        <v>19414</v>
      </c>
      <c r="D339" s="70">
        <v>117340240</v>
      </c>
      <c r="E339" s="57">
        <v>300</v>
      </c>
      <c r="F339" s="71" t="s">
        <v>327</v>
      </c>
      <c r="G339" s="61">
        <v>0</v>
      </c>
      <c r="H339" s="70">
        <f t="shared" si="15"/>
        <v>0</v>
      </c>
      <c r="I339" s="11">
        <f t="shared" ca="1" si="14"/>
        <v>46120</v>
      </c>
      <c r="J339" s="11">
        <f t="shared" ca="1" si="12"/>
        <v>46118</v>
      </c>
      <c r="K339" s="13"/>
    </row>
    <row r="340" spans="1:11" ht="18" x14ac:dyDescent="0.4">
      <c r="A340" s="7" t="s">
        <v>0</v>
      </c>
      <c r="B340" s="81" t="s">
        <v>320</v>
      </c>
      <c r="C340" s="57">
        <v>19414</v>
      </c>
      <c r="D340" s="70">
        <v>160433240</v>
      </c>
      <c r="E340" s="57">
        <v>1000</v>
      </c>
      <c r="F340" s="71" t="s">
        <v>328</v>
      </c>
      <c r="G340" s="61">
        <v>0</v>
      </c>
      <c r="H340" s="70">
        <f t="shared" si="15"/>
        <v>0</v>
      </c>
      <c r="I340" s="11">
        <f t="shared" ca="1" si="14"/>
        <v>46120</v>
      </c>
      <c r="J340" s="11">
        <f t="shared" ca="1" si="12"/>
        <v>46118</v>
      </c>
      <c r="K340" s="13"/>
    </row>
    <row r="341" spans="1:11" ht="18" x14ac:dyDescent="0.4">
      <c r="A341" s="7" t="s">
        <v>0</v>
      </c>
      <c r="B341" s="81" t="s">
        <v>320</v>
      </c>
      <c r="C341" s="57">
        <v>19414</v>
      </c>
      <c r="D341" s="70">
        <v>162874240</v>
      </c>
      <c r="E341" s="57">
        <v>500</v>
      </c>
      <c r="F341" s="71" t="s">
        <v>329</v>
      </c>
      <c r="G341" s="61">
        <v>0</v>
      </c>
      <c r="H341" s="70">
        <f t="shared" si="15"/>
        <v>0</v>
      </c>
      <c r="I341" s="11">
        <f t="shared" ca="1" si="14"/>
        <v>46120</v>
      </c>
      <c r="J341" s="11">
        <f t="shared" ca="1" si="12"/>
        <v>46118</v>
      </c>
      <c r="K341" s="13"/>
    </row>
    <row r="342" spans="1:11" ht="18" x14ac:dyDescent="0.4">
      <c r="A342" s="7" t="s">
        <v>0</v>
      </c>
      <c r="B342" s="81" t="s">
        <v>320</v>
      </c>
      <c r="C342" s="57">
        <v>19414</v>
      </c>
      <c r="D342" s="70">
        <v>162883240</v>
      </c>
      <c r="E342" s="57">
        <v>500</v>
      </c>
      <c r="F342" s="71" t="s">
        <v>330</v>
      </c>
      <c r="G342" s="61">
        <v>0</v>
      </c>
      <c r="H342" s="70">
        <f t="shared" si="15"/>
        <v>0</v>
      </c>
      <c r="I342" s="11">
        <f t="shared" ca="1" si="14"/>
        <v>46120</v>
      </c>
      <c r="J342" s="11">
        <f t="shared" ca="1" si="12"/>
        <v>46118</v>
      </c>
      <c r="K342" s="13"/>
    </row>
    <row r="343" spans="1:11" ht="18" x14ac:dyDescent="0.4">
      <c r="A343" s="7" t="s">
        <v>0</v>
      </c>
      <c r="B343" s="81" t="s">
        <v>320</v>
      </c>
      <c r="C343" s="57">
        <v>19414</v>
      </c>
      <c r="D343" s="70">
        <v>187517240</v>
      </c>
      <c r="E343" s="57">
        <v>1200</v>
      </c>
      <c r="F343" s="71" t="s">
        <v>331</v>
      </c>
      <c r="G343" s="61">
        <v>0</v>
      </c>
      <c r="H343" s="70">
        <f t="shared" si="15"/>
        <v>0</v>
      </c>
      <c r="I343" s="11">
        <f t="shared" ca="1" si="14"/>
        <v>46120</v>
      </c>
      <c r="J343" s="11">
        <f t="shared" ca="1" si="12"/>
        <v>46118</v>
      </c>
      <c r="K343" s="13"/>
    </row>
    <row r="344" spans="1:11" ht="18" x14ac:dyDescent="0.4">
      <c r="A344" s="7" t="s">
        <v>0</v>
      </c>
      <c r="B344" s="81" t="s">
        <v>320</v>
      </c>
      <c r="C344" s="57">
        <v>19414</v>
      </c>
      <c r="D344" s="70">
        <v>465484560</v>
      </c>
      <c r="E344" s="57">
        <v>700</v>
      </c>
      <c r="F344" s="71" t="s">
        <v>185</v>
      </c>
      <c r="G344" s="61">
        <v>0</v>
      </c>
      <c r="H344" s="70">
        <f t="shared" si="15"/>
        <v>0</v>
      </c>
      <c r="I344" s="11">
        <f t="shared" ca="1" si="14"/>
        <v>46120</v>
      </c>
      <c r="J344" s="11">
        <f t="shared" ca="1" si="12"/>
        <v>46118</v>
      </c>
      <c r="K344" s="13"/>
    </row>
    <row r="345" spans="1:11" ht="18" x14ac:dyDescent="0.4">
      <c r="A345" s="7" t="s">
        <v>0</v>
      </c>
      <c r="B345" s="81" t="s">
        <v>320</v>
      </c>
      <c r="C345" s="57">
        <v>19414</v>
      </c>
      <c r="D345" s="70">
        <v>465484570</v>
      </c>
      <c r="E345" s="57">
        <v>400</v>
      </c>
      <c r="F345" s="71" t="s">
        <v>185</v>
      </c>
      <c r="G345" s="61">
        <v>0</v>
      </c>
      <c r="H345" s="70">
        <f t="shared" si="15"/>
        <v>0</v>
      </c>
      <c r="I345" s="11">
        <f t="shared" ca="1" si="14"/>
        <v>46120</v>
      </c>
      <c r="J345" s="11">
        <f t="shared" ca="1" si="12"/>
        <v>46118</v>
      </c>
      <c r="K345" s="13"/>
    </row>
    <row r="346" spans="1:11" ht="18" x14ac:dyDescent="0.4">
      <c r="A346" s="7" t="s">
        <v>0</v>
      </c>
      <c r="B346" s="81" t="s">
        <v>320</v>
      </c>
      <c r="C346" s="57">
        <v>19414</v>
      </c>
      <c r="D346" s="70">
        <v>552607160</v>
      </c>
      <c r="E346" s="57">
        <v>800</v>
      </c>
      <c r="F346" s="71" t="s">
        <v>332</v>
      </c>
      <c r="G346" s="61">
        <v>0</v>
      </c>
      <c r="H346" s="70">
        <f t="shared" si="15"/>
        <v>0</v>
      </c>
      <c r="I346" s="11">
        <f t="shared" ca="1" si="14"/>
        <v>46120</v>
      </c>
      <c r="J346" s="11">
        <f t="shared" ca="1" si="12"/>
        <v>46118</v>
      </c>
      <c r="K346" s="13"/>
    </row>
    <row r="347" spans="1:11" ht="18" x14ac:dyDescent="0.4">
      <c r="A347" s="7" t="s">
        <v>0</v>
      </c>
      <c r="B347" s="81" t="s">
        <v>320</v>
      </c>
      <c r="C347" s="57">
        <v>19414</v>
      </c>
      <c r="D347" s="70">
        <v>162860240</v>
      </c>
      <c r="E347" s="57">
        <v>1800</v>
      </c>
      <c r="F347" s="71" t="s">
        <v>315</v>
      </c>
      <c r="G347" s="61">
        <v>0</v>
      </c>
      <c r="H347" s="70">
        <f t="shared" si="15"/>
        <v>0</v>
      </c>
      <c r="I347" s="11">
        <f t="shared" ca="1" si="14"/>
        <v>46120</v>
      </c>
      <c r="J347" s="11">
        <f t="shared" ca="1" si="12"/>
        <v>46118</v>
      </c>
      <c r="K347" s="13"/>
    </row>
    <row r="348" spans="1:11" ht="18" x14ac:dyDescent="0.4">
      <c r="A348" s="7" t="s">
        <v>0</v>
      </c>
      <c r="B348" s="81" t="s">
        <v>320</v>
      </c>
      <c r="C348" s="57">
        <v>19414</v>
      </c>
      <c r="D348" s="70">
        <v>187505240</v>
      </c>
      <c r="E348" s="57">
        <v>1000</v>
      </c>
      <c r="F348" s="71" t="s">
        <v>333</v>
      </c>
      <c r="G348" s="61">
        <v>0</v>
      </c>
      <c r="H348" s="70">
        <f t="shared" si="15"/>
        <v>0</v>
      </c>
      <c r="I348" s="11">
        <f t="shared" ca="1" si="14"/>
        <v>46120</v>
      </c>
      <c r="J348" s="11">
        <f t="shared" ca="1" si="12"/>
        <v>46118</v>
      </c>
      <c r="K348" s="13"/>
    </row>
    <row r="349" spans="1:11" ht="18" x14ac:dyDescent="0.4">
      <c r="A349" s="7" t="s">
        <v>0</v>
      </c>
      <c r="B349" s="81" t="s">
        <v>320</v>
      </c>
      <c r="C349" s="57">
        <v>19414</v>
      </c>
      <c r="D349" s="70">
        <v>187524240</v>
      </c>
      <c r="E349" s="57">
        <v>800</v>
      </c>
      <c r="F349" s="71" t="s">
        <v>334</v>
      </c>
      <c r="G349" s="61">
        <v>0</v>
      </c>
      <c r="H349" s="70">
        <f t="shared" si="15"/>
        <v>0</v>
      </c>
      <c r="I349" s="11">
        <f t="shared" ca="1" si="14"/>
        <v>46120</v>
      </c>
      <c r="J349" s="11">
        <f t="shared" ca="1" si="12"/>
        <v>46118</v>
      </c>
      <c r="K349" s="13"/>
    </row>
    <row r="350" spans="1:11" ht="18" x14ac:dyDescent="0.4">
      <c r="A350" s="7" t="s">
        <v>0</v>
      </c>
      <c r="B350" s="81" t="s">
        <v>320</v>
      </c>
      <c r="C350" s="57">
        <v>19414</v>
      </c>
      <c r="D350" s="70">
        <v>551872090</v>
      </c>
      <c r="E350" s="57">
        <v>180</v>
      </c>
      <c r="F350" s="71" t="s">
        <v>335</v>
      </c>
      <c r="G350" s="61">
        <v>0</v>
      </c>
      <c r="H350" s="70">
        <f t="shared" si="15"/>
        <v>0</v>
      </c>
      <c r="I350" s="11">
        <f t="shared" ca="1" si="14"/>
        <v>46120</v>
      </c>
      <c r="J350" s="11">
        <f t="shared" ca="1" si="12"/>
        <v>46118</v>
      </c>
      <c r="K350" s="13"/>
    </row>
    <row r="351" spans="1:11" ht="18" x14ac:dyDescent="0.4">
      <c r="A351" s="7" t="s">
        <v>0</v>
      </c>
      <c r="B351" s="81" t="s">
        <v>320</v>
      </c>
      <c r="C351" s="57">
        <v>19414</v>
      </c>
      <c r="D351" s="70">
        <v>735012020</v>
      </c>
      <c r="E351" s="57">
        <v>220</v>
      </c>
      <c r="F351" s="71" t="s">
        <v>336</v>
      </c>
      <c r="G351" s="61">
        <v>0</v>
      </c>
      <c r="H351" s="70">
        <f t="shared" si="15"/>
        <v>0</v>
      </c>
      <c r="I351" s="11">
        <f t="shared" ca="1" si="14"/>
        <v>46120</v>
      </c>
      <c r="J351" s="11">
        <f t="shared" ca="1" si="12"/>
        <v>46118</v>
      </c>
      <c r="K351" s="13"/>
    </row>
    <row r="352" spans="1:11" ht="18" x14ac:dyDescent="0.4">
      <c r="A352" s="7" t="s">
        <v>0</v>
      </c>
      <c r="B352" s="81" t="s">
        <v>320</v>
      </c>
      <c r="C352" s="57">
        <v>19414</v>
      </c>
      <c r="D352" s="70">
        <v>735012040</v>
      </c>
      <c r="E352" s="57">
        <v>250</v>
      </c>
      <c r="F352" s="71" t="s">
        <v>337</v>
      </c>
      <c r="G352" s="61">
        <v>0</v>
      </c>
      <c r="H352" s="70">
        <f t="shared" si="15"/>
        <v>0</v>
      </c>
      <c r="I352" s="11">
        <f t="shared" ca="1" si="14"/>
        <v>46120</v>
      </c>
      <c r="J352" s="11">
        <f t="shared" ca="1" si="12"/>
        <v>46118</v>
      </c>
      <c r="K352" s="13"/>
    </row>
    <row r="353" spans="1:11" ht="18" x14ac:dyDescent="0.4">
      <c r="A353" s="7" t="s">
        <v>0</v>
      </c>
      <c r="B353" s="81" t="s">
        <v>320</v>
      </c>
      <c r="C353" s="57">
        <v>19414</v>
      </c>
      <c r="D353" s="70">
        <v>735012080</v>
      </c>
      <c r="E353" s="57">
        <v>600</v>
      </c>
      <c r="F353" s="71" t="s">
        <v>338</v>
      </c>
      <c r="G353" s="61">
        <v>0</v>
      </c>
      <c r="H353" s="70">
        <f t="shared" si="15"/>
        <v>0</v>
      </c>
      <c r="I353" s="11">
        <f t="shared" ca="1" si="14"/>
        <v>46120</v>
      </c>
      <c r="J353" s="11">
        <f t="shared" ca="1" si="12"/>
        <v>46118</v>
      </c>
      <c r="K353" s="13"/>
    </row>
    <row r="354" spans="1:11" ht="18" x14ac:dyDescent="0.4">
      <c r="A354" s="7" t="s">
        <v>0</v>
      </c>
      <c r="B354" s="81" t="s">
        <v>320</v>
      </c>
      <c r="C354" s="57">
        <v>19414</v>
      </c>
      <c r="D354" s="70">
        <v>135872210</v>
      </c>
      <c r="E354" s="57">
        <v>2800</v>
      </c>
      <c r="F354" s="71" t="s">
        <v>339</v>
      </c>
      <c r="G354" s="61">
        <v>0</v>
      </c>
      <c r="H354" s="70">
        <f t="shared" si="15"/>
        <v>0</v>
      </c>
      <c r="I354" s="11">
        <f t="shared" ca="1" si="14"/>
        <v>46120</v>
      </c>
      <c r="J354" s="11">
        <f t="shared" ca="1" si="12"/>
        <v>46118</v>
      </c>
      <c r="K354" s="13"/>
    </row>
    <row r="355" spans="1:11" ht="18" x14ac:dyDescent="0.4">
      <c r="A355" s="7" t="s">
        <v>0</v>
      </c>
      <c r="B355" s="81" t="s">
        <v>340</v>
      </c>
      <c r="C355" s="57">
        <v>27951</v>
      </c>
      <c r="D355" s="70">
        <v>162870240</v>
      </c>
      <c r="E355" s="57">
        <v>800</v>
      </c>
      <c r="F355" s="71" t="s">
        <v>341</v>
      </c>
      <c r="G355" s="61">
        <v>0</v>
      </c>
      <c r="H355" s="70">
        <f t="shared" si="15"/>
        <v>0</v>
      </c>
      <c r="I355" s="11">
        <f t="shared" ca="1" si="14"/>
        <v>46120</v>
      </c>
      <c r="J355" s="11">
        <f t="shared" ca="1" si="12"/>
        <v>46118</v>
      </c>
      <c r="K355" s="13"/>
    </row>
    <row r="356" spans="1:11" ht="18" x14ac:dyDescent="0.4">
      <c r="A356" s="7" t="s">
        <v>0</v>
      </c>
      <c r="B356" s="81" t="s">
        <v>340</v>
      </c>
      <c r="C356" s="57">
        <v>27951</v>
      </c>
      <c r="D356" s="70">
        <v>552581940</v>
      </c>
      <c r="E356" s="57">
        <v>800</v>
      </c>
      <c r="F356" s="71" t="s">
        <v>342</v>
      </c>
      <c r="G356" s="61">
        <v>0</v>
      </c>
      <c r="H356" s="70">
        <f t="shared" si="15"/>
        <v>0</v>
      </c>
      <c r="I356" s="11">
        <f t="shared" ca="1" si="14"/>
        <v>46120</v>
      </c>
      <c r="J356" s="11">
        <f t="shared" ca="1" si="12"/>
        <v>46118</v>
      </c>
      <c r="K356" s="13"/>
    </row>
    <row r="357" spans="1:11" ht="18" x14ac:dyDescent="0.4">
      <c r="A357" s="7" t="s">
        <v>0</v>
      </c>
      <c r="B357" s="81" t="s">
        <v>343</v>
      </c>
      <c r="C357" s="57">
        <v>10627</v>
      </c>
      <c r="D357" s="70">
        <v>116123240</v>
      </c>
      <c r="E357" s="57">
        <v>18000</v>
      </c>
      <c r="F357" s="71" t="s">
        <v>344</v>
      </c>
      <c r="G357" s="61">
        <v>0</v>
      </c>
      <c r="H357" s="70">
        <f t="shared" si="15"/>
        <v>0</v>
      </c>
      <c r="I357" s="11">
        <f t="shared" ca="1" si="14"/>
        <v>46120</v>
      </c>
      <c r="J357" s="11">
        <f t="shared" ca="1" si="12"/>
        <v>46118</v>
      </c>
      <c r="K357" s="13"/>
    </row>
    <row r="358" spans="1:11" ht="18" x14ac:dyDescent="0.4">
      <c r="A358" s="7" t="s">
        <v>0</v>
      </c>
      <c r="B358" s="81" t="s">
        <v>137</v>
      </c>
      <c r="C358" s="57">
        <v>36019</v>
      </c>
      <c r="D358" s="70">
        <v>130307240</v>
      </c>
      <c r="E358" s="57">
        <v>350</v>
      </c>
      <c r="F358" s="71" t="s">
        <v>345</v>
      </c>
      <c r="G358" s="61">
        <v>0</v>
      </c>
      <c r="H358" s="70">
        <f t="shared" si="15"/>
        <v>0</v>
      </c>
      <c r="I358" s="11">
        <f t="shared" ca="1" si="14"/>
        <v>46120</v>
      </c>
      <c r="J358" s="11">
        <f t="shared" ca="1" si="12"/>
        <v>46118</v>
      </c>
      <c r="K358" s="13"/>
    </row>
    <row r="359" spans="1:11" ht="18" x14ac:dyDescent="0.4">
      <c r="A359" s="7" t="s">
        <v>0</v>
      </c>
      <c r="B359" s="81" t="s">
        <v>137</v>
      </c>
      <c r="C359" s="57">
        <v>36019</v>
      </c>
      <c r="D359" s="70">
        <v>143078240</v>
      </c>
      <c r="E359" s="57">
        <v>350</v>
      </c>
      <c r="F359" s="71" t="s">
        <v>346</v>
      </c>
      <c r="G359" s="61">
        <v>0</v>
      </c>
      <c r="H359" s="70">
        <f t="shared" si="15"/>
        <v>0</v>
      </c>
      <c r="I359" s="11">
        <f t="shared" ca="1" si="14"/>
        <v>46120</v>
      </c>
      <c r="J359" s="11">
        <f t="shared" ca="1" si="12"/>
        <v>46118</v>
      </c>
      <c r="K359" s="13"/>
    </row>
    <row r="360" spans="1:11" ht="18" x14ac:dyDescent="0.4">
      <c r="A360" s="7" t="s">
        <v>0</v>
      </c>
      <c r="B360" s="81" t="s">
        <v>137</v>
      </c>
      <c r="C360" s="57">
        <v>36019</v>
      </c>
      <c r="D360" s="70">
        <v>159720240</v>
      </c>
      <c r="E360" s="57">
        <v>130</v>
      </c>
      <c r="F360" s="71" t="s">
        <v>347</v>
      </c>
      <c r="G360" s="61">
        <v>0</v>
      </c>
      <c r="H360" s="70">
        <f t="shared" si="15"/>
        <v>0</v>
      </c>
      <c r="I360" s="11">
        <f t="shared" ca="1" si="14"/>
        <v>46120</v>
      </c>
      <c r="J360" s="11">
        <f t="shared" ca="1" si="12"/>
        <v>46118</v>
      </c>
      <c r="K360" s="13"/>
    </row>
    <row r="361" spans="1:11" ht="18" x14ac:dyDescent="0.4">
      <c r="A361" s="7" t="s">
        <v>0</v>
      </c>
      <c r="B361" s="81" t="s">
        <v>137</v>
      </c>
      <c r="C361" s="57">
        <v>36019</v>
      </c>
      <c r="D361" s="70">
        <v>187502240</v>
      </c>
      <c r="E361" s="57">
        <v>1400</v>
      </c>
      <c r="F361" s="71" t="s">
        <v>348</v>
      </c>
      <c r="G361" s="61">
        <v>0</v>
      </c>
      <c r="H361" s="70">
        <f t="shared" si="15"/>
        <v>0</v>
      </c>
      <c r="I361" s="11">
        <f t="shared" ca="1" si="14"/>
        <v>46120</v>
      </c>
      <c r="J361" s="11">
        <f t="shared" ca="1" si="12"/>
        <v>46118</v>
      </c>
      <c r="K361" s="13"/>
    </row>
    <row r="362" spans="1:11" ht="18" x14ac:dyDescent="0.4">
      <c r="A362" s="7" t="s">
        <v>0</v>
      </c>
      <c r="B362" s="81" t="s">
        <v>137</v>
      </c>
      <c r="C362" s="57">
        <v>36019</v>
      </c>
      <c r="D362" s="70">
        <v>187528210</v>
      </c>
      <c r="E362" s="57">
        <v>1400</v>
      </c>
      <c r="F362" s="71" t="s">
        <v>349</v>
      </c>
      <c r="G362" s="61">
        <v>0</v>
      </c>
      <c r="H362" s="70">
        <f t="shared" si="15"/>
        <v>0</v>
      </c>
      <c r="I362" s="11">
        <f t="shared" ca="1" si="14"/>
        <v>46120</v>
      </c>
      <c r="J362" s="11">
        <f t="shared" ca="1" si="12"/>
        <v>46118</v>
      </c>
      <c r="K362" s="13"/>
    </row>
    <row r="363" spans="1:11" ht="18" x14ac:dyDescent="0.4">
      <c r="A363" s="7" t="s">
        <v>0</v>
      </c>
      <c r="B363" s="81" t="s">
        <v>137</v>
      </c>
      <c r="C363" s="57">
        <v>36019</v>
      </c>
      <c r="D363" s="70">
        <v>463472570</v>
      </c>
      <c r="E363" s="57">
        <v>1200</v>
      </c>
      <c r="F363" s="71" t="s">
        <v>350</v>
      </c>
      <c r="G363" s="61">
        <v>0</v>
      </c>
      <c r="H363" s="70">
        <f t="shared" si="15"/>
        <v>0</v>
      </c>
      <c r="I363" s="11">
        <f t="shared" ca="1" si="14"/>
        <v>46120</v>
      </c>
      <c r="J363" s="11">
        <f t="shared" ca="1" si="12"/>
        <v>46118</v>
      </c>
      <c r="K363" s="13"/>
    </row>
    <row r="364" spans="1:11" ht="18" x14ac:dyDescent="0.4">
      <c r="A364" s="7" t="s">
        <v>0</v>
      </c>
      <c r="B364" s="81" t="s">
        <v>137</v>
      </c>
      <c r="C364" s="57">
        <v>36019</v>
      </c>
      <c r="D364" s="70">
        <v>551877370</v>
      </c>
      <c r="E364" s="57">
        <v>3600</v>
      </c>
      <c r="F364" s="71" t="s">
        <v>351</v>
      </c>
      <c r="G364" s="61">
        <v>0</v>
      </c>
      <c r="H364" s="70">
        <f t="shared" si="15"/>
        <v>0</v>
      </c>
      <c r="I364" s="11">
        <f t="shared" ca="1" si="14"/>
        <v>46120</v>
      </c>
      <c r="J364" s="11">
        <f t="shared" ca="1" si="12"/>
        <v>46118</v>
      </c>
      <c r="K364" s="13"/>
    </row>
    <row r="365" spans="1:11" ht="18" x14ac:dyDescent="0.4">
      <c r="A365" s="7" t="s">
        <v>0</v>
      </c>
      <c r="B365" s="81" t="s">
        <v>137</v>
      </c>
      <c r="C365" s="57">
        <v>36019</v>
      </c>
      <c r="D365" s="70">
        <v>552501310</v>
      </c>
      <c r="E365" s="57">
        <v>350</v>
      </c>
      <c r="F365" s="71" t="s">
        <v>352</v>
      </c>
      <c r="G365" s="61">
        <v>0</v>
      </c>
      <c r="H365" s="70">
        <f t="shared" si="15"/>
        <v>0</v>
      </c>
      <c r="I365" s="11">
        <f t="shared" ca="1" si="14"/>
        <v>46120</v>
      </c>
      <c r="J365" s="11">
        <f t="shared" ca="1" si="12"/>
        <v>46118</v>
      </c>
      <c r="K365" s="13"/>
    </row>
    <row r="366" spans="1:11" ht="18" x14ac:dyDescent="0.4">
      <c r="A366" s="7" t="s">
        <v>0</v>
      </c>
      <c r="B366" s="81" t="s">
        <v>137</v>
      </c>
      <c r="C366" s="57">
        <v>36019</v>
      </c>
      <c r="D366" s="70">
        <v>552261740</v>
      </c>
      <c r="E366" s="57">
        <v>250</v>
      </c>
      <c r="F366" s="71" t="s">
        <v>353</v>
      </c>
      <c r="G366" s="61">
        <v>0</v>
      </c>
      <c r="H366" s="70">
        <f t="shared" si="15"/>
        <v>0</v>
      </c>
      <c r="I366" s="11">
        <f t="shared" ca="1" si="14"/>
        <v>46120</v>
      </c>
      <c r="J366" s="11">
        <f t="shared" ca="1" si="12"/>
        <v>46118</v>
      </c>
      <c r="K366" s="13"/>
    </row>
    <row r="367" spans="1:11" ht="18" x14ac:dyDescent="0.4">
      <c r="A367" s="7" t="s">
        <v>0</v>
      </c>
      <c r="B367" s="81" t="s">
        <v>137</v>
      </c>
      <c r="C367" s="57">
        <v>36019</v>
      </c>
      <c r="D367" s="70">
        <v>463507860</v>
      </c>
      <c r="E367" s="57">
        <v>150</v>
      </c>
      <c r="F367" s="71" t="s">
        <v>127</v>
      </c>
      <c r="G367" s="61">
        <v>0</v>
      </c>
      <c r="H367" s="70">
        <f t="shared" si="15"/>
        <v>0</v>
      </c>
      <c r="I367" s="11">
        <f t="shared" ca="1" si="14"/>
        <v>46120</v>
      </c>
      <c r="J367" s="11">
        <f t="shared" ca="1" si="12"/>
        <v>46118</v>
      </c>
      <c r="K367" s="13"/>
    </row>
    <row r="368" spans="1:11" ht="18" x14ac:dyDescent="0.4">
      <c r="A368" s="14" t="s">
        <v>0</v>
      </c>
      <c r="B368" s="84" t="s">
        <v>137</v>
      </c>
      <c r="C368" s="78">
        <v>36019</v>
      </c>
      <c r="D368" s="79">
        <v>552589360</v>
      </c>
      <c r="E368" s="78">
        <v>230</v>
      </c>
      <c r="F368" s="80" t="s">
        <v>127</v>
      </c>
      <c r="G368" s="90">
        <v>0</v>
      </c>
      <c r="H368" s="72">
        <f t="shared" si="15"/>
        <v>0</v>
      </c>
      <c r="I368" s="36">
        <f t="shared" ca="1" si="14"/>
        <v>46120</v>
      </c>
      <c r="J368" s="36">
        <f t="shared" ca="1" si="12"/>
        <v>46118</v>
      </c>
      <c r="K368" s="15"/>
    </row>
    <row r="369" spans="1:11" ht="18" x14ac:dyDescent="0.4">
      <c r="A369" s="7" t="s">
        <v>0</v>
      </c>
      <c r="B369" s="7" t="s">
        <v>354</v>
      </c>
      <c r="C369" s="8">
        <v>30464</v>
      </c>
      <c r="D369" s="9">
        <v>76272340</v>
      </c>
      <c r="E369" s="57">
        <v>400</v>
      </c>
      <c r="F369" s="10" t="s">
        <v>355</v>
      </c>
      <c r="G369" s="9">
        <v>0</v>
      </c>
      <c r="H369" s="9">
        <f t="shared" ref="H369:H432" si="16">G369/E369</f>
        <v>0</v>
      </c>
      <c r="I369" s="11">
        <f t="shared" ca="1" si="14"/>
        <v>46120</v>
      </c>
      <c r="J369" s="11">
        <f t="shared" ca="1" si="12"/>
        <v>46118</v>
      </c>
      <c r="K369" s="17"/>
    </row>
    <row r="370" spans="1:11" ht="18" x14ac:dyDescent="0.4">
      <c r="A370" s="7" t="s">
        <v>0</v>
      </c>
      <c r="B370" s="7" t="s">
        <v>354</v>
      </c>
      <c r="C370" s="8">
        <v>30464</v>
      </c>
      <c r="D370" s="9">
        <v>463444260</v>
      </c>
      <c r="E370" s="57">
        <v>200</v>
      </c>
      <c r="F370" s="10" t="s">
        <v>356</v>
      </c>
      <c r="G370" s="9">
        <v>10000</v>
      </c>
      <c r="H370" s="9">
        <f t="shared" si="16"/>
        <v>50</v>
      </c>
      <c r="I370" s="11">
        <f t="shared" ca="1" si="14"/>
        <v>46120</v>
      </c>
      <c r="J370" s="11">
        <f t="shared" ca="1" si="12"/>
        <v>46118</v>
      </c>
      <c r="K370" s="13"/>
    </row>
    <row r="371" spans="1:11" ht="18" x14ac:dyDescent="0.4">
      <c r="A371" s="7" t="s">
        <v>0</v>
      </c>
      <c r="B371" s="7" t="s">
        <v>357</v>
      </c>
      <c r="C371" s="8">
        <v>19414</v>
      </c>
      <c r="D371" s="9">
        <v>552679400</v>
      </c>
      <c r="E371" s="57">
        <v>1500</v>
      </c>
      <c r="F371" s="10" t="s">
        <v>168</v>
      </c>
      <c r="G371" s="9">
        <v>0</v>
      </c>
      <c r="H371" s="9">
        <f t="shared" si="16"/>
        <v>0</v>
      </c>
      <c r="I371" s="11">
        <f t="shared" ca="1" si="14"/>
        <v>46120</v>
      </c>
      <c r="J371" s="11">
        <f t="shared" ca="1" si="12"/>
        <v>46118</v>
      </c>
      <c r="K371" s="13"/>
    </row>
    <row r="372" spans="1:11" ht="18" x14ac:dyDescent="0.4">
      <c r="A372" s="7" t="s">
        <v>0</v>
      </c>
      <c r="B372" s="7" t="s">
        <v>357</v>
      </c>
      <c r="C372" s="8">
        <v>19414</v>
      </c>
      <c r="D372" s="9">
        <v>463584330</v>
      </c>
      <c r="E372" s="57">
        <v>1500</v>
      </c>
      <c r="F372" s="10" t="s">
        <v>168</v>
      </c>
      <c r="G372" s="9">
        <v>0</v>
      </c>
      <c r="H372" s="9">
        <f t="shared" si="16"/>
        <v>0</v>
      </c>
      <c r="I372" s="11">
        <f t="shared" ca="1" si="14"/>
        <v>46120</v>
      </c>
      <c r="J372" s="11">
        <f t="shared" ca="1" si="12"/>
        <v>46118</v>
      </c>
      <c r="K372" s="13"/>
    </row>
    <row r="373" spans="1:11" ht="18" x14ac:dyDescent="0.4">
      <c r="A373" s="7" t="s">
        <v>0</v>
      </c>
      <c r="B373" s="7" t="s">
        <v>357</v>
      </c>
      <c r="C373" s="8">
        <v>19414</v>
      </c>
      <c r="D373" s="9">
        <v>552709810</v>
      </c>
      <c r="E373" s="57">
        <v>100</v>
      </c>
      <c r="F373" s="10" t="s">
        <v>358</v>
      </c>
      <c r="G373" s="9">
        <v>0</v>
      </c>
      <c r="H373" s="9">
        <f t="shared" si="16"/>
        <v>0</v>
      </c>
      <c r="I373" s="11">
        <f ca="1">I371</f>
        <v>46120</v>
      </c>
      <c r="J373" s="11">
        <f t="shared" ca="1" si="12"/>
        <v>46118</v>
      </c>
      <c r="K373" s="13"/>
    </row>
    <row r="374" spans="1:11" ht="18" x14ac:dyDescent="0.4">
      <c r="A374" s="7" t="s">
        <v>0</v>
      </c>
      <c r="B374" s="7" t="s">
        <v>357</v>
      </c>
      <c r="C374" s="8">
        <v>19414</v>
      </c>
      <c r="D374" s="9">
        <v>552679990</v>
      </c>
      <c r="E374" s="57">
        <v>600</v>
      </c>
      <c r="F374" s="10" t="s">
        <v>359</v>
      </c>
      <c r="G374" s="9">
        <v>0</v>
      </c>
      <c r="H374" s="9">
        <f t="shared" si="16"/>
        <v>0</v>
      </c>
      <c r="I374" s="11">
        <f t="shared" ca="1" si="14"/>
        <v>46120</v>
      </c>
      <c r="J374" s="11">
        <f t="shared" ca="1" si="12"/>
        <v>46118</v>
      </c>
      <c r="K374" s="13"/>
    </row>
    <row r="375" spans="1:11" ht="18" x14ac:dyDescent="0.4">
      <c r="A375" s="7" t="s">
        <v>0</v>
      </c>
      <c r="B375" s="7" t="s">
        <v>357</v>
      </c>
      <c r="C375" s="8">
        <v>19414</v>
      </c>
      <c r="D375" s="9">
        <v>552819860</v>
      </c>
      <c r="E375" s="57">
        <v>50</v>
      </c>
      <c r="F375" s="10" t="s">
        <v>360</v>
      </c>
      <c r="G375" s="9">
        <v>0</v>
      </c>
      <c r="H375" s="9">
        <f t="shared" si="16"/>
        <v>0</v>
      </c>
      <c r="I375" s="11">
        <f t="shared" ref="I375:I438" ca="1" si="17">I374</f>
        <v>46120</v>
      </c>
      <c r="J375" s="11">
        <f t="shared" ca="1" si="12"/>
        <v>46118</v>
      </c>
      <c r="K375" s="13"/>
    </row>
    <row r="376" spans="1:11" ht="18" x14ac:dyDescent="0.4">
      <c r="A376" s="7" t="s">
        <v>0</v>
      </c>
      <c r="B376" s="7" t="s">
        <v>357</v>
      </c>
      <c r="C376" s="8">
        <v>19414</v>
      </c>
      <c r="D376" s="9">
        <v>552584580</v>
      </c>
      <c r="E376" s="57">
        <v>600</v>
      </c>
      <c r="F376" s="10" t="s">
        <v>361</v>
      </c>
      <c r="G376" s="9">
        <v>0</v>
      </c>
      <c r="H376" s="9">
        <f t="shared" si="16"/>
        <v>0</v>
      </c>
      <c r="I376" s="11">
        <f t="shared" ca="1" si="17"/>
        <v>46120</v>
      </c>
      <c r="J376" s="11">
        <f t="shared" ca="1" si="12"/>
        <v>46118</v>
      </c>
      <c r="K376" s="13"/>
    </row>
    <row r="377" spans="1:11" ht="18" x14ac:dyDescent="0.4">
      <c r="A377" s="7" t="s">
        <v>0</v>
      </c>
      <c r="B377" s="7" t="s">
        <v>357</v>
      </c>
      <c r="C377" s="8">
        <v>19414</v>
      </c>
      <c r="D377" s="9">
        <v>552691000</v>
      </c>
      <c r="E377" s="57">
        <v>800</v>
      </c>
      <c r="F377" s="10" t="s">
        <v>362</v>
      </c>
      <c r="G377" s="9">
        <v>0</v>
      </c>
      <c r="H377" s="9">
        <f t="shared" si="16"/>
        <v>0</v>
      </c>
      <c r="I377" s="11">
        <f t="shared" ca="1" si="17"/>
        <v>46120</v>
      </c>
      <c r="J377" s="11">
        <f t="shared" ca="1" si="12"/>
        <v>46118</v>
      </c>
      <c r="K377" s="13"/>
    </row>
    <row r="378" spans="1:11" ht="18" x14ac:dyDescent="0.4">
      <c r="A378" s="7" t="s">
        <v>0</v>
      </c>
      <c r="B378" s="7" t="s">
        <v>357</v>
      </c>
      <c r="C378" s="8">
        <v>19414</v>
      </c>
      <c r="D378" s="9">
        <v>187529240</v>
      </c>
      <c r="E378" s="57">
        <v>400</v>
      </c>
      <c r="F378" s="10" t="s">
        <v>363</v>
      </c>
      <c r="G378" s="9">
        <v>0</v>
      </c>
      <c r="H378" s="9">
        <f t="shared" si="16"/>
        <v>0</v>
      </c>
      <c r="I378" s="11">
        <f t="shared" ca="1" si="17"/>
        <v>46120</v>
      </c>
      <c r="J378" s="11">
        <f t="shared" ca="1" si="12"/>
        <v>46118</v>
      </c>
      <c r="K378" s="13"/>
    </row>
    <row r="379" spans="1:11" ht="18" x14ac:dyDescent="0.4">
      <c r="A379" s="7" t="s">
        <v>0</v>
      </c>
      <c r="B379" s="7" t="s">
        <v>357</v>
      </c>
      <c r="C379" s="8">
        <v>19414</v>
      </c>
      <c r="D379" s="9">
        <v>552836160</v>
      </c>
      <c r="E379" s="57">
        <v>800</v>
      </c>
      <c r="F379" s="10" t="s">
        <v>364</v>
      </c>
      <c r="G379" s="9">
        <v>0</v>
      </c>
      <c r="H379" s="9">
        <f t="shared" si="16"/>
        <v>0</v>
      </c>
      <c r="I379" s="11">
        <f t="shared" ca="1" si="17"/>
        <v>46120</v>
      </c>
      <c r="J379" s="11">
        <f t="shared" ca="1" si="12"/>
        <v>46118</v>
      </c>
      <c r="K379" s="13"/>
    </row>
    <row r="380" spans="1:11" ht="18" x14ac:dyDescent="0.4">
      <c r="A380" s="7" t="s">
        <v>0</v>
      </c>
      <c r="B380" s="7" t="s">
        <v>357</v>
      </c>
      <c r="C380" s="8">
        <v>19414</v>
      </c>
      <c r="D380" s="9">
        <v>187505240</v>
      </c>
      <c r="E380" s="57">
        <v>1000</v>
      </c>
      <c r="F380" s="10" t="s">
        <v>365</v>
      </c>
      <c r="G380" s="9">
        <v>0</v>
      </c>
      <c r="H380" s="9">
        <f t="shared" si="16"/>
        <v>0</v>
      </c>
      <c r="I380" s="11">
        <f t="shared" ca="1" si="17"/>
        <v>46120</v>
      </c>
      <c r="J380" s="11">
        <f t="shared" ca="1" si="12"/>
        <v>46118</v>
      </c>
      <c r="K380" s="13"/>
    </row>
    <row r="381" spans="1:11" ht="18" x14ac:dyDescent="0.4">
      <c r="A381" s="7" t="s">
        <v>0</v>
      </c>
      <c r="B381" s="7" t="s">
        <v>357</v>
      </c>
      <c r="C381" s="8">
        <v>19414</v>
      </c>
      <c r="D381" s="9">
        <v>187517240</v>
      </c>
      <c r="E381" s="57">
        <v>1200</v>
      </c>
      <c r="F381" s="10" t="s">
        <v>366</v>
      </c>
      <c r="G381" s="9">
        <v>0</v>
      </c>
      <c r="H381" s="9">
        <f t="shared" si="16"/>
        <v>0</v>
      </c>
      <c r="I381" s="11">
        <f t="shared" ca="1" si="17"/>
        <v>46120</v>
      </c>
      <c r="J381" s="11">
        <f t="shared" ca="1" si="12"/>
        <v>46118</v>
      </c>
      <c r="K381" s="13"/>
    </row>
    <row r="382" spans="1:11" ht="18" x14ac:dyDescent="0.4">
      <c r="A382" s="7" t="s">
        <v>0</v>
      </c>
      <c r="B382" s="7" t="s">
        <v>357</v>
      </c>
      <c r="C382" s="8">
        <v>19414</v>
      </c>
      <c r="D382" s="9">
        <v>463479880</v>
      </c>
      <c r="E382" s="57">
        <v>1000</v>
      </c>
      <c r="F382" s="10" t="s">
        <v>127</v>
      </c>
      <c r="G382" s="9">
        <v>0</v>
      </c>
      <c r="H382" s="9">
        <f t="shared" si="16"/>
        <v>0</v>
      </c>
      <c r="I382" s="11">
        <f t="shared" ca="1" si="17"/>
        <v>46120</v>
      </c>
      <c r="J382" s="11">
        <f t="shared" ca="1" si="12"/>
        <v>46118</v>
      </c>
      <c r="K382" s="13"/>
    </row>
    <row r="383" spans="1:11" ht="18" x14ac:dyDescent="0.4">
      <c r="A383" s="7" t="s">
        <v>0</v>
      </c>
      <c r="B383" s="7" t="s">
        <v>367</v>
      </c>
      <c r="C383" s="8">
        <v>20419</v>
      </c>
      <c r="D383" s="9">
        <v>552681860</v>
      </c>
      <c r="E383" s="57">
        <v>560</v>
      </c>
      <c r="F383" s="10" t="s">
        <v>234</v>
      </c>
      <c r="G383" s="9">
        <v>1680</v>
      </c>
      <c r="H383" s="9">
        <f t="shared" si="16"/>
        <v>3</v>
      </c>
      <c r="I383" s="11">
        <f t="shared" ca="1" si="17"/>
        <v>46120</v>
      </c>
      <c r="J383" s="11">
        <f t="shared" ca="1" si="12"/>
        <v>46118</v>
      </c>
      <c r="K383" s="13"/>
    </row>
    <row r="384" spans="1:11" ht="18" x14ac:dyDescent="0.4">
      <c r="A384" s="7" t="s">
        <v>0</v>
      </c>
      <c r="B384" s="7" t="s">
        <v>367</v>
      </c>
      <c r="C384" s="8">
        <v>20419</v>
      </c>
      <c r="D384" s="9">
        <v>552678480</v>
      </c>
      <c r="E384" s="57">
        <v>800</v>
      </c>
      <c r="F384" s="10" t="s">
        <v>234</v>
      </c>
      <c r="G384" s="9">
        <v>800</v>
      </c>
      <c r="H384" s="9">
        <f>G384/E384</f>
        <v>1</v>
      </c>
      <c r="I384" s="11">
        <f ca="1">I383</f>
        <v>46120</v>
      </c>
      <c r="J384" s="11">
        <f t="shared" ca="1" si="12"/>
        <v>46118</v>
      </c>
      <c r="K384" s="13"/>
    </row>
    <row r="385" spans="1:11" ht="18" x14ac:dyDescent="0.4">
      <c r="A385" s="7" t="s">
        <v>0</v>
      </c>
      <c r="B385" s="7" t="s">
        <v>368</v>
      </c>
      <c r="C385" s="8">
        <v>32059</v>
      </c>
      <c r="D385" s="9">
        <v>552677450</v>
      </c>
      <c r="E385" s="57">
        <v>4500</v>
      </c>
      <c r="F385" s="10" t="s">
        <v>230</v>
      </c>
      <c r="G385" s="9">
        <v>9000</v>
      </c>
      <c r="H385" s="9">
        <f>G385/E385</f>
        <v>2</v>
      </c>
      <c r="I385" s="11">
        <f ca="1">I384</f>
        <v>46120</v>
      </c>
      <c r="J385" s="11">
        <f t="shared" ca="1" si="12"/>
        <v>46118</v>
      </c>
      <c r="K385" s="13"/>
    </row>
    <row r="386" spans="1:11" ht="18" x14ac:dyDescent="0.4">
      <c r="A386" s="7" t="s">
        <v>0</v>
      </c>
      <c r="B386" s="7" t="s">
        <v>369</v>
      </c>
      <c r="C386" s="8">
        <v>14928</v>
      </c>
      <c r="D386" s="9">
        <v>463404710</v>
      </c>
      <c r="E386" s="57">
        <v>100</v>
      </c>
      <c r="F386" s="10" t="s">
        <v>370</v>
      </c>
      <c r="G386" s="9">
        <v>2400</v>
      </c>
      <c r="H386" s="9">
        <f t="shared" si="16"/>
        <v>24</v>
      </c>
      <c r="I386" s="11">
        <f ca="1">I385</f>
        <v>46120</v>
      </c>
      <c r="J386" s="11">
        <f t="shared" ca="1" si="12"/>
        <v>46118</v>
      </c>
      <c r="K386" s="13"/>
    </row>
    <row r="387" spans="1:11" ht="18" x14ac:dyDescent="0.4">
      <c r="A387" s="7" t="s">
        <v>0</v>
      </c>
      <c r="B387" s="7" t="s">
        <v>371</v>
      </c>
      <c r="C387" s="8">
        <v>78605</v>
      </c>
      <c r="D387" s="9">
        <v>552679850</v>
      </c>
      <c r="E387" s="57">
        <v>300</v>
      </c>
      <c r="F387" s="10" t="s">
        <v>281</v>
      </c>
      <c r="G387" s="9">
        <v>2100</v>
      </c>
      <c r="H387" s="9">
        <f t="shared" si="16"/>
        <v>7</v>
      </c>
      <c r="I387" s="11">
        <f t="shared" ca="1" si="17"/>
        <v>46120</v>
      </c>
      <c r="J387" s="11">
        <f t="shared" ca="1" si="12"/>
        <v>46118</v>
      </c>
      <c r="K387" s="13"/>
    </row>
    <row r="388" spans="1:11" ht="18" x14ac:dyDescent="0.4">
      <c r="A388" s="7" t="s">
        <v>0</v>
      </c>
      <c r="B388" s="7" t="s">
        <v>372</v>
      </c>
      <c r="C388" s="8">
        <v>27951</v>
      </c>
      <c r="D388" s="9">
        <v>463411550</v>
      </c>
      <c r="E388" s="57">
        <v>1100</v>
      </c>
      <c r="F388" s="10" t="s">
        <v>373</v>
      </c>
      <c r="G388" s="9">
        <v>0</v>
      </c>
      <c r="H388" s="9">
        <f t="shared" si="16"/>
        <v>0</v>
      </c>
      <c r="I388" s="11">
        <f t="shared" ca="1" si="17"/>
        <v>46120</v>
      </c>
      <c r="J388" s="11">
        <f t="shared" ca="1" si="12"/>
        <v>46118</v>
      </c>
      <c r="K388" s="13"/>
    </row>
    <row r="389" spans="1:11" ht="18" x14ac:dyDescent="0.4">
      <c r="A389" s="7" t="s">
        <v>0</v>
      </c>
      <c r="B389" s="7" t="s">
        <v>372</v>
      </c>
      <c r="C389" s="8">
        <v>27951</v>
      </c>
      <c r="D389" s="9">
        <v>463415550</v>
      </c>
      <c r="E389" s="57">
        <v>800</v>
      </c>
      <c r="F389" s="10" t="s">
        <v>374</v>
      </c>
      <c r="G389" s="9">
        <v>0</v>
      </c>
      <c r="H389" s="9">
        <f t="shared" si="16"/>
        <v>0</v>
      </c>
      <c r="I389" s="11">
        <f t="shared" ca="1" si="17"/>
        <v>46120</v>
      </c>
      <c r="J389" s="11">
        <f t="shared" ca="1" si="12"/>
        <v>46118</v>
      </c>
      <c r="K389" s="13"/>
    </row>
    <row r="390" spans="1:11" ht="18" x14ac:dyDescent="0.4">
      <c r="A390" s="7" t="s">
        <v>0</v>
      </c>
      <c r="B390" s="7" t="s">
        <v>375</v>
      </c>
      <c r="C390" s="8">
        <v>24229</v>
      </c>
      <c r="D390" s="9">
        <v>463471630</v>
      </c>
      <c r="E390" s="57">
        <v>200</v>
      </c>
      <c r="F390" s="10" t="s">
        <v>376</v>
      </c>
      <c r="G390" s="9">
        <v>3200</v>
      </c>
      <c r="H390" s="9">
        <f t="shared" si="16"/>
        <v>16</v>
      </c>
      <c r="I390" s="11">
        <f t="shared" ca="1" si="17"/>
        <v>46120</v>
      </c>
      <c r="J390" s="11">
        <f t="shared" ca="1" si="12"/>
        <v>46118</v>
      </c>
      <c r="K390" s="13"/>
    </row>
    <row r="391" spans="1:11" ht="18" x14ac:dyDescent="0.4">
      <c r="A391" s="7" t="s">
        <v>0</v>
      </c>
      <c r="B391" s="7" t="s">
        <v>375</v>
      </c>
      <c r="C391" s="8">
        <v>24229</v>
      </c>
      <c r="D391" s="9">
        <v>463508000</v>
      </c>
      <c r="E391" s="57">
        <v>120</v>
      </c>
      <c r="F391" s="10" t="s">
        <v>271</v>
      </c>
      <c r="G391" s="9">
        <v>4800</v>
      </c>
      <c r="H391" s="9">
        <f t="shared" si="16"/>
        <v>40</v>
      </c>
      <c r="I391" s="11">
        <f t="shared" ca="1" si="17"/>
        <v>46120</v>
      </c>
      <c r="J391" s="11">
        <f t="shared" ca="1" si="12"/>
        <v>46118</v>
      </c>
      <c r="K391" s="13"/>
    </row>
    <row r="392" spans="1:11" ht="18" x14ac:dyDescent="0.4">
      <c r="A392" s="7" t="s">
        <v>0</v>
      </c>
      <c r="B392" s="7" t="s">
        <v>377</v>
      </c>
      <c r="C392" s="8">
        <v>36019</v>
      </c>
      <c r="D392" s="9">
        <v>552768830</v>
      </c>
      <c r="E392" s="57">
        <v>2200</v>
      </c>
      <c r="F392" s="10" t="s">
        <v>378</v>
      </c>
      <c r="G392" s="9">
        <v>0</v>
      </c>
      <c r="H392" s="9">
        <f t="shared" si="16"/>
        <v>0</v>
      </c>
      <c r="I392" s="11">
        <f t="shared" ca="1" si="17"/>
        <v>46120</v>
      </c>
      <c r="J392" s="11">
        <f t="shared" ca="1" si="12"/>
        <v>46118</v>
      </c>
      <c r="K392" s="13"/>
    </row>
    <row r="393" spans="1:11" ht="18" x14ac:dyDescent="0.4">
      <c r="A393" s="7" t="s">
        <v>0</v>
      </c>
      <c r="B393" s="7" t="s">
        <v>377</v>
      </c>
      <c r="C393" s="8">
        <v>36019</v>
      </c>
      <c r="D393" s="9">
        <v>552686720</v>
      </c>
      <c r="E393" s="57">
        <v>250</v>
      </c>
      <c r="F393" s="10" t="s">
        <v>379</v>
      </c>
      <c r="G393" s="9">
        <v>0</v>
      </c>
      <c r="H393" s="9">
        <f t="shared" si="16"/>
        <v>0</v>
      </c>
      <c r="I393" s="11">
        <f t="shared" ca="1" si="17"/>
        <v>46120</v>
      </c>
      <c r="J393" s="11">
        <f t="shared" ca="1" si="12"/>
        <v>46118</v>
      </c>
      <c r="K393" s="13"/>
    </row>
    <row r="394" spans="1:11" ht="18" x14ac:dyDescent="0.4">
      <c r="A394" s="7" t="s">
        <v>0</v>
      </c>
      <c r="B394" s="7" t="s">
        <v>377</v>
      </c>
      <c r="C394" s="8">
        <v>36019</v>
      </c>
      <c r="D394" s="9">
        <v>552693200</v>
      </c>
      <c r="E394" s="57">
        <v>1000</v>
      </c>
      <c r="F394" s="10" t="s">
        <v>380</v>
      </c>
      <c r="G394" s="9">
        <v>0</v>
      </c>
      <c r="H394" s="9">
        <f t="shared" si="16"/>
        <v>0</v>
      </c>
      <c r="I394" s="11">
        <f t="shared" ca="1" si="17"/>
        <v>46120</v>
      </c>
      <c r="J394" s="11">
        <f t="shared" ca="1" si="12"/>
        <v>46118</v>
      </c>
      <c r="K394" s="13"/>
    </row>
    <row r="395" spans="1:11" ht="18" x14ac:dyDescent="0.4">
      <c r="A395" s="7" t="s">
        <v>0</v>
      </c>
      <c r="B395" s="7" t="s">
        <v>377</v>
      </c>
      <c r="C395" s="8">
        <v>36019</v>
      </c>
      <c r="D395" s="9">
        <v>552728620</v>
      </c>
      <c r="E395" s="57">
        <v>1500</v>
      </c>
      <c r="F395" s="10" t="s">
        <v>381</v>
      </c>
      <c r="G395" s="9">
        <v>0</v>
      </c>
      <c r="H395" s="9">
        <f t="shared" si="16"/>
        <v>0</v>
      </c>
      <c r="I395" s="11">
        <f t="shared" ca="1" si="17"/>
        <v>46120</v>
      </c>
      <c r="J395" s="11">
        <f t="shared" ca="1" si="12"/>
        <v>46118</v>
      </c>
      <c r="K395" s="13"/>
    </row>
    <row r="396" spans="1:11" ht="18" x14ac:dyDescent="0.4">
      <c r="A396" s="7" t="s">
        <v>0</v>
      </c>
      <c r="B396" s="7" t="s">
        <v>377</v>
      </c>
      <c r="C396" s="8">
        <v>36019</v>
      </c>
      <c r="D396" s="9">
        <v>552679970</v>
      </c>
      <c r="E396" s="57">
        <v>1200</v>
      </c>
      <c r="F396" s="10" t="s">
        <v>382</v>
      </c>
      <c r="G396" s="9">
        <v>0</v>
      </c>
      <c r="H396" s="9">
        <f t="shared" si="16"/>
        <v>0</v>
      </c>
      <c r="I396" s="11">
        <f t="shared" ca="1" si="17"/>
        <v>46120</v>
      </c>
      <c r="J396" s="11">
        <f t="shared" ca="1" si="12"/>
        <v>46118</v>
      </c>
      <c r="K396" s="13"/>
    </row>
    <row r="397" spans="1:11" ht="18" x14ac:dyDescent="0.4">
      <c r="A397" s="7" t="s">
        <v>0</v>
      </c>
      <c r="B397" s="7" t="s">
        <v>377</v>
      </c>
      <c r="C397" s="8">
        <v>36019</v>
      </c>
      <c r="D397" s="9">
        <v>552677410</v>
      </c>
      <c r="E397" s="57">
        <v>200</v>
      </c>
      <c r="F397" s="10" t="s">
        <v>383</v>
      </c>
      <c r="G397" s="9">
        <v>0</v>
      </c>
      <c r="H397" s="9">
        <f t="shared" si="16"/>
        <v>0</v>
      </c>
      <c r="I397" s="11">
        <f t="shared" ca="1" si="17"/>
        <v>46120</v>
      </c>
      <c r="J397" s="11">
        <f t="shared" ca="1" si="12"/>
        <v>46118</v>
      </c>
      <c r="K397" s="13"/>
    </row>
    <row r="398" spans="1:11" ht="18" x14ac:dyDescent="0.4">
      <c r="A398" s="7" t="s">
        <v>0</v>
      </c>
      <c r="B398" s="7" t="s">
        <v>377</v>
      </c>
      <c r="C398" s="8">
        <v>36019</v>
      </c>
      <c r="D398" s="9">
        <v>463535790</v>
      </c>
      <c r="E398" s="57">
        <v>700</v>
      </c>
      <c r="F398" s="10" t="s">
        <v>384</v>
      </c>
      <c r="G398" s="9">
        <v>0</v>
      </c>
      <c r="H398" s="9">
        <f t="shared" si="16"/>
        <v>0</v>
      </c>
      <c r="I398" s="11">
        <f ca="1">I396</f>
        <v>46120</v>
      </c>
      <c r="J398" s="11">
        <f t="shared" ca="1" si="12"/>
        <v>46118</v>
      </c>
      <c r="K398" s="13"/>
    </row>
    <row r="399" spans="1:11" ht="18" x14ac:dyDescent="0.4">
      <c r="A399" s="7" t="s">
        <v>0</v>
      </c>
      <c r="B399" s="7" t="s">
        <v>377</v>
      </c>
      <c r="C399" s="8">
        <v>36019</v>
      </c>
      <c r="D399" s="9">
        <v>463589540</v>
      </c>
      <c r="E399" s="57">
        <v>150</v>
      </c>
      <c r="F399" s="10" t="s">
        <v>385</v>
      </c>
      <c r="G399" s="9">
        <v>0</v>
      </c>
      <c r="H399" s="9">
        <f t="shared" si="16"/>
        <v>0</v>
      </c>
      <c r="I399" s="11">
        <f t="shared" ca="1" si="17"/>
        <v>46120</v>
      </c>
      <c r="J399" s="11">
        <f t="shared" ca="1" si="12"/>
        <v>46118</v>
      </c>
      <c r="K399" s="13"/>
    </row>
    <row r="400" spans="1:11" ht="18" x14ac:dyDescent="0.4">
      <c r="A400" s="7" t="s">
        <v>0</v>
      </c>
      <c r="B400" s="7" t="s">
        <v>377</v>
      </c>
      <c r="C400" s="8">
        <v>36019</v>
      </c>
      <c r="D400" s="9">
        <v>463586380</v>
      </c>
      <c r="E400" s="57">
        <v>3000</v>
      </c>
      <c r="F400" s="10" t="s">
        <v>386</v>
      </c>
      <c r="G400" s="9">
        <v>0</v>
      </c>
      <c r="H400" s="9">
        <f t="shared" si="16"/>
        <v>0</v>
      </c>
      <c r="I400" s="11">
        <f t="shared" ca="1" si="17"/>
        <v>46120</v>
      </c>
      <c r="J400" s="11">
        <f t="shared" ca="1" si="12"/>
        <v>46118</v>
      </c>
      <c r="K400" s="13"/>
    </row>
    <row r="401" spans="1:11" ht="18" x14ac:dyDescent="0.4">
      <c r="A401" s="7" t="s">
        <v>0</v>
      </c>
      <c r="B401" s="7" t="s">
        <v>377</v>
      </c>
      <c r="C401" s="8">
        <v>36019</v>
      </c>
      <c r="D401" s="9">
        <v>552636100</v>
      </c>
      <c r="E401" s="57">
        <v>200</v>
      </c>
      <c r="F401" s="10" t="s">
        <v>387</v>
      </c>
      <c r="G401" s="9">
        <v>0</v>
      </c>
      <c r="H401" s="9">
        <f t="shared" si="16"/>
        <v>0</v>
      </c>
      <c r="I401" s="11">
        <f t="shared" ca="1" si="17"/>
        <v>46120</v>
      </c>
      <c r="J401" s="11">
        <f t="shared" ca="1" si="12"/>
        <v>46118</v>
      </c>
      <c r="K401" s="13"/>
    </row>
    <row r="402" spans="1:11" ht="18" x14ac:dyDescent="0.4">
      <c r="A402" s="7" t="s">
        <v>0</v>
      </c>
      <c r="B402" s="7" t="s">
        <v>377</v>
      </c>
      <c r="C402" s="8">
        <v>36019</v>
      </c>
      <c r="D402" s="9">
        <v>135435340</v>
      </c>
      <c r="E402" s="57">
        <v>900</v>
      </c>
      <c r="F402" s="10" t="s">
        <v>388</v>
      </c>
      <c r="G402" s="9">
        <v>0</v>
      </c>
      <c r="H402" s="9">
        <f t="shared" si="16"/>
        <v>0</v>
      </c>
      <c r="I402" s="11">
        <f t="shared" ca="1" si="17"/>
        <v>46120</v>
      </c>
      <c r="J402" s="11">
        <f t="shared" ca="1" si="12"/>
        <v>46118</v>
      </c>
      <c r="K402" s="13"/>
    </row>
    <row r="403" spans="1:11" ht="18" x14ac:dyDescent="0.4">
      <c r="A403" s="7" t="s">
        <v>0</v>
      </c>
      <c r="B403" s="7" t="s">
        <v>377</v>
      </c>
      <c r="C403" s="8">
        <v>36019</v>
      </c>
      <c r="D403" s="9">
        <v>552739160</v>
      </c>
      <c r="E403" s="57">
        <v>500</v>
      </c>
      <c r="F403" s="10" t="s">
        <v>389</v>
      </c>
      <c r="G403" s="9">
        <v>0</v>
      </c>
      <c r="H403" s="9">
        <f t="shared" si="16"/>
        <v>0</v>
      </c>
      <c r="I403" s="11">
        <f t="shared" ca="1" si="17"/>
        <v>46120</v>
      </c>
      <c r="J403" s="11">
        <f t="shared" ca="1" si="12"/>
        <v>46118</v>
      </c>
      <c r="K403" s="13"/>
    </row>
    <row r="404" spans="1:11" ht="18" x14ac:dyDescent="0.4">
      <c r="A404" s="7" t="s">
        <v>0</v>
      </c>
      <c r="B404" s="7" t="s">
        <v>377</v>
      </c>
      <c r="C404" s="8">
        <v>36019</v>
      </c>
      <c r="D404" s="9">
        <v>187502240</v>
      </c>
      <c r="E404" s="57">
        <v>1400</v>
      </c>
      <c r="F404" s="10" t="s">
        <v>348</v>
      </c>
      <c r="G404" s="9">
        <v>0</v>
      </c>
      <c r="H404" s="9">
        <f t="shared" si="16"/>
        <v>0</v>
      </c>
      <c r="I404" s="11">
        <f t="shared" ca="1" si="17"/>
        <v>46120</v>
      </c>
      <c r="J404" s="11">
        <f t="shared" ca="1" si="12"/>
        <v>46118</v>
      </c>
      <c r="K404" s="13"/>
    </row>
    <row r="405" spans="1:11" ht="18" x14ac:dyDescent="0.4">
      <c r="A405" s="7" t="s">
        <v>0</v>
      </c>
      <c r="B405" s="7" t="s">
        <v>377</v>
      </c>
      <c r="C405" s="8">
        <v>36019</v>
      </c>
      <c r="D405" s="9">
        <v>463375300</v>
      </c>
      <c r="E405" s="57">
        <v>1000</v>
      </c>
      <c r="F405" s="10" t="s">
        <v>390</v>
      </c>
      <c r="G405" s="9">
        <v>0</v>
      </c>
      <c r="H405" s="9">
        <f t="shared" si="16"/>
        <v>0</v>
      </c>
      <c r="I405" s="11">
        <f t="shared" ca="1" si="17"/>
        <v>46120</v>
      </c>
      <c r="J405" s="11">
        <f t="shared" ca="1" si="12"/>
        <v>46118</v>
      </c>
      <c r="K405" s="13"/>
    </row>
    <row r="406" spans="1:11" ht="18" x14ac:dyDescent="0.4">
      <c r="A406" s="7" t="s">
        <v>0</v>
      </c>
      <c r="B406" s="7" t="s">
        <v>391</v>
      </c>
      <c r="C406" s="8">
        <v>43416</v>
      </c>
      <c r="D406" s="9">
        <v>463361830</v>
      </c>
      <c r="E406" s="57">
        <v>240</v>
      </c>
      <c r="F406" s="10" t="s">
        <v>23</v>
      </c>
      <c r="G406" s="9">
        <v>1200</v>
      </c>
      <c r="H406" s="9">
        <f t="shared" si="16"/>
        <v>5</v>
      </c>
      <c r="I406" s="11">
        <f t="shared" ca="1" si="17"/>
        <v>46120</v>
      </c>
      <c r="J406" s="11">
        <f t="shared" ca="1" si="12"/>
        <v>46118</v>
      </c>
      <c r="K406" s="13"/>
    </row>
    <row r="407" spans="1:11" ht="18" x14ac:dyDescent="0.4">
      <c r="A407" s="7" t="s">
        <v>0</v>
      </c>
      <c r="B407" s="7" t="s">
        <v>391</v>
      </c>
      <c r="C407" s="8">
        <v>43416</v>
      </c>
      <c r="D407" s="9">
        <v>463361840</v>
      </c>
      <c r="E407" s="57">
        <v>240</v>
      </c>
      <c r="F407" s="10" t="s">
        <v>23</v>
      </c>
      <c r="G407" s="9">
        <v>960</v>
      </c>
      <c r="H407" s="9">
        <f t="shared" si="16"/>
        <v>4</v>
      </c>
      <c r="I407" s="11">
        <f t="shared" ca="1" si="17"/>
        <v>46120</v>
      </c>
      <c r="J407" s="11">
        <f t="shared" ca="1" si="12"/>
        <v>46118</v>
      </c>
      <c r="K407" s="13"/>
    </row>
    <row r="408" spans="1:11" ht="18" x14ac:dyDescent="0.4">
      <c r="A408" s="7" t="s">
        <v>0</v>
      </c>
      <c r="B408" s="7" t="s">
        <v>250</v>
      </c>
      <c r="C408" s="8">
        <v>37866</v>
      </c>
      <c r="D408" s="9">
        <v>463518860</v>
      </c>
      <c r="E408" s="57">
        <v>120</v>
      </c>
      <c r="F408" s="10" t="s">
        <v>392</v>
      </c>
      <c r="G408" s="9">
        <v>0</v>
      </c>
      <c r="H408" s="9">
        <f t="shared" si="16"/>
        <v>0</v>
      </c>
      <c r="I408" s="11">
        <f t="shared" ca="1" si="17"/>
        <v>46120</v>
      </c>
      <c r="J408" s="11">
        <f t="shared" ca="1" si="12"/>
        <v>46118</v>
      </c>
      <c r="K408" s="13"/>
    </row>
    <row r="409" spans="1:11" ht="18" x14ac:dyDescent="0.4">
      <c r="A409" s="7" t="s">
        <v>0</v>
      </c>
      <c r="B409" s="7" t="s">
        <v>250</v>
      </c>
      <c r="C409" s="8">
        <v>37866</v>
      </c>
      <c r="D409" s="9">
        <v>463550740</v>
      </c>
      <c r="E409" s="57">
        <v>120</v>
      </c>
      <c r="F409" s="10" t="s">
        <v>392</v>
      </c>
      <c r="G409" s="9">
        <v>0</v>
      </c>
      <c r="H409" s="9">
        <f t="shared" si="16"/>
        <v>0</v>
      </c>
      <c r="I409" s="11">
        <f t="shared" ca="1" si="17"/>
        <v>46120</v>
      </c>
      <c r="J409" s="11">
        <f t="shared" ca="1" si="12"/>
        <v>46118</v>
      </c>
      <c r="K409" s="13"/>
    </row>
    <row r="410" spans="1:11" ht="18" x14ac:dyDescent="0.4">
      <c r="A410" s="7" t="s">
        <v>0</v>
      </c>
      <c r="B410" s="7" t="s">
        <v>250</v>
      </c>
      <c r="C410" s="8">
        <v>37866</v>
      </c>
      <c r="D410" s="9">
        <v>463528570</v>
      </c>
      <c r="E410" s="57">
        <v>120</v>
      </c>
      <c r="F410" s="10" t="s">
        <v>393</v>
      </c>
      <c r="G410" s="9">
        <v>0</v>
      </c>
      <c r="H410" s="9">
        <f t="shared" si="16"/>
        <v>0</v>
      </c>
      <c r="I410" s="11">
        <f t="shared" ca="1" si="17"/>
        <v>46120</v>
      </c>
      <c r="J410" s="11">
        <f t="shared" ca="1" si="12"/>
        <v>46118</v>
      </c>
      <c r="K410" s="13"/>
    </row>
    <row r="411" spans="1:11" ht="18" x14ac:dyDescent="0.4">
      <c r="A411" s="7" t="s">
        <v>0</v>
      </c>
      <c r="B411" s="7" t="s">
        <v>250</v>
      </c>
      <c r="C411" s="8">
        <v>37866</v>
      </c>
      <c r="D411" s="9">
        <v>463584820</v>
      </c>
      <c r="E411" s="57">
        <v>120</v>
      </c>
      <c r="F411" s="10" t="s">
        <v>394</v>
      </c>
      <c r="G411" s="9">
        <v>0</v>
      </c>
      <c r="H411" s="9">
        <f t="shared" si="16"/>
        <v>0</v>
      </c>
      <c r="I411" s="11">
        <f t="shared" ca="1" si="17"/>
        <v>46120</v>
      </c>
      <c r="J411" s="11">
        <f t="shared" ca="1" si="12"/>
        <v>46118</v>
      </c>
      <c r="K411" s="13"/>
    </row>
    <row r="412" spans="1:11" ht="18" x14ac:dyDescent="0.4">
      <c r="A412" s="7" t="s">
        <v>0</v>
      </c>
      <c r="B412" s="7" t="s">
        <v>250</v>
      </c>
      <c r="C412" s="8">
        <v>37866</v>
      </c>
      <c r="D412" s="9">
        <v>463584840</v>
      </c>
      <c r="E412" s="57">
        <v>120</v>
      </c>
      <c r="F412" s="10" t="s">
        <v>394</v>
      </c>
      <c r="G412" s="9">
        <v>0</v>
      </c>
      <c r="H412" s="9">
        <f t="shared" si="16"/>
        <v>0</v>
      </c>
      <c r="I412" s="11">
        <f t="shared" ca="1" si="17"/>
        <v>46120</v>
      </c>
      <c r="J412" s="11">
        <f t="shared" ca="1" si="12"/>
        <v>46118</v>
      </c>
      <c r="K412" s="13"/>
    </row>
    <row r="413" spans="1:11" ht="18" x14ac:dyDescent="0.4">
      <c r="A413" s="7" t="s">
        <v>0</v>
      </c>
      <c r="B413" s="7" t="s">
        <v>250</v>
      </c>
      <c r="C413" s="8">
        <v>37866</v>
      </c>
      <c r="D413" s="9">
        <v>463510130</v>
      </c>
      <c r="E413" s="57">
        <v>120</v>
      </c>
      <c r="F413" s="10" t="s">
        <v>394</v>
      </c>
      <c r="G413" s="9">
        <v>0</v>
      </c>
      <c r="H413" s="9">
        <f t="shared" si="16"/>
        <v>0</v>
      </c>
      <c r="I413" s="11">
        <f t="shared" ca="1" si="17"/>
        <v>46120</v>
      </c>
      <c r="J413" s="11">
        <f t="shared" ca="1" si="12"/>
        <v>46118</v>
      </c>
      <c r="K413" s="13"/>
    </row>
    <row r="414" spans="1:11" ht="18" x14ac:dyDescent="0.4">
      <c r="A414" s="7" t="s">
        <v>0</v>
      </c>
      <c r="B414" s="7" t="s">
        <v>250</v>
      </c>
      <c r="C414" s="8">
        <v>37866</v>
      </c>
      <c r="D414" s="9">
        <v>463584860</v>
      </c>
      <c r="E414" s="57">
        <v>120</v>
      </c>
      <c r="F414" s="37" t="s">
        <v>394</v>
      </c>
      <c r="G414" s="9">
        <v>0</v>
      </c>
      <c r="H414" s="9">
        <f t="shared" si="16"/>
        <v>0</v>
      </c>
      <c r="I414" s="11">
        <f t="shared" ca="1" si="17"/>
        <v>46120</v>
      </c>
      <c r="J414" s="11">
        <f t="shared" ca="1" si="12"/>
        <v>46118</v>
      </c>
      <c r="K414" s="13"/>
    </row>
    <row r="415" spans="1:11" ht="18" x14ac:dyDescent="0.4">
      <c r="A415" s="7" t="s">
        <v>0</v>
      </c>
      <c r="B415" s="7" t="s">
        <v>250</v>
      </c>
      <c r="C415" s="8">
        <v>37866</v>
      </c>
      <c r="D415" s="9">
        <v>463584880</v>
      </c>
      <c r="E415" s="57">
        <v>120</v>
      </c>
      <c r="F415" s="10" t="s">
        <v>394</v>
      </c>
      <c r="G415" s="9">
        <v>0</v>
      </c>
      <c r="H415" s="9">
        <f t="shared" si="16"/>
        <v>0</v>
      </c>
      <c r="I415" s="11">
        <f t="shared" ca="1" si="17"/>
        <v>46120</v>
      </c>
      <c r="J415" s="11">
        <f t="shared" ca="1" si="12"/>
        <v>46118</v>
      </c>
      <c r="K415" s="13"/>
    </row>
    <row r="416" spans="1:11" ht="18" x14ac:dyDescent="0.4">
      <c r="A416" s="7" t="s">
        <v>0</v>
      </c>
      <c r="B416" s="7" t="s">
        <v>250</v>
      </c>
      <c r="C416" s="8">
        <v>37866</v>
      </c>
      <c r="D416" s="9">
        <v>463584830</v>
      </c>
      <c r="E416" s="57">
        <v>120</v>
      </c>
      <c r="F416" s="37" t="s">
        <v>394</v>
      </c>
      <c r="G416" s="9">
        <v>0</v>
      </c>
      <c r="H416" s="9">
        <f t="shared" si="16"/>
        <v>0</v>
      </c>
      <c r="I416" s="11">
        <f t="shared" ca="1" si="17"/>
        <v>46120</v>
      </c>
      <c r="J416" s="11">
        <f t="shared" ca="1" si="12"/>
        <v>46118</v>
      </c>
      <c r="K416" s="13"/>
    </row>
    <row r="417" spans="1:11" ht="18" x14ac:dyDescent="0.4">
      <c r="A417" s="7" t="s">
        <v>0</v>
      </c>
      <c r="B417" s="7" t="s">
        <v>250</v>
      </c>
      <c r="C417" s="8">
        <v>37866</v>
      </c>
      <c r="D417" s="9">
        <v>463584870</v>
      </c>
      <c r="E417" s="57">
        <v>120</v>
      </c>
      <c r="F417" s="10" t="s">
        <v>394</v>
      </c>
      <c r="G417" s="9">
        <v>0</v>
      </c>
      <c r="H417" s="9">
        <f t="shared" si="16"/>
        <v>0</v>
      </c>
      <c r="I417" s="11">
        <f t="shared" ca="1" si="17"/>
        <v>46120</v>
      </c>
      <c r="J417" s="11">
        <f t="shared" ca="1" si="12"/>
        <v>46118</v>
      </c>
      <c r="K417" s="13"/>
    </row>
    <row r="418" spans="1:11" ht="18" x14ac:dyDescent="0.4">
      <c r="A418" s="7" t="s">
        <v>0</v>
      </c>
      <c r="B418" s="7" t="s">
        <v>250</v>
      </c>
      <c r="C418" s="8">
        <v>37866</v>
      </c>
      <c r="D418" s="9">
        <v>463569360</v>
      </c>
      <c r="E418" s="57">
        <v>120</v>
      </c>
      <c r="F418" s="10" t="s">
        <v>394</v>
      </c>
      <c r="G418" s="9">
        <v>0</v>
      </c>
      <c r="H418" s="9">
        <f t="shared" si="16"/>
        <v>0</v>
      </c>
      <c r="I418" s="11">
        <f t="shared" ca="1" si="17"/>
        <v>46120</v>
      </c>
      <c r="J418" s="11">
        <f t="shared" ca="1" si="12"/>
        <v>46118</v>
      </c>
      <c r="K418" s="13"/>
    </row>
    <row r="419" spans="1:11" ht="18" x14ac:dyDescent="0.4">
      <c r="A419" s="7" t="s">
        <v>0</v>
      </c>
      <c r="B419" s="7" t="s">
        <v>250</v>
      </c>
      <c r="C419" s="8">
        <v>37866</v>
      </c>
      <c r="D419" s="9">
        <v>463579240</v>
      </c>
      <c r="E419" s="57">
        <v>120</v>
      </c>
      <c r="F419" s="10" t="s">
        <v>394</v>
      </c>
      <c r="G419" s="9">
        <v>0</v>
      </c>
      <c r="H419" s="9">
        <f t="shared" si="16"/>
        <v>0</v>
      </c>
      <c r="I419" s="11">
        <f t="shared" ca="1" si="17"/>
        <v>46120</v>
      </c>
      <c r="J419" s="11">
        <f t="shared" ca="1" si="12"/>
        <v>46118</v>
      </c>
      <c r="K419" s="13"/>
    </row>
    <row r="420" spans="1:11" ht="18" x14ac:dyDescent="0.4">
      <c r="A420" s="7" t="s">
        <v>0</v>
      </c>
      <c r="B420" s="7" t="s">
        <v>250</v>
      </c>
      <c r="C420" s="8">
        <v>37866</v>
      </c>
      <c r="D420" s="9">
        <v>463579360</v>
      </c>
      <c r="E420" s="57">
        <v>120</v>
      </c>
      <c r="F420" s="10" t="s">
        <v>394</v>
      </c>
      <c r="G420" s="9">
        <v>1440</v>
      </c>
      <c r="H420" s="9">
        <f t="shared" si="16"/>
        <v>12</v>
      </c>
      <c r="I420" s="11">
        <f t="shared" ca="1" si="17"/>
        <v>46120</v>
      </c>
      <c r="J420" s="11">
        <f t="shared" ca="1" si="12"/>
        <v>46118</v>
      </c>
      <c r="K420" s="13"/>
    </row>
    <row r="421" spans="1:11" ht="18" x14ac:dyDescent="0.4">
      <c r="A421" s="7" t="s">
        <v>0</v>
      </c>
      <c r="B421" s="7" t="s">
        <v>250</v>
      </c>
      <c r="C421" s="8">
        <v>37866</v>
      </c>
      <c r="D421" s="9">
        <v>463579680</v>
      </c>
      <c r="E421" s="57">
        <v>120</v>
      </c>
      <c r="F421" s="10" t="s">
        <v>394</v>
      </c>
      <c r="G421" s="9">
        <v>600</v>
      </c>
      <c r="H421" s="9">
        <f t="shared" si="16"/>
        <v>5</v>
      </c>
      <c r="I421" s="11">
        <f t="shared" ca="1" si="17"/>
        <v>46120</v>
      </c>
      <c r="J421" s="11">
        <f t="shared" ca="1" si="12"/>
        <v>46118</v>
      </c>
      <c r="K421" s="13"/>
    </row>
    <row r="422" spans="1:11" ht="18" x14ac:dyDescent="0.4">
      <c r="A422" s="7" t="s">
        <v>0</v>
      </c>
      <c r="B422" s="7" t="s">
        <v>250</v>
      </c>
      <c r="C422" s="8">
        <v>37866</v>
      </c>
      <c r="D422" s="9">
        <v>463579760</v>
      </c>
      <c r="E422" s="57">
        <v>120</v>
      </c>
      <c r="F422" s="10" t="s">
        <v>394</v>
      </c>
      <c r="G422" s="9">
        <v>240</v>
      </c>
      <c r="H422" s="9">
        <f t="shared" si="16"/>
        <v>2</v>
      </c>
      <c r="I422" s="11">
        <f t="shared" ca="1" si="17"/>
        <v>46120</v>
      </c>
      <c r="J422" s="11">
        <f t="shared" ca="1" si="12"/>
        <v>46118</v>
      </c>
      <c r="K422" s="13"/>
    </row>
    <row r="423" spans="1:11" ht="18" x14ac:dyDescent="0.4">
      <c r="A423" s="7" t="s">
        <v>0</v>
      </c>
      <c r="B423" s="7" t="s">
        <v>250</v>
      </c>
      <c r="C423" s="8">
        <v>37866</v>
      </c>
      <c r="D423" s="9">
        <v>463579900</v>
      </c>
      <c r="E423" s="57">
        <v>120</v>
      </c>
      <c r="F423" s="10" t="s">
        <v>394</v>
      </c>
      <c r="G423" s="9">
        <v>0</v>
      </c>
      <c r="H423" s="9">
        <f t="shared" si="16"/>
        <v>0</v>
      </c>
      <c r="I423" s="11">
        <f t="shared" ca="1" si="17"/>
        <v>46120</v>
      </c>
      <c r="J423" s="11">
        <f t="shared" ca="1" si="12"/>
        <v>46118</v>
      </c>
      <c r="K423" s="13"/>
    </row>
    <row r="424" spans="1:11" ht="18" x14ac:dyDescent="0.4">
      <c r="A424" s="7" t="s">
        <v>0</v>
      </c>
      <c r="B424" s="7" t="s">
        <v>250</v>
      </c>
      <c r="C424" s="8">
        <v>37866</v>
      </c>
      <c r="D424" s="9">
        <v>463580810</v>
      </c>
      <c r="E424" s="57">
        <v>120</v>
      </c>
      <c r="F424" s="10" t="s">
        <v>394</v>
      </c>
      <c r="G424" s="9">
        <v>240</v>
      </c>
      <c r="H424" s="9">
        <f t="shared" si="16"/>
        <v>2</v>
      </c>
      <c r="I424" s="11">
        <f t="shared" ca="1" si="17"/>
        <v>46120</v>
      </c>
      <c r="J424" s="11">
        <f t="shared" ca="1" si="12"/>
        <v>46118</v>
      </c>
      <c r="K424" s="13"/>
    </row>
    <row r="425" spans="1:11" ht="18" x14ac:dyDescent="0.4">
      <c r="A425" s="7" t="s">
        <v>0</v>
      </c>
      <c r="B425" s="7" t="s">
        <v>250</v>
      </c>
      <c r="C425" s="8">
        <v>37866</v>
      </c>
      <c r="D425" s="9">
        <v>463513260</v>
      </c>
      <c r="E425" s="57">
        <v>120</v>
      </c>
      <c r="F425" s="10" t="s">
        <v>395</v>
      </c>
      <c r="G425" s="9">
        <v>0</v>
      </c>
      <c r="H425" s="9">
        <f t="shared" si="16"/>
        <v>0</v>
      </c>
      <c r="I425" s="11">
        <f t="shared" ca="1" si="17"/>
        <v>46120</v>
      </c>
      <c r="J425" s="11">
        <f t="shared" ca="1" si="12"/>
        <v>46118</v>
      </c>
      <c r="K425" s="13"/>
    </row>
    <row r="426" spans="1:11" ht="18" x14ac:dyDescent="0.4">
      <c r="A426" s="7" t="s">
        <v>0</v>
      </c>
      <c r="B426" s="7" t="s">
        <v>396</v>
      </c>
      <c r="C426" s="8">
        <v>10675</v>
      </c>
      <c r="D426" s="9">
        <v>552678530</v>
      </c>
      <c r="E426" s="57">
        <v>2160</v>
      </c>
      <c r="F426" s="10" t="s">
        <v>397</v>
      </c>
      <c r="G426" s="9">
        <v>7200</v>
      </c>
      <c r="H426" s="9">
        <f t="shared" si="16"/>
        <v>3.3333333333333335</v>
      </c>
      <c r="I426" s="11">
        <f t="shared" ca="1" si="17"/>
        <v>46120</v>
      </c>
      <c r="J426" s="11">
        <f t="shared" ca="1" si="12"/>
        <v>46118</v>
      </c>
      <c r="K426" s="13"/>
    </row>
    <row r="427" spans="1:11" ht="18" x14ac:dyDescent="0.4">
      <c r="A427" s="7" t="s">
        <v>0</v>
      </c>
      <c r="B427" s="7" t="s">
        <v>396</v>
      </c>
      <c r="C427" s="8">
        <v>10675</v>
      </c>
      <c r="D427" s="9">
        <v>552755990</v>
      </c>
      <c r="E427" s="57">
        <v>2160</v>
      </c>
      <c r="F427" s="10" t="s">
        <v>398</v>
      </c>
      <c r="G427" s="9">
        <v>7200</v>
      </c>
      <c r="H427" s="9">
        <f t="shared" si="16"/>
        <v>3.3333333333333335</v>
      </c>
      <c r="I427" s="11">
        <f t="shared" ca="1" si="17"/>
        <v>46120</v>
      </c>
      <c r="J427" s="11">
        <f t="shared" ca="1" si="12"/>
        <v>46118</v>
      </c>
      <c r="K427" s="13"/>
    </row>
    <row r="428" spans="1:11" ht="18" x14ac:dyDescent="0.4">
      <c r="A428" s="7" t="s">
        <v>0</v>
      </c>
      <c r="B428" s="7" t="s">
        <v>399</v>
      </c>
      <c r="C428" s="8">
        <v>32572</v>
      </c>
      <c r="D428" s="9">
        <v>552679980</v>
      </c>
      <c r="E428" s="57">
        <v>720</v>
      </c>
      <c r="F428" s="10" t="s">
        <v>400</v>
      </c>
      <c r="G428" s="9">
        <v>8640</v>
      </c>
      <c r="H428" s="9">
        <f t="shared" si="16"/>
        <v>12</v>
      </c>
      <c r="I428" s="11">
        <f t="shared" ca="1" si="17"/>
        <v>46120</v>
      </c>
      <c r="J428" s="11">
        <f t="shared" ca="1" si="12"/>
        <v>46118</v>
      </c>
      <c r="K428" s="13"/>
    </row>
    <row r="429" spans="1:11" ht="18" x14ac:dyDescent="0.4">
      <c r="A429" s="7" t="s">
        <v>0</v>
      </c>
      <c r="B429" s="7" t="s">
        <v>401</v>
      </c>
      <c r="C429" s="8">
        <v>31610</v>
      </c>
      <c r="D429" s="9">
        <v>552681700</v>
      </c>
      <c r="E429" s="57">
        <v>420</v>
      </c>
      <c r="F429" s="10" t="s">
        <v>402</v>
      </c>
      <c r="G429" s="9">
        <v>1680</v>
      </c>
      <c r="H429" s="9">
        <f t="shared" si="16"/>
        <v>4</v>
      </c>
      <c r="I429" s="11">
        <f ca="1">I419</f>
        <v>46120</v>
      </c>
      <c r="J429" s="11">
        <f t="shared" ca="1" si="12"/>
        <v>46118</v>
      </c>
      <c r="K429" s="13"/>
    </row>
    <row r="430" spans="1:11" ht="18" x14ac:dyDescent="0.4">
      <c r="A430" s="7" t="s">
        <v>0</v>
      </c>
      <c r="B430" s="7" t="s">
        <v>401</v>
      </c>
      <c r="C430" s="8">
        <v>31610</v>
      </c>
      <c r="D430" s="9">
        <v>552678490</v>
      </c>
      <c r="E430" s="57">
        <v>520</v>
      </c>
      <c r="F430" s="10" t="s">
        <v>402</v>
      </c>
      <c r="G430" s="9">
        <v>1040</v>
      </c>
      <c r="H430" s="9">
        <f t="shared" si="16"/>
        <v>2</v>
      </c>
      <c r="I430" s="11">
        <f t="shared" ca="1" si="17"/>
        <v>46120</v>
      </c>
      <c r="J430" s="11">
        <f t="shared" ca="1" si="12"/>
        <v>46118</v>
      </c>
      <c r="K430" s="13"/>
    </row>
    <row r="431" spans="1:11" ht="18" x14ac:dyDescent="0.4">
      <c r="A431" s="7" t="s">
        <v>0</v>
      </c>
      <c r="B431" s="7" t="s">
        <v>403</v>
      </c>
      <c r="C431" s="8">
        <v>34836</v>
      </c>
      <c r="D431" s="9">
        <v>552793140</v>
      </c>
      <c r="E431" s="57">
        <v>720</v>
      </c>
      <c r="F431" s="10" t="s">
        <v>404</v>
      </c>
      <c r="G431" s="9">
        <v>0</v>
      </c>
      <c r="H431" s="9">
        <f t="shared" si="16"/>
        <v>0</v>
      </c>
      <c r="I431" s="11">
        <f t="shared" ca="1" si="17"/>
        <v>46120</v>
      </c>
      <c r="J431" s="11">
        <f t="shared" ca="1" si="12"/>
        <v>46118</v>
      </c>
      <c r="K431" s="13"/>
    </row>
    <row r="432" spans="1:11" ht="18" x14ac:dyDescent="0.4">
      <c r="A432" s="7" t="s">
        <v>0</v>
      </c>
      <c r="B432" s="7" t="s">
        <v>403</v>
      </c>
      <c r="C432" s="8">
        <v>34836</v>
      </c>
      <c r="D432" s="9">
        <v>552793150</v>
      </c>
      <c r="E432" s="57">
        <v>720</v>
      </c>
      <c r="F432" s="10" t="s">
        <v>405</v>
      </c>
      <c r="G432" s="9">
        <v>0</v>
      </c>
      <c r="H432" s="9">
        <f t="shared" si="16"/>
        <v>0</v>
      </c>
      <c r="I432" s="11">
        <f t="shared" ca="1" si="17"/>
        <v>46120</v>
      </c>
      <c r="J432" s="11">
        <f t="shared" ca="1" si="12"/>
        <v>46118</v>
      </c>
      <c r="K432" s="13"/>
    </row>
    <row r="433" spans="1:11" ht="18" x14ac:dyDescent="0.4">
      <c r="A433" s="7" t="s">
        <v>0</v>
      </c>
      <c r="B433" s="7" t="s">
        <v>403</v>
      </c>
      <c r="C433" s="8">
        <v>34836</v>
      </c>
      <c r="D433" s="9">
        <v>552793160</v>
      </c>
      <c r="E433" s="57">
        <v>720</v>
      </c>
      <c r="F433" s="10" t="s">
        <v>406</v>
      </c>
      <c r="G433" s="9">
        <v>0</v>
      </c>
      <c r="H433" s="9">
        <f t="shared" ref="H433:H496" si="18">G433/E433</f>
        <v>0</v>
      </c>
      <c r="I433" s="11">
        <f t="shared" ca="1" si="17"/>
        <v>46120</v>
      </c>
      <c r="J433" s="11">
        <f t="shared" ca="1" si="12"/>
        <v>46118</v>
      </c>
      <c r="K433" s="13"/>
    </row>
    <row r="434" spans="1:11" ht="18" x14ac:dyDescent="0.4">
      <c r="A434" s="7" t="s">
        <v>0</v>
      </c>
      <c r="B434" s="7" t="s">
        <v>403</v>
      </c>
      <c r="C434" s="8">
        <v>34836</v>
      </c>
      <c r="D434" s="9">
        <v>552677750</v>
      </c>
      <c r="E434" s="57">
        <v>480</v>
      </c>
      <c r="F434" s="10" t="s">
        <v>144</v>
      </c>
      <c r="G434" s="9">
        <v>0</v>
      </c>
      <c r="H434" s="9">
        <f t="shared" si="18"/>
        <v>0</v>
      </c>
      <c r="I434" s="11">
        <f t="shared" ca="1" si="17"/>
        <v>46120</v>
      </c>
      <c r="J434" s="11">
        <f t="shared" ca="1" si="12"/>
        <v>46118</v>
      </c>
      <c r="K434" s="13"/>
    </row>
    <row r="435" spans="1:11" ht="18" x14ac:dyDescent="0.4">
      <c r="A435" s="7" t="s">
        <v>0</v>
      </c>
      <c r="B435" s="7" t="s">
        <v>403</v>
      </c>
      <c r="C435" s="8">
        <v>34836</v>
      </c>
      <c r="D435" s="9">
        <v>552677760</v>
      </c>
      <c r="E435" s="57">
        <v>480</v>
      </c>
      <c r="F435" s="10" t="s">
        <v>145</v>
      </c>
      <c r="G435" s="9">
        <v>0</v>
      </c>
      <c r="H435" s="9">
        <f t="shared" si="18"/>
        <v>0</v>
      </c>
      <c r="I435" s="11">
        <f t="shared" ca="1" si="17"/>
        <v>46120</v>
      </c>
      <c r="J435" s="11">
        <f t="shared" ca="1" si="12"/>
        <v>46118</v>
      </c>
      <c r="K435" s="13"/>
    </row>
    <row r="436" spans="1:11" ht="18" x14ac:dyDescent="0.4">
      <c r="A436" s="7" t="s">
        <v>0</v>
      </c>
      <c r="B436" s="7" t="s">
        <v>403</v>
      </c>
      <c r="C436" s="8">
        <v>34836</v>
      </c>
      <c r="D436" s="9">
        <v>552677770</v>
      </c>
      <c r="E436" s="57">
        <v>480</v>
      </c>
      <c r="F436" s="10" t="s">
        <v>146</v>
      </c>
      <c r="G436" s="9">
        <v>0</v>
      </c>
      <c r="H436" s="9">
        <f t="shared" si="18"/>
        <v>0</v>
      </c>
      <c r="I436" s="11">
        <f t="shared" ca="1" si="17"/>
        <v>46120</v>
      </c>
      <c r="J436" s="11">
        <f t="shared" ca="1" si="12"/>
        <v>46118</v>
      </c>
      <c r="K436" s="13"/>
    </row>
    <row r="437" spans="1:11" ht="18" x14ac:dyDescent="0.4">
      <c r="A437" s="7" t="s">
        <v>0</v>
      </c>
      <c r="B437" s="7" t="s">
        <v>403</v>
      </c>
      <c r="C437" s="8">
        <v>34836</v>
      </c>
      <c r="D437" s="9">
        <v>552677810</v>
      </c>
      <c r="E437" s="57">
        <v>480</v>
      </c>
      <c r="F437" s="10" t="s">
        <v>147</v>
      </c>
      <c r="G437" s="9">
        <v>0</v>
      </c>
      <c r="H437" s="9">
        <f t="shared" si="18"/>
        <v>0</v>
      </c>
      <c r="I437" s="11">
        <f t="shared" ca="1" si="17"/>
        <v>46120</v>
      </c>
      <c r="J437" s="11">
        <f t="shared" ca="1" si="12"/>
        <v>46118</v>
      </c>
      <c r="K437" s="13"/>
    </row>
    <row r="438" spans="1:11" ht="18" x14ac:dyDescent="0.4">
      <c r="A438" s="7" t="s">
        <v>0</v>
      </c>
      <c r="B438" s="7" t="s">
        <v>403</v>
      </c>
      <c r="C438" s="8">
        <v>34836</v>
      </c>
      <c r="D438" s="9">
        <v>552677820</v>
      </c>
      <c r="E438" s="57">
        <v>480</v>
      </c>
      <c r="F438" s="10" t="s">
        <v>148</v>
      </c>
      <c r="G438" s="9">
        <v>0</v>
      </c>
      <c r="H438" s="9">
        <f t="shared" si="18"/>
        <v>0</v>
      </c>
      <c r="I438" s="11">
        <f t="shared" ca="1" si="17"/>
        <v>46120</v>
      </c>
      <c r="J438" s="11">
        <f t="shared" ca="1" si="12"/>
        <v>46118</v>
      </c>
      <c r="K438" s="13"/>
    </row>
    <row r="439" spans="1:11" ht="18" x14ac:dyDescent="0.4">
      <c r="A439" s="7" t="s">
        <v>0</v>
      </c>
      <c r="B439" s="7" t="s">
        <v>403</v>
      </c>
      <c r="C439" s="8">
        <v>34836</v>
      </c>
      <c r="D439" s="9">
        <v>552677830</v>
      </c>
      <c r="E439" s="57">
        <v>480</v>
      </c>
      <c r="F439" s="10" t="s">
        <v>149</v>
      </c>
      <c r="G439" s="9">
        <v>0</v>
      </c>
      <c r="H439" s="9">
        <f t="shared" si="18"/>
        <v>0</v>
      </c>
      <c r="I439" s="11">
        <f t="shared" ref="I439:I501" ca="1" si="19">I438</f>
        <v>46120</v>
      </c>
      <c r="J439" s="11">
        <f t="shared" ca="1" si="12"/>
        <v>46118</v>
      </c>
      <c r="K439" s="13"/>
    </row>
    <row r="440" spans="1:11" ht="18" x14ac:dyDescent="0.4">
      <c r="A440" s="7" t="s">
        <v>0</v>
      </c>
      <c r="B440" s="7" t="s">
        <v>403</v>
      </c>
      <c r="C440" s="8">
        <v>34836</v>
      </c>
      <c r="D440" s="9">
        <v>552679480</v>
      </c>
      <c r="E440" s="57">
        <v>600</v>
      </c>
      <c r="F440" s="10" t="s">
        <v>407</v>
      </c>
      <c r="G440" s="9">
        <v>0</v>
      </c>
      <c r="H440" s="9">
        <f t="shared" si="18"/>
        <v>0</v>
      </c>
      <c r="I440" s="11">
        <f t="shared" ca="1" si="19"/>
        <v>46120</v>
      </c>
      <c r="J440" s="11">
        <f t="shared" ca="1" si="12"/>
        <v>46118</v>
      </c>
      <c r="K440" s="13"/>
    </row>
    <row r="441" spans="1:11" ht="18" x14ac:dyDescent="0.4">
      <c r="A441" s="7" t="s">
        <v>0</v>
      </c>
      <c r="B441" s="7" t="s">
        <v>403</v>
      </c>
      <c r="C441" s="8">
        <v>34836</v>
      </c>
      <c r="D441" s="9">
        <v>552679440</v>
      </c>
      <c r="E441" s="57">
        <v>550</v>
      </c>
      <c r="F441" s="10" t="s">
        <v>408</v>
      </c>
      <c r="G441" s="9">
        <v>0</v>
      </c>
      <c r="H441" s="9">
        <f t="shared" si="18"/>
        <v>0</v>
      </c>
      <c r="I441" s="11">
        <f t="shared" ca="1" si="19"/>
        <v>46120</v>
      </c>
      <c r="J441" s="11">
        <f t="shared" ca="1" si="12"/>
        <v>46118</v>
      </c>
      <c r="K441" s="13"/>
    </row>
    <row r="442" spans="1:11" ht="18" x14ac:dyDescent="0.4">
      <c r="A442" s="7" t="s">
        <v>0</v>
      </c>
      <c r="B442" s="7" t="s">
        <v>403</v>
      </c>
      <c r="C442" s="8">
        <v>34836</v>
      </c>
      <c r="D442" s="9">
        <v>552786650</v>
      </c>
      <c r="E442" s="57">
        <v>180</v>
      </c>
      <c r="F442" s="10" t="s">
        <v>409</v>
      </c>
      <c r="G442" s="9">
        <v>0</v>
      </c>
      <c r="H442" s="9">
        <f t="shared" si="18"/>
        <v>0</v>
      </c>
      <c r="I442" s="11">
        <f t="shared" ca="1" si="19"/>
        <v>46120</v>
      </c>
      <c r="J442" s="11">
        <f t="shared" ca="1" si="12"/>
        <v>46118</v>
      </c>
      <c r="K442" s="13"/>
    </row>
    <row r="443" spans="1:11" ht="18" x14ac:dyDescent="0.4">
      <c r="A443" s="7" t="s">
        <v>0</v>
      </c>
      <c r="B443" s="7" t="s">
        <v>410</v>
      </c>
      <c r="C443" s="8">
        <v>28824</v>
      </c>
      <c r="D443" s="9">
        <v>552681400</v>
      </c>
      <c r="E443" s="57">
        <v>336</v>
      </c>
      <c r="F443" s="10" t="s">
        <v>411</v>
      </c>
      <c r="G443" s="9">
        <v>1680</v>
      </c>
      <c r="H443" s="9">
        <f t="shared" si="18"/>
        <v>5</v>
      </c>
      <c r="I443" s="11">
        <f t="shared" ca="1" si="19"/>
        <v>46120</v>
      </c>
      <c r="J443" s="11">
        <f t="shared" ca="1" si="12"/>
        <v>46118</v>
      </c>
      <c r="K443" s="13"/>
    </row>
    <row r="444" spans="1:11" ht="18" x14ac:dyDescent="0.4">
      <c r="A444" s="7" t="s">
        <v>0</v>
      </c>
      <c r="B444" s="7" t="s">
        <v>410</v>
      </c>
      <c r="C444" s="8">
        <v>28824</v>
      </c>
      <c r="D444" s="9">
        <v>552679510</v>
      </c>
      <c r="E444" s="57">
        <v>336</v>
      </c>
      <c r="F444" s="10" t="s">
        <v>411</v>
      </c>
      <c r="G444" s="9">
        <v>1008</v>
      </c>
      <c r="H444" s="9">
        <f t="shared" si="18"/>
        <v>3</v>
      </c>
      <c r="I444" s="11">
        <f t="shared" ca="1" si="19"/>
        <v>46120</v>
      </c>
      <c r="J444" s="11">
        <f t="shared" ca="1" si="12"/>
        <v>46118</v>
      </c>
      <c r="K444" s="13"/>
    </row>
    <row r="445" spans="1:11" ht="18" x14ac:dyDescent="0.4">
      <c r="A445" s="7" t="s">
        <v>0</v>
      </c>
      <c r="B445" s="7" t="s">
        <v>412</v>
      </c>
      <c r="C445" s="8">
        <v>11431</v>
      </c>
      <c r="D445" s="9">
        <v>463365360</v>
      </c>
      <c r="E445" s="57">
        <v>1000</v>
      </c>
      <c r="F445" s="10" t="s">
        <v>413</v>
      </c>
      <c r="G445" s="9">
        <v>3000</v>
      </c>
      <c r="H445" s="9">
        <f t="shared" si="18"/>
        <v>3</v>
      </c>
      <c r="I445" s="11">
        <f t="shared" ca="1" si="19"/>
        <v>46120</v>
      </c>
      <c r="J445" s="11">
        <f t="shared" ca="1" si="12"/>
        <v>46118</v>
      </c>
      <c r="K445" s="13"/>
    </row>
    <row r="446" spans="1:11" ht="18" x14ac:dyDescent="0.4">
      <c r="A446" s="7" t="s">
        <v>0</v>
      </c>
      <c r="B446" s="7" t="s">
        <v>412</v>
      </c>
      <c r="C446" s="8">
        <v>11431</v>
      </c>
      <c r="D446" s="9">
        <v>463411530</v>
      </c>
      <c r="E446" s="57">
        <v>500</v>
      </c>
      <c r="F446" s="10" t="s">
        <v>413</v>
      </c>
      <c r="G446" s="9">
        <v>0</v>
      </c>
      <c r="H446" s="9">
        <f t="shared" si="18"/>
        <v>0</v>
      </c>
      <c r="I446" s="11">
        <f t="shared" ca="1" si="19"/>
        <v>46120</v>
      </c>
      <c r="J446" s="11">
        <f t="shared" ca="1" si="12"/>
        <v>46118</v>
      </c>
      <c r="K446" s="13"/>
    </row>
    <row r="447" spans="1:11" ht="18" x14ac:dyDescent="0.4">
      <c r="A447" s="7" t="s">
        <v>0</v>
      </c>
      <c r="B447" s="7" t="s">
        <v>414</v>
      </c>
      <c r="C447" s="8">
        <v>21570</v>
      </c>
      <c r="D447" s="9">
        <v>552754290</v>
      </c>
      <c r="E447" s="57">
        <v>800</v>
      </c>
      <c r="F447" s="10" t="s">
        <v>415</v>
      </c>
      <c r="G447" s="9">
        <v>8000</v>
      </c>
      <c r="H447" s="9">
        <f t="shared" si="18"/>
        <v>10</v>
      </c>
      <c r="I447" s="11">
        <f t="shared" ca="1" si="19"/>
        <v>46120</v>
      </c>
      <c r="J447" s="11">
        <f t="shared" ca="1" si="12"/>
        <v>46118</v>
      </c>
      <c r="K447" s="13"/>
    </row>
    <row r="448" spans="1:11" ht="18" x14ac:dyDescent="0.4">
      <c r="A448" s="7" t="s">
        <v>0</v>
      </c>
      <c r="B448" s="7" t="s">
        <v>414</v>
      </c>
      <c r="C448" s="8">
        <v>21570</v>
      </c>
      <c r="D448" s="9">
        <v>552682660</v>
      </c>
      <c r="E448" s="57">
        <v>1800</v>
      </c>
      <c r="F448" s="10" t="s">
        <v>416</v>
      </c>
      <c r="G448" s="9">
        <v>5400</v>
      </c>
      <c r="H448" s="9">
        <f t="shared" si="18"/>
        <v>3</v>
      </c>
      <c r="I448" s="11">
        <f t="shared" ca="1" si="19"/>
        <v>46120</v>
      </c>
      <c r="J448" s="11">
        <f t="shared" ca="1" si="12"/>
        <v>46118</v>
      </c>
      <c r="K448" s="13"/>
    </row>
    <row r="449" spans="1:11" ht="18" x14ac:dyDescent="0.4">
      <c r="A449" s="7" t="s">
        <v>0</v>
      </c>
      <c r="B449" s="7" t="s">
        <v>417</v>
      </c>
      <c r="C449" s="8">
        <v>23480</v>
      </c>
      <c r="D449" s="9">
        <v>552677420</v>
      </c>
      <c r="E449" s="57">
        <v>2475</v>
      </c>
      <c r="F449" s="10" t="s">
        <v>418</v>
      </c>
      <c r="G449" s="9">
        <v>2475</v>
      </c>
      <c r="H449" s="9">
        <f t="shared" si="18"/>
        <v>1</v>
      </c>
      <c r="I449" s="11">
        <f t="shared" ca="1" si="19"/>
        <v>46120</v>
      </c>
      <c r="J449" s="11">
        <f t="shared" ca="1" si="12"/>
        <v>46118</v>
      </c>
      <c r="K449" s="13"/>
    </row>
    <row r="450" spans="1:11" ht="18" x14ac:dyDescent="0.4">
      <c r="A450" s="7" t="s">
        <v>0</v>
      </c>
      <c r="B450" s="7" t="s">
        <v>417</v>
      </c>
      <c r="C450" s="8">
        <v>23480</v>
      </c>
      <c r="D450" s="9">
        <v>144576800</v>
      </c>
      <c r="E450" s="57">
        <v>1000</v>
      </c>
      <c r="F450" s="10" t="s">
        <v>419</v>
      </c>
      <c r="G450" s="9">
        <v>0</v>
      </c>
      <c r="H450" s="9">
        <f t="shared" si="18"/>
        <v>0</v>
      </c>
      <c r="I450" s="11">
        <f t="shared" ca="1" si="19"/>
        <v>46120</v>
      </c>
      <c r="J450" s="11">
        <f t="shared" ca="1" si="12"/>
        <v>46118</v>
      </c>
      <c r="K450" s="13"/>
    </row>
    <row r="451" spans="1:11" ht="18" x14ac:dyDescent="0.4">
      <c r="A451" s="7" t="s">
        <v>0</v>
      </c>
      <c r="B451" s="7" t="s">
        <v>417</v>
      </c>
      <c r="C451" s="8">
        <v>23480</v>
      </c>
      <c r="D451" s="9">
        <v>144534810</v>
      </c>
      <c r="E451" s="57">
        <v>4000</v>
      </c>
      <c r="F451" s="10" t="s">
        <v>420</v>
      </c>
      <c r="G451" s="9">
        <v>40000</v>
      </c>
      <c r="H451" s="9">
        <f t="shared" si="18"/>
        <v>10</v>
      </c>
      <c r="I451" s="11">
        <f t="shared" ca="1" si="19"/>
        <v>46120</v>
      </c>
      <c r="J451" s="11">
        <f t="shared" ca="1" si="12"/>
        <v>46118</v>
      </c>
      <c r="K451" s="13"/>
    </row>
    <row r="452" spans="1:11" ht="18" x14ac:dyDescent="0.4">
      <c r="A452" s="7" t="s">
        <v>0</v>
      </c>
      <c r="B452" s="7" t="s">
        <v>421</v>
      </c>
      <c r="C452" s="8">
        <v>23481</v>
      </c>
      <c r="D452" s="9">
        <v>463411500</v>
      </c>
      <c r="E452" s="57">
        <v>1200</v>
      </c>
      <c r="F452" s="10" t="s">
        <v>224</v>
      </c>
      <c r="G452" s="9">
        <v>0</v>
      </c>
      <c r="H452" s="9">
        <f t="shared" si="18"/>
        <v>0</v>
      </c>
      <c r="I452" s="11">
        <f t="shared" ca="1" si="19"/>
        <v>46120</v>
      </c>
      <c r="J452" s="11">
        <f t="shared" ca="1" si="12"/>
        <v>46118</v>
      </c>
      <c r="K452" s="13"/>
    </row>
    <row r="453" spans="1:11" ht="18" x14ac:dyDescent="0.4">
      <c r="A453" s="7" t="s">
        <v>0</v>
      </c>
      <c r="B453" s="7" t="s">
        <v>422</v>
      </c>
      <c r="C453" s="8">
        <v>21342</v>
      </c>
      <c r="D453" s="9">
        <v>463509950</v>
      </c>
      <c r="E453" s="57">
        <v>30</v>
      </c>
      <c r="F453" s="10" t="s">
        <v>423</v>
      </c>
      <c r="G453" s="9">
        <v>240</v>
      </c>
      <c r="H453" s="9">
        <f t="shared" si="18"/>
        <v>8</v>
      </c>
      <c r="I453" s="11">
        <f t="shared" ca="1" si="19"/>
        <v>46120</v>
      </c>
      <c r="J453" s="11">
        <f t="shared" ca="1" si="12"/>
        <v>46118</v>
      </c>
      <c r="K453" s="13"/>
    </row>
    <row r="454" spans="1:11" ht="18" x14ac:dyDescent="0.4">
      <c r="A454" s="7" t="s">
        <v>0</v>
      </c>
      <c r="B454" s="7" t="s">
        <v>422</v>
      </c>
      <c r="C454" s="8">
        <v>21342</v>
      </c>
      <c r="D454" s="9">
        <v>463509960</v>
      </c>
      <c r="E454" s="57">
        <v>300</v>
      </c>
      <c r="F454" s="10" t="s">
        <v>424</v>
      </c>
      <c r="G454" s="9">
        <v>0</v>
      </c>
      <c r="H454" s="9">
        <f t="shared" si="18"/>
        <v>0</v>
      </c>
      <c r="I454" s="11">
        <f t="shared" ca="1" si="19"/>
        <v>46120</v>
      </c>
      <c r="J454" s="11">
        <f t="shared" ca="1" si="12"/>
        <v>46118</v>
      </c>
      <c r="K454" s="13"/>
    </row>
    <row r="455" spans="1:11" ht="18" x14ac:dyDescent="0.4">
      <c r="A455" s="7" t="s">
        <v>0</v>
      </c>
      <c r="B455" s="7" t="s">
        <v>422</v>
      </c>
      <c r="C455" s="8">
        <v>21342</v>
      </c>
      <c r="D455" s="9">
        <v>463462820</v>
      </c>
      <c r="E455" s="57">
        <v>480</v>
      </c>
      <c r="F455" s="10" t="s">
        <v>425</v>
      </c>
      <c r="G455" s="9">
        <v>1440</v>
      </c>
      <c r="H455" s="9">
        <f t="shared" si="18"/>
        <v>3</v>
      </c>
      <c r="I455" s="11">
        <f t="shared" ca="1" si="19"/>
        <v>46120</v>
      </c>
      <c r="J455" s="11">
        <f t="shared" ca="1" si="12"/>
        <v>46118</v>
      </c>
      <c r="K455" s="13"/>
    </row>
    <row r="456" spans="1:11" ht="18" x14ac:dyDescent="0.4">
      <c r="A456" s="7" t="s">
        <v>0</v>
      </c>
      <c r="B456" s="7" t="s">
        <v>422</v>
      </c>
      <c r="C456" s="8">
        <v>21342</v>
      </c>
      <c r="D456" s="9">
        <v>463462910</v>
      </c>
      <c r="E456" s="57">
        <v>420</v>
      </c>
      <c r="F456" s="10" t="s">
        <v>426</v>
      </c>
      <c r="G456" s="9">
        <v>1260</v>
      </c>
      <c r="H456" s="9">
        <f t="shared" si="18"/>
        <v>3</v>
      </c>
      <c r="I456" s="11">
        <f t="shared" ca="1" si="19"/>
        <v>46120</v>
      </c>
      <c r="J456" s="11">
        <f t="shared" ca="1" si="12"/>
        <v>46118</v>
      </c>
      <c r="K456" s="13"/>
    </row>
    <row r="457" spans="1:11" ht="18" x14ac:dyDescent="0.4">
      <c r="A457" s="7" t="s">
        <v>0</v>
      </c>
      <c r="B457" s="7" t="s">
        <v>427</v>
      </c>
      <c r="C457" s="8">
        <v>14837</v>
      </c>
      <c r="D457" s="9">
        <v>552796450</v>
      </c>
      <c r="E457" s="57">
        <v>30</v>
      </c>
      <c r="F457" s="10" t="s">
        <v>428</v>
      </c>
      <c r="G457" s="9">
        <v>1500</v>
      </c>
      <c r="H457" s="9">
        <f t="shared" si="18"/>
        <v>50</v>
      </c>
      <c r="I457" s="11">
        <f t="shared" ca="1" si="19"/>
        <v>46120</v>
      </c>
      <c r="J457" s="11">
        <f t="shared" ca="1" si="12"/>
        <v>46118</v>
      </c>
      <c r="K457" s="13"/>
    </row>
    <row r="458" spans="1:11" ht="18" x14ac:dyDescent="0.4">
      <c r="A458" s="7" t="s">
        <v>0</v>
      </c>
      <c r="B458" s="7" t="s">
        <v>427</v>
      </c>
      <c r="C458" s="8">
        <v>14837</v>
      </c>
      <c r="D458" s="9">
        <v>463508220</v>
      </c>
      <c r="E458" s="57">
        <v>30</v>
      </c>
      <c r="F458" s="10" t="s">
        <v>428</v>
      </c>
      <c r="G458" s="9">
        <v>0</v>
      </c>
      <c r="H458" s="9">
        <f t="shared" si="18"/>
        <v>0</v>
      </c>
      <c r="I458" s="11">
        <f t="shared" ca="1" si="19"/>
        <v>46120</v>
      </c>
      <c r="J458" s="11">
        <f t="shared" ca="1" si="12"/>
        <v>46118</v>
      </c>
      <c r="K458" s="13"/>
    </row>
    <row r="459" spans="1:11" ht="18" x14ac:dyDescent="0.4">
      <c r="A459" s="7" t="s">
        <v>0</v>
      </c>
      <c r="B459" s="7" t="s">
        <v>429</v>
      </c>
      <c r="C459" s="8">
        <v>1097</v>
      </c>
      <c r="D459" s="9">
        <v>463550730</v>
      </c>
      <c r="E459" s="57">
        <v>24</v>
      </c>
      <c r="F459" s="10" t="s">
        <v>430</v>
      </c>
      <c r="G459" s="9">
        <v>624</v>
      </c>
      <c r="H459" s="9">
        <f t="shared" si="18"/>
        <v>26</v>
      </c>
      <c r="I459" s="11">
        <f t="shared" ca="1" si="19"/>
        <v>46120</v>
      </c>
      <c r="J459" s="11">
        <f t="shared" ca="1" si="12"/>
        <v>46118</v>
      </c>
      <c r="K459" s="13"/>
    </row>
    <row r="460" spans="1:11" ht="18" x14ac:dyDescent="0.4">
      <c r="A460" s="7" t="s">
        <v>0</v>
      </c>
      <c r="B460" s="7" t="s">
        <v>429</v>
      </c>
      <c r="C460" s="8">
        <v>1097</v>
      </c>
      <c r="D460" s="9">
        <v>463443560</v>
      </c>
      <c r="E460" s="57">
        <v>24</v>
      </c>
      <c r="F460" s="10" t="s">
        <v>431</v>
      </c>
      <c r="G460" s="9">
        <v>0</v>
      </c>
      <c r="H460" s="9">
        <f t="shared" si="18"/>
        <v>0</v>
      </c>
      <c r="I460" s="11">
        <f t="shared" ca="1" si="19"/>
        <v>46120</v>
      </c>
      <c r="J460" s="11">
        <f t="shared" ca="1" si="12"/>
        <v>46118</v>
      </c>
      <c r="K460" s="13"/>
    </row>
    <row r="461" spans="1:11" ht="18" x14ac:dyDescent="0.4">
      <c r="A461" s="7" t="s">
        <v>0</v>
      </c>
      <c r="B461" s="7" t="s">
        <v>429</v>
      </c>
      <c r="C461" s="8">
        <v>1097</v>
      </c>
      <c r="D461" s="9">
        <v>463555740</v>
      </c>
      <c r="E461" s="57">
        <v>24</v>
      </c>
      <c r="F461" s="10" t="s">
        <v>432</v>
      </c>
      <c r="G461" s="9">
        <v>912</v>
      </c>
      <c r="H461" s="9">
        <f t="shared" si="18"/>
        <v>38</v>
      </c>
      <c r="I461" s="11">
        <f t="shared" ca="1" si="19"/>
        <v>46120</v>
      </c>
      <c r="J461" s="11">
        <f t="shared" ca="1" si="12"/>
        <v>46118</v>
      </c>
      <c r="K461" s="13"/>
    </row>
    <row r="462" spans="1:11" ht="18" x14ac:dyDescent="0.4">
      <c r="A462" s="7" t="s">
        <v>0</v>
      </c>
      <c r="B462" s="7" t="s">
        <v>429</v>
      </c>
      <c r="C462" s="8">
        <v>1097</v>
      </c>
      <c r="D462" s="9">
        <v>463526980</v>
      </c>
      <c r="E462" s="57">
        <v>24</v>
      </c>
      <c r="F462" s="10" t="s">
        <v>433</v>
      </c>
      <c r="G462" s="9">
        <v>0</v>
      </c>
      <c r="H462" s="9">
        <f t="shared" si="18"/>
        <v>0</v>
      </c>
      <c r="I462" s="11">
        <f t="shared" ca="1" si="19"/>
        <v>46120</v>
      </c>
      <c r="J462" s="11">
        <f t="shared" ca="1" si="12"/>
        <v>46118</v>
      </c>
      <c r="K462" s="13"/>
    </row>
    <row r="463" spans="1:11" ht="18" x14ac:dyDescent="0.4">
      <c r="A463" s="7" t="s">
        <v>0</v>
      </c>
      <c r="B463" s="7" t="s">
        <v>434</v>
      </c>
      <c r="C463" s="8">
        <v>51620</v>
      </c>
      <c r="D463" s="9">
        <v>552685780</v>
      </c>
      <c r="E463" s="57">
        <v>840</v>
      </c>
      <c r="F463" s="10" t="s">
        <v>435</v>
      </c>
      <c r="G463" s="9">
        <v>0</v>
      </c>
      <c r="H463" s="9">
        <f t="shared" si="18"/>
        <v>0</v>
      </c>
      <c r="I463" s="11">
        <f t="shared" ca="1" si="19"/>
        <v>46120</v>
      </c>
      <c r="J463" s="11">
        <f t="shared" ca="1" si="12"/>
        <v>46118</v>
      </c>
      <c r="K463" s="13"/>
    </row>
    <row r="464" spans="1:11" ht="18" x14ac:dyDescent="0.4">
      <c r="A464" s="7" t="s">
        <v>0</v>
      </c>
      <c r="B464" s="7" t="s">
        <v>434</v>
      </c>
      <c r="C464" s="8">
        <v>51620</v>
      </c>
      <c r="D464" s="9">
        <v>552685800</v>
      </c>
      <c r="E464" s="57">
        <v>1440</v>
      </c>
      <c r="F464" s="10" t="s">
        <v>436</v>
      </c>
      <c r="G464" s="9">
        <v>5760</v>
      </c>
      <c r="H464" s="9">
        <f t="shared" si="18"/>
        <v>4</v>
      </c>
      <c r="I464" s="11">
        <f t="shared" ca="1" si="19"/>
        <v>46120</v>
      </c>
      <c r="J464" s="11">
        <f t="shared" ca="1" si="12"/>
        <v>46118</v>
      </c>
      <c r="K464" s="13"/>
    </row>
    <row r="465" spans="1:11" ht="18" x14ac:dyDescent="0.4">
      <c r="A465" s="7" t="s">
        <v>0</v>
      </c>
      <c r="B465" s="7" t="s">
        <v>434</v>
      </c>
      <c r="C465" s="8">
        <v>51620</v>
      </c>
      <c r="D465" s="9">
        <v>552685820</v>
      </c>
      <c r="E465" s="57">
        <v>840</v>
      </c>
      <c r="F465" s="10" t="s">
        <v>437</v>
      </c>
      <c r="G465" s="9">
        <v>0</v>
      </c>
      <c r="H465" s="9">
        <f t="shared" si="18"/>
        <v>0</v>
      </c>
      <c r="I465" s="11">
        <f t="shared" ca="1" si="19"/>
        <v>46120</v>
      </c>
      <c r="J465" s="11">
        <f t="shared" ca="1" si="12"/>
        <v>46118</v>
      </c>
      <c r="K465" s="13"/>
    </row>
    <row r="466" spans="1:11" ht="18" x14ac:dyDescent="0.4">
      <c r="A466" s="7" t="s">
        <v>0</v>
      </c>
      <c r="B466" s="7" t="s">
        <v>434</v>
      </c>
      <c r="C466" s="8">
        <v>51620</v>
      </c>
      <c r="D466" s="9">
        <v>552820620</v>
      </c>
      <c r="E466" s="57">
        <v>840</v>
      </c>
      <c r="F466" s="10" t="s">
        <v>435</v>
      </c>
      <c r="G466" s="9">
        <v>0</v>
      </c>
      <c r="H466" s="9">
        <f t="shared" si="18"/>
        <v>0</v>
      </c>
      <c r="I466" s="11">
        <f t="shared" ca="1" si="19"/>
        <v>46120</v>
      </c>
      <c r="J466" s="11">
        <f t="shared" ca="1" si="12"/>
        <v>46118</v>
      </c>
      <c r="K466" s="13"/>
    </row>
    <row r="467" spans="1:11" ht="18" x14ac:dyDescent="0.4">
      <c r="A467" s="7" t="s">
        <v>0</v>
      </c>
      <c r="B467" s="7" t="s">
        <v>434</v>
      </c>
      <c r="C467" s="8">
        <v>51620</v>
      </c>
      <c r="D467" s="9">
        <v>552820640</v>
      </c>
      <c r="E467" s="57">
        <v>1440</v>
      </c>
      <c r="F467" s="10" t="s">
        <v>436</v>
      </c>
      <c r="G467" s="9">
        <v>0</v>
      </c>
      <c r="H467" s="9">
        <f t="shared" si="18"/>
        <v>0</v>
      </c>
      <c r="I467" s="11">
        <f t="shared" ca="1" si="19"/>
        <v>46120</v>
      </c>
      <c r="J467" s="11">
        <f t="shared" ca="1" si="12"/>
        <v>46118</v>
      </c>
      <c r="K467" s="13"/>
    </row>
    <row r="468" spans="1:11" ht="18" x14ac:dyDescent="0.4">
      <c r="A468" s="7" t="s">
        <v>0</v>
      </c>
      <c r="B468" s="7" t="s">
        <v>434</v>
      </c>
      <c r="C468" s="8">
        <v>51620</v>
      </c>
      <c r="D468" s="9">
        <v>552820660</v>
      </c>
      <c r="E468" s="57">
        <v>840</v>
      </c>
      <c r="F468" s="37" t="s">
        <v>437</v>
      </c>
      <c r="G468" s="9">
        <v>0</v>
      </c>
      <c r="H468" s="9">
        <f t="shared" si="18"/>
        <v>0</v>
      </c>
      <c r="I468" s="11">
        <f ca="1">I466</f>
        <v>46120</v>
      </c>
      <c r="J468" s="11">
        <f t="shared" ca="1" si="12"/>
        <v>46118</v>
      </c>
      <c r="K468" s="13"/>
    </row>
    <row r="469" spans="1:11" ht="18" x14ac:dyDescent="0.4">
      <c r="A469" s="7" t="s">
        <v>0</v>
      </c>
      <c r="B469" s="7" t="s">
        <v>434</v>
      </c>
      <c r="C469" s="8">
        <v>51620</v>
      </c>
      <c r="D469" s="9">
        <v>552685720</v>
      </c>
      <c r="E469" s="57">
        <v>4000</v>
      </c>
      <c r="F469" s="10" t="s">
        <v>438</v>
      </c>
      <c r="G469" s="9">
        <v>40000</v>
      </c>
      <c r="H469" s="9">
        <f t="shared" si="18"/>
        <v>10</v>
      </c>
      <c r="I469" s="11">
        <f t="shared" ca="1" si="19"/>
        <v>46120</v>
      </c>
      <c r="J469" s="11">
        <f t="shared" ca="1" si="12"/>
        <v>46118</v>
      </c>
      <c r="K469" s="13"/>
    </row>
    <row r="470" spans="1:11" ht="18" x14ac:dyDescent="0.4">
      <c r="A470" s="7" t="s">
        <v>0</v>
      </c>
      <c r="B470" s="7" t="s">
        <v>439</v>
      </c>
      <c r="C470" s="8">
        <v>40840</v>
      </c>
      <c r="D470" s="9">
        <v>552731550</v>
      </c>
      <c r="E470" s="57">
        <v>1000</v>
      </c>
      <c r="F470" s="10" t="s">
        <v>440</v>
      </c>
      <c r="G470" s="9">
        <v>21000</v>
      </c>
      <c r="H470" s="9">
        <f t="shared" si="18"/>
        <v>21</v>
      </c>
      <c r="I470" s="11">
        <f t="shared" ca="1" si="19"/>
        <v>46120</v>
      </c>
      <c r="J470" s="11">
        <f t="shared" ca="1" si="12"/>
        <v>46118</v>
      </c>
      <c r="K470" s="13"/>
    </row>
    <row r="471" spans="1:11" ht="18" x14ac:dyDescent="0.4">
      <c r="A471" s="7" t="s">
        <v>0</v>
      </c>
      <c r="B471" s="7" t="s">
        <v>439</v>
      </c>
      <c r="C471" s="8">
        <v>40840</v>
      </c>
      <c r="D471" s="9">
        <v>552716380</v>
      </c>
      <c r="E471" s="57">
        <v>500</v>
      </c>
      <c r="F471" s="10" t="s">
        <v>441</v>
      </c>
      <c r="G471" s="9">
        <v>67000</v>
      </c>
      <c r="H471" s="9">
        <f t="shared" si="18"/>
        <v>134</v>
      </c>
      <c r="I471" s="11">
        <f t="shared" ca="1" si="19"/>
        <v>46120</v>
      </c>
      <c r="J471" s="11">
        <f t="shared" ca="1" si="12"/>
        <v>46118</v>
      </c>
      <c r="K471" s="13"/>
    </row>
    <row r="472" spans="1:11" ht="18" x14ac:dyDescent="0.4">
      <c r="A472" s="7" t="s">
        <v>0</v>
      </c>
      <c r="B472" s="7" t="s">
        <v>439</v>
      </c>
      <c r="C472" s="8">
        <v>40840</v>
      </c>
      <c r="D472" s="9">
        <v>552679610</v>
      </c>
      <c r="E472" s="57">
        <v>100</v>
      </c>
      <c r="F472" s="10" t="s">
        <v>442</v>
      </c>
      <c r="G472" s="9">
        <v>8500</v>
      </c>
      <c r="H472" s="9">
        <f t="shared" si="18"/>
        <v>85</v>
      </c>
      <c r="I472" s="11">
        <f t="shared" ca="1" si="19"/>
        <v>46120</v>
      </c>
      <c r="J472" s="11">
        <f t="shared" ca="1" si="12"/>
        <v>46118</v>
      </c>
      <c r="K472" s="13"/>
    </row>
    <row r="473" spans="1:11" ht="18" x14ac:dyDescent="0.4">
      <c r="A473" s="7" t="s">
        <v>0</v>
      </c>
      <c r="B473" s="7" t="s">
        <v>439</v>
      </c>
      <c r="C473" s="8">
        <v>40840</v>
      </c>
      <c r="D473" s="9">
        <v>187503240</v>
      </c>
      <c r="E473" s="57">
        <v>1000</v>
      </c>
      <c r="F473" s="10" t="s">
        <v>443</v>
      </c>
      <c r="G473" s="9">
        <v>140000</v>
      </c>
      <c r="H473" s="9">
        <f t="shared" si="18"/>
        <v>140</v>
      </c>
      <c r="I473" s="11">
        <f t="shared" ca="1" si="19"/>
        <v>46120</v>
      </c>
      <c r="J473" s="11">
        <f t="shared" ca="1" si="12"/>
        <v>46118</v>
      </c>
      <c r="K473" s="13"/>
    </row>
    <row r="474" spans="1:11" ht="18" x14ac:dyDescent="0.4">
      <c r="A474" s="7" t="s">
        <v>0</v>
      </c>
      <c r="B474" s="7" t="s">
        <v>439</v>
      </c>
      <c r="C474" s="8">
        <v>40840</v>
      </c>
      <c r="D474" s="9">
        <v>162859210</v>
      </c>
      <c r="E474" s="57">
        <v>1000</v>
      </c>
      <c r="F474" s="10" t="s">
        <v>444</v>
      </c>
      <c r="G474" s="9">
        <v>32000</v>
      </c>
      <c r="H474" s="9">
        <f t="shared" si="18"/>
        <v>32</v>
      </c>
      <c r="I474" s="11">
        <f t="shared" ca="1" si="19"/>
        <v>46120</v>
      </c>
      <c r="J474" s="11">
        <f t="shared" ca="1" si="12"/>
        <v>46118</v>
      </c>
      <c r="K474" s="13"/>
    </row>
    <row r="475" spans="1:11" ht="18" x14ac:dyDescent="0.4">
      <c r="A475" s="7" t="s">
        <v>0</v>
      </c>
      <c r="B475" s="7" t="s">
        <v>439</v>
      </c>
      <c r="C475" s="8">
        <v>40840</v>
      </c>
      <c r="D475" s="9">
        <v>114843240</v>
      </c>
      <c r="E475" s="57">
        <v>1000</v>
      </c>
      <c r="F475" s="10" t="s">
        <v>445</v>
      </c>
      <c r="G475" s="9">
        <v>8000</v>
      </c>
      <c r="H475" s="9">
        <f t="shared" si="18"/>
        <v>8</v>
      </c>
      <c r="I475" s="11">
        <f t="shared" ca="1" si="19"/>
        <v>46120</v>
      </c>
      <c r="J475" s="11">
        <f t="shared" ca="1" si="12"/>
        <v>46118</v>
      </c>
      <c r="K475" s="13"/>
    </row>
    <row r="476" spans="1:11" ht="18" x14ac:dyDescent="0.4">
      <c r="A476" s="7" t="s">
        <v>0</v>
      </c>
      <c r="B476" s="7" t="s">
        <v>446</v>
      </c>
      <c r="C476" s="8">
        <v>50111</v>
      </c>
      <c r="D476" s="9">
        <v>552679380</v>
      </c>
      <c r="E476" s="57">
        <v>5600</v>
      </c>
      <c r="F476" s="10" t="s">
        <v>447</v>
      </c>
      <c r="G476" s="9">
        <v>11200</v>
      </c>
      <c r="H476" s="9">
        <f t="shared" si="18"/>
        <v>2</v>
      </c>
      <c r="I476" s="11">
        <f t="shared" ca="1" si="19"/>
        <v>46120</v>
      </c>
      <c r="J476" s="11">
        <f t="shared" ca="1" si="12"/>
        <v>46118</v>
      </c>
      <c r="K476" s="13"/>
    </row>
    <row r="477" spans="1:11" ht="18" x14ac:dyDescent="0.4">
      <c r="A477" s="7" t="s">
        <v>0</v>
      </c>
      <c r="B477" s="7" t="s">
        <v>448</v>
      </c>
      <c r="C477" s="8">
        <v>33518</v>
      </c>
      <c r="D477" s="9">
        <v>552681850</v>
      </c>
      <c r="E477" s="57">
        <v>64</v>
      </c>
      <c r="F477" s="10" t="s">
        <v>449</v>
      </c>
      <c r="G477" s="9">
        <v>1280</v>
      </c>
      <c r="H477" s="9">
        <f t="shared" si="18"/>
        <v>20</v>
      </c>
      <c r="I477" s="11">
        <f t="shared" ca="1" si="19"/>
        <v>46120</v>
      </c>
      <c r="J477" s="11">
        <f t="shared" ca="1" si="12"/>
        <v>46118</v>
      </c>
      <c r="K477" s="13"/>
    </row>
    <row r="478" spans="1:11" ht="18" x14ac:dyDescent="0.4">
      <c r="A478" s="7" t="s">
        <v>0</v>
      </c>
      <c r="B478" s="7" t="s">
        <v>448</v>
      </c>
      <c r="C478" s="8">
        <v>33518</v>
      </c>
      <c r="D478" s="9">
        <v>552667970</v>
      </c>
      <c r="E478" s="57">
        <v>96</v>
      </c>
      <c r="F478" s="10" t="s">
        <v>450</v>
      </c>
      <c r="G478" s="9">
        <v>768</v>
      </c>
      <c r="H478" s="9">
        <f t="shared" si="18"/>
        <v>8</v>
      </c>
      <c r="I478" s="11">
        <f t="shared" ca="1" si="19"/>
        <v>46120</v>
      </c>
      <c r="J478" s="11">
        <f t="shared" ca="1" si="12"/>
        <v>46118</v>
      </c>
      <c r="K478" s="13"/>
    </row>
    <row r="479" spans="1:11" ht="18" x14ac:dyDescent="0.4">
      <c r="A479" s="7" t="s">
        <v>0</v>
      </c>
      <c r="B479" s="7" t="s">
        <v>448</v>
      </c>
      <c r="C479" s="8">
        <v>33518</v>
      </c>
      <c r="D479" s="9">
        <v>463411480</v>
      </c>
      <c r="E479" s="57">
        <v>96</v>
      </c>
      <c r="F479" s="10" t="s">
        <v>450</v>
      </c>
      <c r="G479" s="9">
        <v>0</v>
      </c>
      <c r="H479" s="9">
        <f t="shared" si="18"/>
        <v>0</v>
      </c>
      <c r="I479" s="11">
        <f t="shared" ca="1" si="19"/>
        <v>46120</v>
      </c>
      <c r="J479" s="11">
        <f t="shared" ca="1" si="12"/>
        <v>46118</v>
      </c>
      <c r="K479" s="13"/>
    </row>
    <row r="480" spans="1:11" ht="18" x14ac:dyDescent="0.4">
      <c r="A480" s="7" t="s">
        <v>0</v>
      </c>
      <c r="B480" s="7" t="s">
        <v>451</v>
      </c>
      <c r="C480" s="8">
        <v>30467</v>
      </c>
      <c r="D480" s="9">
        <v>552703690</v>
      </c>
      <c r="E480" s="57">
        <v>2000</v>
      </c>
      <c r="F480" s="10" t="s">
        <v>184</v>
      </c>
      <c r="G480" s="9">
        <v>0</v>
      </c>
      <c r="H480" s="9">
        <f t="shared" si="18"/>
        <v>0</v>
      </c>
      <c r="I480" s="11">
        <f t="shared" ca="1" si="19"/>
        <v>46120</v>
      </c>
      <c r="J480" s="11">
        <f t="shared" ca="1" si="12"/>
        <v>46118</v>
      </c>
      <c r="K480" s="13"/>
    </row>
    <row r="481" spans="1:11" ht="18" x14ac:dyDescent="0.4">
      <c r="A481" s="7" t="s">
        <v>0</v>
      </c>
      <c r="B481" s="7" t="s">
        <v>452</v>
      </c>
      <c r="C481" s="8">
        <v>56589</v>
      </c>
      <c r="D481" s="9">
        <v>552681677</v>
      </c>
      <c r="E481" s="57">
        <v>48</v>
      </c>
      <c r="F481" s="10" t="s">
        <v>453</v>
      </c>
      <c r="G481" s="9">
        <v>1344</v>
      </c>
      <c r="H481" s="9">
        <f t="shared" si="18"/>
        <v>28</v>
      </c>
      <c r="I481" s="11">
        <f t="shared" ca="1" si="19"/>
        <v>46120</v>
      </c>
      <c r="J481" s="11">
        <f t="shared" ca="1" si="12"/>
        <v>46118</v>
      </c>
      <c r="K481" s="13"/>
    </row>
    <row r="482" spans="1:11" ht="18" x14ac:dyDescent="0.4">
      <c r="A482" s="7" t="s">
        <v>0</v>
      </c>
      <c r="B482" s="7" t="s">
        <v>452</v>
      </c>
      <c r="C482" s="8">
        <v>56589</v>
      </c>
      <c r="D482" s="9">
        <v>552657037</v>
      </c>
      <c r="E482" s="57">
        <v>48</v>
      </c>
      <c r="F482" s="10" t="s">
        <v>454</v>
      </c>
      <c r="G482" s="9">
        <v>624</v>
      </c>
      <c r="H482" s="9">
        <f t="shared" si="18"/>
        <v>13</v>
      </c>
      <c r="I482" s="11">
        <f t="shared" ca="1" si="19"/>
        <v>46120</v>
      </c>
      <c r="J482" s="11">
        <f t="shared" ca="1" si="12"/>
        <v>46118</v>
      </c>
      <c r="K482" s="13"/>
    </row>
    <row r="483" spans="1:11" ht="18" x14ac:dyDescent="0.4">
      <c r="A483" s="7" t="s">
        <v>0</v>
      </c>
      <c r="B483" s="7" t="s">
        <v>452</v>
      </c>
      <c r="C483" s="8">
        <v>56589</v>
      </c>
      <c r="D483" s="9">
        <v>552681750</v>
      </c>
      <c r="E483" s="57">
        <v>120</v>
      </c>
      <c r="F483" s="10" t="s">
        <v>455</v>
      </c>
      <c r="G483" s="9">
        <v>720</v>
      </c>
      <c r="H483" s="9">
        <f t="shared" si="18"/>
        <v>6</v>
      </c>
      <c r="I483" s="11">
        <f t="shared" ca="1" si="19"/>
        <v>46120</v>
      </c>
      <c r="J483" s="11">
        <f t="shared" ca="1" si="12"/>
        <v>46118</v>
      </c>
      <c r="K483" s="13"/>
    </row>
    <row r="484" spans="1:11" ht="18" x14ac:dyDescent="0.4">
      <c r="A484" s="7" t="s">
        <v>0</v>
      </c>
      <c r="B484" s="7" t="s">
        <v>452</v>
      </c>
      <c r="C484" s="8">
        <v>56589</v>
      </c>
      <c r="D484" s="9">
        <v>552680020</v>
      </c>
      <c r="E484" s="57">
        <v>120</v>
      </c>
      <c r="F484" s="10" t="s">
        <v>456</v>
      </c>
      <c r="G484" s="9">
        <v>240</v>
      </c>
      <c r="H484" s="9">
        <f t="shared" si="18"/>
        <v>2</v>
      </c>
      <c r="I484" s="11">
        <f t="shared" ca="1" si="19"/>
        <v>46120</v>
      </c>
      <c r="J484" s="11">
        <f t="shared" ca="1" si="12"/>
        <v>46118</v>
      </c>
      <c r="K484" s="13"/>
    </row>
    <row r="485" spans="1:11" ht="18" x14ac:dyDescent="0.4">
      <c r="A485" s="7" t="s">
        <v>0</v>
      </c>
      <c r="B485" s="7" t="s">
        <v>457</v>
      </c>
      <c r="C485" s="8">
        <v>35657</v>
      </c>
      <c r="D485" s="9">
        <v>552677430</v>
      </c>
      <c r="E485" s="57">
        <v>6000</v>
      </c>
      <c r="F485" s="10" t="s">
        <v>243</v>
      </c>
      <c r="G485" s="9">
        <v>6000</v>
      </c>
      <c r="H485" s="9">
        <f t="shared" si="18"/>
        <v>1</v>
      </c>
      <c r="I485" s="11">
        <f t="shared" ca="1" si="19"/>
        <v>46120</v>
      </c>
      <c r="J485" s="11">
        <f t="shared" ca="1" si="12"/>
        <v>46118</v>
      </c>
      <c r="K485" s="13"/>
    </row>
    <row r="486" spans="1:11" ht="18" x14ac:dyDescent="0.4">
      <c r="A486" s="7" t="s">
        <v>0</v>
      </c>
      <c r="B486" s="7" t="s">
        <v>458</v>
      </c>
      <c r="C486" s="8">
        <v>68265</v>
      </c>
      <c r="D486" s="9">
        <v>463375350</v>
      </c>
      <c r="E486" s="57">
        <v>7200</v>
      </c>
      <c r="F486" s="10" t="s">
        <v>459</v>
      </c>
      <c r="G486" s="9">
        <v>21600</v>
      </c>
      <c r="H486" s="9">
        <f t="shared" si="18"/>
        <v>3</v>
      </c>
      <c r="I486" s="11">
        <f t="shared" ca="1" si="19"/>
        <v>46120</v>
      </c>
      <c r="J486" s="11">
        <f t="shared" ca="1" si="12"/>
        <v>46118</v>
      </c>
      <c r="K486" s="13"/>
    </row>
    <row r="487" spans="1:11" ht="18" x14ac:dyDescent="0.4">
      <c r="A487" s="7" t="s">
        <v>0</v>
      </c>
      <c r="B487" s="7" t="s">
        <v>458</v>
      </c>
      <c r="C487" s="8">
        <v>68265</v>
      </c>
      <c r="D487" s="9">
        <v>552679420</v>
      </c>
      <c r="E487" s="57">
        <v>3360</v>
      </c>
      <c r="F487" s="10" t="s">
        <v>460</v>
      </c>
      <c r="G487" s="9">
        <v>16800</v>
      </c>
      <c r="H487" s="9">
        <f t="shared" si="18"/>
        <v>5</v>
      </c>
      <c r="I487" s="11">
        <f t="shared" ca="1" si="19"/>
        <v>46120</v>
      </c>
      <c r="J487" s="11">
        <f t="shared" ca="1" si="12"/>
        <v>46118</v>
      </c>
      <c r="K487" s="13"/>
    </row>
    <row r="488" spans="1:11" ht="18" x14ac:dyDescent="0.4">
      <c r="A488" s="7" t="s">
        <v>0</v>
      </c>
      <c r="B488" s="7" t="s">
        <v>458</v>
      </c>
      <c r="C488" s="8">
        <v>68265</v>
      </c>
      <c r="D488" s="9">
        <v>463541260</v>
      </c>
      <c r="E488" s="57">
        <v>120</v>
      </c>
      <c r="F488" s="10" t="s">
        <v>461</v>
      </c>
      <c r="G488" s="9">
        <v>720</v>
      </c>
      <c r="H488" s="9">
        <f t="shared" si="18"/>
        <v>6</v>
      </c>
      <c r="I488" s="11">
        <f t="shared" ca="1" si="19"/>
        <v>46120</v>
      </c>
      <c r="J488" s="11">
        <f t="shared" ca="1" si="12"/>
        <v>46118</v>
      </c>
      <c r="K488" s="13"/>
    </row>
    <row r="489" spans="1:11" ht="18" x14ac:dyDescent="0.4">
      <c r="A489" s="7" t="s">
        <v>0</v>
      </c>
      <c r="B489" s="7" t="s">
        <v>458</v>
      </c>
      <c r="C489" s="8">
        <v>68265</v>
      </c>
      <c r="D489" s="9">
        <v>463541240</v>
      </c>
      <c r="E489" s="57">
        <v>120</v>
      </c>
      <c r="F489" s="10" t="s">
        <v>462</v>
      </c>
      <c r="G489" s="9">
        <v>1200</v>
      </c>
      <c r="H489" s="9">
        <f t="shared" si="18"/>
        <v>10</v>
      </c>
      <c r="I489" s="11">
        <f t="shared" ca="1" si="19"/>
        <v>46120</v>
      </c>
      <c r="J489" s="11">
        <f t="shared" ca="1" si="12"/>
        <v>46118</v>
      </c>
      <c r="K489" s="13"/>
    </row>
    <row r="490" spans="1:11" ht="21" customHeight="1" x14ac:dyDescent="0.4">
      <c r="A490" s="7" t="s">
        <v>0</v>
      </c>
      <c r="B490" s="7" t="s">
        <v>463</v>
      </c>
      <c r="C490" s="8">
        <v>1020</v>
      </c>
      <c r="D490" s="9">
        <v>552732717</v>
      </c>
      <c r="E490" s="57">
        <v>30</v>
      </c>
      <c r="F490" s="10" t="s">
        <v>464</v>
      </c>
      <c r="G490" s="9">
        <v>900</v>
      </c>
      <c r="H490" s="9">
        <f t="shared" si="18"/>
        <v>30</v>
      </c>
      <c r="I490" s="11">
        <f t="shared" ca="1" si="19"/>
        <v>46120</v>
      </c>
      <c r="J490" s="11">
        <f t="shared" ca="1" si="12"/>
        <v>46118</v>
      </c>
      <c r="K490" s="13"/>
    </row>
    <row r="491" spans="1:11" ht="18" x14ac:dyDescent="0.4">
      <c r="A491" s="7" t="s">
        <v>0</v>
      </c>
      <c r="B491" s="7" t="s">
        <v>463</v>
      </c>
      <c r="C491" s="8">
        <v>1020</v>
      </c>
      <c r="D491" s="9">
        <v>552732747</v>
      </c>
      <c r="E491" s="57">
        <v>30</v>
      </c>
      <c r="F491" s="10" t="s">
        <v>465</v>
      </c>
      <c r="G491" s="9">
        <v>1800</v>
      </c>
      <c r="H491" s="9">
        <f t="shared" si="18"/>
        <v>60</v>
      </c>
      <c r="I491" s="11">
        <f t="shared" ca="1" si="19"/>
        <v>46120</v>
      </c>
      <c r="J491" s="11">
        <f t="shared" ca="1" si="12"/>
        <v>46118</v>
      </c>
      <c r="K491" s="13"/>
    </row>
    <row r="492" spans="1:11" ht="18" x14ac:dyDescent="0.4">
      <c r="A492" s="7" t="s">
        <v>0</v>
      </c>
      <c r="B492" s="7" t="s">
        <v>463</v>
      </c>
      <c r="C492" s="8">
        <v>1020</v>
      </c>
      <c r="D492" s="9">
        <v>552821208</v>
      </c>
      <c r="E492" s="57">
        <v>24</v>
      </c>
      <c r="F492" s="10" t="s">
        <v>466</v>
      </c>
      <c r="G492" s="9">
        <v>0</v>
      </c>
      <c r="H492" s="9">
        <f t="shared" si="18"/>
        <v>0</v>
      </c>
      <c r="I492" s="11">
        <f t="shared" ca="1" si="19"/>
        <v>46120</v>
      </c>
      <c r="J492" s="11">
        <f t="shared" ca="1" si="12"/>
        <v>46118</v>
      </c>
      <c r="K492" s="13"/>
    </row>
    <row r="493" spans="1:11" ht="18" x14ac:dyDescent="0.4">
      <c r="A493" s="7" t="s">
        <v>0</v>
      </c>
      <c r="B493" s="7" t="s">
        <v>463</v>
      </c>
      <c r="C493" s="8">
        <v>1020</v>
      </c>
      <c r="D493" s="9">
        <v>463404768</v>
      </c>
      <c r="E493" s="57">
        <v>24</v>
      </c>
      <c r="F493" s="10" t="s">
        <v>466</v>
      </c>
      <c r="G493" s="9">
        <v>0</v>
      </c>
      <c r="H493" s="9">
        <f t="shared" si="18"/>
        <v>0</v>
      </c>
      <c r="I493" s="11">
        <f t="shared" ca="1" si="19"/>
        <v>46120</v>
      </c>
      <c r="J493" s="11">
        <f t="shared" ca="1" si="12"/>
        <v>46118</v>
      </c>
      <c r="K493" s="13"/>
    </row>
    <row r="494" spans="1:11" ht="18" x14ac:dyDescent="0.4">
      <c r="A494" s="7" t="s">
        <v>0</v>
      </c>
      <c r="B494" s="7" t="s">
        <v>463</v>
      </c>
      <c r="C494" s="8">
        <v>1020</v>
      </c>
      <c r="D494" s="9">
        <v>552821178</v>
      </c>
      <c r="E494" s="57">
        <v>24</v>
      </c>
      <c r="F494" s="10" t="s">
        <v>467</v>
      </c>
      <c r="G494" s="9">
        <v>0</v>
      </c>
      <c r="H494" s="9">
        <f t="shared" si="18"/>
        <v>0</v>
      </c>
      <c r="I494" s="11">
        <f t="shared" ca="1" si="19"/>
        <v>46120</v>
      </c>
      <c r="J494" s="11">
        <f t="shared" ca="1" si="12"/>
        <v>46118</v>
      </c>
      <c r="K494" s="13"/>
    </row>
    <row r="495" spans="1:11" ht="18" x14ac:dyDescent="0.4">
      <c r="A495" s="7" t="s">
        <v>0</v>
      </c>
      <c r="B495" s="7" t="s">
        <v>95</v>
      </c>
      <c r="C495" s="8">
        <v>45150</v>
      </c>
      <c r="D495" s="9">
        <v>552681821</v>
      </c>
      <c r="E495" s="57">
        <v>40</v>
      </c>
      <c r="F495" s="37" t="s">
        <v>468</v>
      </c>
      <c r="G495" s="9">
        <v>800</v>
      </c>
      <c r="H495" s="9">
        <f t="shared" si="18"/>
        <v>20</v>
      </c>
      <c r="I495" s="11">
        <f t="shared" ca="1" si="19"/>
        <v>46120</v>
      </c>
      <c r="J495" s="11">
        <f t="shared" ca="1" si="12"/>
        <v>46118</v>
      </c>
      <c r="K495" s="13"/>
    </row>
    <row r="496" spans="1:11" ht="18" x14ac:dyDescent="0.4">
      <c r="A496" s="7" t="s">
        <v>0</v>
      </c>
      <c r="B496" s="7" t="s">
        <v>95</v>
      </c>
      <c r="C496" s="8">
        <v>45150</v>
      </c>
      <c r="D496" s="9">
        <v>552677041</v>
      </c>
      <c r="E496" s="57">
        <v>40</v>
      </c>
      <c r="F496" s="10" t="s">
        <v>469</v>
      </c>
      <c r="G496" s="9">
        <v>800</v>
      </c>
      <c r="H496" s="9">
        <f t="shared" si="18"/>
        <v>20</v>
      </c>
      <c r="I496" s="11">
        <f t="shared" ca="1" si="19"/>
        <v>46120</v>
      </c>
      <c r="J496" s="11">
        <f t="shared" ca="1" si="12"/>
        <v>46118</v>
      </c>
      <c r="K496" s="13"/>
    </row>
    <row r="497" spans="1:11" ht="18" x14ac:dyDescent="0.4">
      <c r="A497" s="7" t="s">
        <v>0</v>
      </c>
      <c r="B497" s="7" t="s">
        <v>470</v>
      </c>
      <c r="C497" s="8">
        <v>21796</v>
      </c>
      <c r="D497" s="9">
        <v>552808040</v>
      </c>
      <c r="E497" s="57">
        <v>1920</v>
      </c>
      <c r="F497" s="10" t="s">
        <v>154</v>
      </c>
      <c r="G497" s="9">
        <v>5760</v>
      </c>
      <c r="H497" s="9">
        <f t="shared" ref="H497:H560" si="20">G497/E497</f>
        <v>3</v>
      </c>
      <c r="I497" s="11">
        <f t="shared" ca="1" si="19"/>
        <v>46120</v>
      </c>
      <c r="J497" s="11">
        <f t="shared" ca="1" si="12"/>
        <v>46118</v>
      </c>
      <c r="K497" s="13"/>
    </row>
    <row r="498" spans="1:11" ht="18" x14ac:dyDescent="0.4">
      <c r="A498" s="7" t="s">
        <v>0</v>
      </c>
      <c r="B498" s="7" t="s">
        <v>471</v>
      </c>
      <c r="C498" s="8">
        <v>42932</v>
      </c>
      <c r="D498" s="9">
        <v>463404510</v>
      </c>
      <c r="E498" s="57">
        <v>60</v>
      </c>
      <c r="F498" s="10" t="s">
        <v>155</v>
      </c>
      <c r="G498" s="9">
        <v>360</v>
      </c>
      <c r="H498" s="9">
        <f t="shared" si="20"/>
        <v>6</v>
      </c>
      <c r="I498" s="11">
        <f t="shared" ca="1" si="19"/>
        <v>46120</v>
      </c>
      <c r="J498" s="11">
        <f t="shared" ca="1" si="12"/>
        <v>46118</v>
      </c>
      <c r="K498" s="13"/>
    </row>
    <row r="499" spans="1:11" ht="18" x14ac:dyDescent="0.4">
      <c r="A499" s="7" t="s">
        <v>0</v>
      </c>
      <c r="B499" s="7" t="s">
        <v>471</v>
      </c>
      <c r="C499" s="8">
        <v>42932</v>
      </c>
      <c r="D499" s="9">
        <v>463404780</v>
      </c>
      <c r="E499" s="57">
        <v>60</v>
      </c>
      <c r="F499" s="10" t="s">
        <v>155</v>
      </c>
      <c r="G499" s="9">
        <v>1320</v>
      </c>
      <c r="H499" s="9">
        <f t="shared" si="20"/>
        <v>22</v>
      </c>
      <c r="I499" s="11">
        <f t="shared" ca="1" si="19"/>
        <v>46120</v>
      </c>
      <c r="J499" s="11">
        <f t="shared" ca="1" si="12"/>
        <v>46118</v>
      </c>
      <c r="K499" s="13"/>
    </row>
    <row r="500" spans="1:11" ht="18" x14ac:dyDescent="0.4">
      <c r="A500" s="7" t="s">
        <v>0</v>
      </c>
      <c r="B500" s="7" t="s">
        <v>472</v>
      </c>
      <c r="C500" s="8">
        <v>41469</v>
      </c>
      <c r="D500" s="9">
        <v>463462830</v>
      </c>
      <c r="E500" s="57">
        <v>30</v>
      </c>
      <c r="F500" s="10" t="s">
        <v>428</v>
      </c>
      <c r="G500" s="9">
        <v>1290</v>
      </c>
      <c r="H500" s="9">
        <f t="shared" si="20"/>
        <v>43</v>
      </c>
      <c r="I500" s="11">
        <f t="shared" ca="1" si="19"/>
        <v>46120</v>
      </c>
      <c r="J500" s="11">
        <f t="shared" ca="1" si="12"/>
        <v>46118</v>
      </c>
      <c r="K500" s="12"/>
    </row>
    <row r="501" spans="1:11" ht="18" x14ac:dyDescent="0.4">
      <c r="A501" s="43" t="s">
        <v>0</v>
      </c>
      <c r="B501" s="43" t="s">
        <v>473</v>
      </c>
      <c r="C501" s="44">
        <v>31775</v>
      </c>
      <c r="D501" s="45">
        <v>463530880</v>
      </c>
      <c r="E501" s="65">
        <v>30</v>
      </c>
      <c r="F501" s="46" t="s">
        <v>474</v>
      </c>
      <c r="G501" s="45">
        <v>0</v>
      </c>
      <c r="H501" s="45">
        <f t="shared" si="20"/>
        <v>0</v>
      </c>
      <c r="I501" s="11">
        <f t="shared" ca="1" si="19"/>
        <v>46120</v>
      </c>
      <c r="J501" s="47">
        <f t="shared" ca="1" si="12"/>
        <v>46118</v>
      </c>
      <c r="K501" s="48"/>
    </row>
    <row r="502" spans="1:11" ht="18" x14ac:dyDescent="0.4">
      <c r="A502" s="7" t="s">
        <v>475</v>
      </c>
      <c r="B502" s="16" t="s">
        <v>451</v>
      </c>
      <c r="C502" s="8">
        <v>30460</v>
      </c>
      <c r="D502" s="9">
        <v>463557158</v>
      </c>
      <c r="E502" s="57">
        <v>672</v>
      </c>
      <c r="F502" s="10" t="s">
        <v>476</v>
      </c>
      <c r="G502" s="9">
        <f>VLOOKUP(D502,[1]PEDIDO!$B$4:$E$99,4,0)</f>
        <v>1344</v>
      </c>
      <c r="H502" s="9">
        <f t="shared" si="20"/>
        <v>2</v>
      </c>
      <c r="I502" s="11">
        <f ca="1">I501</f>
        <v>46120</v>
      </c>
      <c r="J502" s="11">
        <f t="shared" ca="1" si="12"/>
        <v>46118</v>
      </c>
      <c r="K502" s="8"/>
    </row>
    <row r="503" spans="1:11" ht="18" x14ac:dyDescent="0.4">
      <c r="A503" s="7" t="s">
        <v>475</v>
      </c>
      <c r="B503" s="16" t="s">
        <v>451</v>
      </c>
      <c r="C503" s="8">
        <v>30460</v>
      </c>
      <c r="D503" s="9">
        <v>463557148</v>
      </c>
      <c r="E503" s="57">
        <v>672</v>
      </c>
      <c r="F503" s="10" t="s">
        <v>477</v>
      </c>
      <c r="G503" s="9">
        <v>0</v>
      </c>
      <c r="H503" s="9">
        <f t="shared" si="20"/>
        <v>0</v>
      </c>
      <c r="I503" s="11">
        <f t="shared" ref="I503:I566" ca="1" si="21">I502</f>
        <v>46120</v>
      </c>
      <c r="J503" s="11">
        <f t="shared" ca="1" si="12"/>
        <v>46118</v>
      </c>
      <c r="K503" s="8"/>
    </row>
    <row r="504" spans="1:11" ht="18" x14ac:dyDescent="0.4">
      <c r="A504" s="7" t="s">
        <v>475</v>
      </c>
      <c r="B504" s="16" t="s">
        <v>451</v>
      </c>
      <c r="C504" s="8">
        <v>30460</v>
      </c>
      <c r="D504" s="9">
        <v>552664537</v>
      </c>
      <c r="E504" s="57">
        <v>792</v>
      </c>
      <c r="F504" s="10" t="s">
        <v>478</v>
      </c>
      <c r="G504" s="9">
        <f>VLOOKUP(D504,[1]PEDIDO!$B$4:$E$99,4,0)</f>
        <v>792</v>
      </c>
      <c r="H504" s="9">
        <f t="shared" si="20"/>
        <v>1</v>
      </c>
      <c r="I504" s="11">
        <f t="shared" ca="1" si="21"/>
        <v>46120</v>
      </c>
      <c r="J504" s="11">
        <f t="shared" ca="1" si="12"/>
        <v>46118</v>
      </c>
      <c r="K504" s="8"/>
    </row>
    <row r="505" spans="1:11" ht="18" x14ac:dyDescent="0.4">
      <c r="A505" s="7" t="s">
        <v>475</v>
      </c>
      <c r="B505" s="16" t="s">
        <v>451</v>
      </c>
      <c r="C505" s="8">
        <v>30460</v>
      </c>
      <c r="D505" s="9">
        <v>552664527</v>
      </c>
      <c r="E505" s="57">
        <v>792</v>
      </c>
      <c r="F505" s="10" t="s">
        <v>479</v>
      </c>
      <c r="G505" s="9">
        <f>VLOOKUP(D505,[1]PEDIDO!$B$4:$E$99,4,0)</f>
        <v>0</v>
      </c>
      <c r="H505" s="9">
        <f t="shared" si="20"/>
        <v>0</v>
      </c>
      <c r="I505" s="11">
        <f t="shared" ca="1" si="21"/>
        <v>46120</v>
      </c>
      <c r="J505" s="11">
        <f t="shared" ca="1" si="12"/>
        <v>46118</v>
      </c>
      <c r="K505" s="8"/>
    </row>
    <row r="506" spans="1:11" ht="18" x14ac:dyDescent="0.4">
      <c r="A506" s="7" t="s">
        <v>475</v>
      </c>
      <c r="B506" s="16" t="s">
        <v>451</v>
      </c>
      <c r="C506" s="8">
        <v>30460</v>
      </c>
      <c r="D506" s="9">
        <v>552664547</v>
      </c>
      <c r="E506" s="57">
        <v>672</v>
      </c>
      <c r="F506" s="10" t="s">
        <v>480</v>
      </c>
      <c r="G506" s="9">
        <f>VLOOKUP(D506,[1]PEDIDO!$B$4:$E$99,4,0)</f>
        <v>1344</v>
      </c>
      <c r="H506" s="9">
        <f t="shared" si="20"/>
        <v>2</v>
      </c>
      <c r="I506" s="11">
        <f t="shared" ca="1" si="21"/>
        <v>46120</v>
      </c>
      <c r="J506" s="11">
        <f t="shared" ca="1" si="12"/>
        <v>46118</v>
      </c>
      <c r="K506" s="8"/>
    </row>
    <row r="507" spans="1:11" ht="18" x14ac:dyDescent="0.4">
      <c r="A507" s="7" t="s">
        <v>475</v>
      </c>
      <c r="B507" s="16" t="s">
        <v>451</v>
      </c>
      <c r="C507" s="8">
        <v>30460</v>
      </c>
      <c r="D507" s="9">
        <v>552664557</v>
      </c>
      <c r="E507" s="57">
        <v>672</v>
      </c>
      <c r="F507" s="10" t="s">
        <v>481</v>
      </c>
      <c r="G507" s="9">
        <f>VLOOKUP(D507,[1]PEDIDO!$B$4:$E$99,4,0)</f>
        <v>0</v>
      </c>
      <c r="H507" s="9">
        <f t="shared" si="20"/>
        <v>0</v>
      </c>
      <c r="I507" s="11">
        <f t="shared" ca="1" si="21"/>
        <v>46120</v>
      </c>
      <c r="J507" s="11">
        <f t="shared" ca="1" si="12"/>
        <v>46118</v>
      </c>
      <c r="K507" s="8"/>
    </row>
    <row r="508" spans="1:11" ht="18" x14ac:dyDescent="0.4">
      <c r="A508" s="7" t="s">
        <v>475</v>
      </c>
      <c r="B508" s="16" t="s">
        <v>451</v>
      </c>
      <c r="C508" s="8">
        <v>30460</v>
      </c>
      <c r="D508" s="9">
        <v>552664567</v>
      </c>
      <c r="E508" s="57">
        <v>756</v>
      </c>
      <c r="F508" s="10" t="s">
        <v>482</v>
      </c>
      <c r="G508" s="9">
        <f>VLOOKUP(D508,[1]PEDIDO!$B$4:$E$99,4,0)</f>
        <v>2268</v>
      </c>
      <c r="H508" s="9">
        <f t="shared" si="20"/>
        <v>3</v>
      </c>
      <c r="I508" s="11">
        <f t="shared" ca="1" si="21"/>
        <v>46120</v>
      </c>
      <c r="J508" s="11">
        <f t="shared" ca="1" si="12"/>
        <v>46118</v>
      </c>
      <c r="K508" s="8"/>
    </row>
    <row r="509" spans="1:11" ht="18" x14ac:dyDescent="0.4">
      <c r="A509" s="7" t="s">
        <v>475</v>
      </c>
      <c r="B509" s="16" t="s">
        <v>451</v>
      </c>
      <c r="C509" s="8">
        <v>30460</v>
      </c>
      <c r="D509" s="9">
        <v>552664577</v>
      </c>
      <c r="E509" s="57">
        <v>756</v>
      </c>
      <c r="F509" s="10" t="s">
        <v>483</v>
      </c>
      <c r="G509" s="9">
        <f>VLOOKUP(D509,[1]PEDIDO!$B$4:$E$99,4,0)</f>
        <v>0</v>
      </c>
      <c r="H509" s="9">
        <f t="shared" si="20"/>
        <v>0</v>
      </c>
      <c r="I509" s="11">
        <f t="shared" ca="1" si="21"/>
        <v>46120</v>
      </c>
      <c r="J509" s="11">
        <f t="shared" ca="1" si="12"/>
        <v>46118</v>
      </c>
      <c r="K509" s="8"/>
    </row>
    <row r="510" spans="1:11" ht="18" x14ac:dyDescent="0.4">
      <c r="A510" s="7" t="s">
        <v>475</v>
      </c>
      <c r="B510" s="16" t="s">
        <v>451</v>
      </c>
      <c r="C510" s="8">
        <v>30460</v>
      </c>
      <c r="D510" s="9">
        <v>463555108</v>
      </c>
      <c r="E510" s="57">
        <v>588</v>
      </c>
      <c r="F510" s="10" t="s">
        <v>484</v>
      </c>
      <c r="G510" s="9">
        <f>VLOOKUP(D510,[1]PEDIDO!$B$4:$E$99,4,0)</f>
        <v>0</v>
      </c>
      <c r="H510" s="9">
        <f t="shared" si="20"/>
        <v>0</v>
      </c>
      <c r="I510" s="11">
        <f t="shared" ca="1" si="21"/>
        <v>46120</v>
      </c>
      <c r="J510" s="11">
        <f t="shared" ca="1" si="12"/>
        <v>46118</v>
      </c>
      <c r="K510" s="8"/>
    </row>
    <row r="511" spans="1:11" ht="18" x14ac:dyDescent="0.4">
      <c r="A511" s="7" t="s">
        <v>475</v>
      </c>
      <c r="B511" s="16" t="s">
        <v>451</v>
      </c>
      <c r="C511" s="8">
        <v>30460</v>
      </c>
      <c r="D511" s="9">
        <v>552086937</v>
      </c>
      <c r="E511" s="57">
        <v>588</v>
      </c>
      <c r="F511" s="10" t="s">
        <v>485</v>
      </c>
      <c r="G511" s="9">
        <f>VLOOKUP(D511,[1]PEDIDO!$B$4:$E$99,4,0)</f>
        <v>0</v>
      </c>
      <c r="H511" s="9">
        <f t="shared" si="20"/>
        <v>0</v>
      </c>
      <c r="I511" s="11">
        <f t="shared" ca="1" si="21"/>
        <v>46120</v>
      </c>
      <c r="J511" s="11">
        <f t="shared" ca="1" si="12"/>
        <v>46118</v>
      </c>
      <c r="K511" s="8"/>
    </row>
    <row r="512" spans="1:11" ht="18" x14ac:dyDescent="0.4">
      <c r="A512" s="7" t="s">
        <v>475</v>
      </c>
      <c r="B512" s="16" t="s">
        <v>451</v>
      </c>
      <c r="C512" s="8">
        <v>30460</v>
      </c>
      <c r="D512" s="9">
        <v>463555088</v>
      </c>
      <c r="E512" s="57">
        <v>588</v>
      </c>
      <c r="F512" s="10" t="s">
        <v>486</v>
      </c>
      <c r="G512" s="9">
        <f>VLOOKUP(D512,[1]PEDIDO!$B$4:$E$99,4,0)</f>
        <v>588</v>
      </c>
      <c r="H512" s="9">
        <f t="shared" si="20"/>
        <v>1</v>
      </c>
      <c r="I512" s="11">
        <f t="shared" ca="1" si="21"/>
        <v>46120</v>
      </c>
      <c r="J512" s="11">
        <f t="shared" ca="1" si="12"/>
        <v>46118</v>
      </c>
      <c r="K512" s="8"/>
    </row>
    <row r="513" spans="1:11" ht="18" x14ac:dyDescent="0.4">
      <c r="A513" s="7" t="s">
        <v>475</v>
      </c>
      <c r="B513" s="16" t="s">
        <v>451</v>
      </c>
      <c r="C513" s="8">
        <v>30460</v>
      </c>
      <c r="D513" s="9">
        <v>552086957</v>
      </c>
      <c r="E513" s="57">
        <v>588</v>
      </c>
      <c r="F513" s="10" t="s">
        <v>487</v>
      </c>
      <c r="G513" s="9">
        <f>VLOOKUP(D513,[1]PEDIDO!$B$4:$E$99,4,0)</f>
        <v>0</v>
      </c>
      <c r="H513" s="9">
        <f t="shared" si="20"/>
        <v>0</v>
      </c>
      <c r="I513" s="11">
        <f t="shared" ca="1" si="21"/>
        <v>46120</v>
      </c>
      <c r="J513" s="11">
        <f t="shared" ca="1" si="12"/>
        <v>46118</v>
      </c>
      <c r="K513" s="8"/>
    </row>
    <row r="514" spans="1:11" ht="18" x14ac:dyDescent="0.4">
      <c r="A514" s="7" t="s">
        <v>475</v>
      </c>
      <c r="B514" s="16" t="s">
        <v>451</v>
      </c>
      <c r="C514" s="8">
        <v>30460</v>
      </c>
      <c r="D514" s="9">
        <v>552724278</v>
      </c>
      <c r="E514" s="57">
        <v>588</v>
      </c>
      <c r="F514" s="10" t="s">
        <v>488</v>
      </c>
      <c r="G514" s="9">
        <f>VLOOKUP(D514,[1]PEDIDO!$B$4:$E$99,4,0)</f>
        <v>1176</v>
      </c>
      <c r="H514" s="9">
        <f t="shared" si="20"/>
        <v>2</v>
      </c>
      <c r="I514" s="11">
        <f t="shared" ca="1" si="21"/>
        <v>46120</v>
      </c>
      <c r="J514" s="11">
        <f t="shared" ref="J514:J581" ca="1" si="22">TODAY()</f>
        <v>46118</v>
      </c>
      <c r="K514" s="8"/>
    </row>
    <row r="515" spans="1:11" ht="18" x14ac:dyDescent="0.4">
      <c r="A515" s="7" t="s">
        <v>475</v>
      </c>
      <c r="B515" s="16" t="s">
        <v>451</v>
      </c>
      <c r="C515" s="8">
        <v>30460</v>
      </c>
      <c r="D515" s="9">
        <v>552086967</v>
      </c>
      <c r="E515" s="57">
        <v>294</v>
      </c>
      <c r="F515" s="10" t="s">
        <v>489</v>
      </c>
      <c r="G515" s="9">
        <f>VLOOKUP(D515,[1]PEDIDO!$B$4:$E$99,4,0)</f>
        <v>0</v>
      </c>
      <c r="H515" s="9">
        <f t="shared" si="20"/>
        <v>0</v>
      </c>
      <c r="I515" s="11">
        <f t="shared" ca="1" si="21"/>
        <v>46120</v>
      </c>
      <c r="J515" s="11">
        <f t="shared" ca="1" si="22"/>
        <v>46118</v>
      </c>
      <c r="K515" s="8"/>
    </row>
    <row r="516" spans="1:11" ht="18" x14ac:dyDescent="0.4">
      <c r="A516" s="7" t="s">
        <v>475</v>
      </c>
      <c r="B516" s="16" t="s">
        <v>451</v>
      </c>
      <c r="C516" s="8">
        <v>30460</v>
      </c>
      <c r="D516" s="9">
        <v>552086977</v>
      </c>
      <c r="E516" s="57">
        <v>294</v>
      </c>
      <c r="F516" s="10" t="s">
        <v>490</v>
      </c>
      <c r="G516" s="9">
        <f>VLOOKUP(D516,[1]PEDIDO!$B$4:$E$99,4,0)</f>
        <v>0</v>
      </c>
      <c r="H516" s="9">
        <f t="shared" si="20"/>
        <v>0</v>
      </c>
      <c r="I516" s="11">
        <f t="shared" ca="1" si="21"/>
        <v>46120</v>
      </c>
      <c r="J516" s="11">
        <f t="shared" ca="1" si="22"/>
        <v>46118</v>
      </c>
      <c r="K516" s="8"/>
    </row>
    <row r="517" spans="1:11" ht="18" x14ac:dyDescent="0.4">
      <c r="A517" s="7" t="s">
        <v>475</v>
      </c>
      <c r="B517" s="16" t="s">
        <v>451</v>
      </c>
      <c r="C517" s="8">
        <v>30460</v>
      </c>
      <c r="D517" s="9">
        <v>77579477</v>
      </c>
      <c r="E517" s="57">
        <v>294</v>
      </c>
      <c r="F517" s="10" t="s">
        <v>491</v>
      </c>
      <c r="G517" s="9">
        <f>VLOOKUP(D517,[1]PEDIDO!$B$4:$E$99,4,0)</f>
        <v>0</v>
      </c>
      <c r="H517" s="9">
        <f t="shared" si="20"/>
        <v>0</v>
      </c>
      <c r="I517" s="11">
        <f t="shared" ca="1" si="21"/>
        <v>46120</v>
      </c>
      <c r="J517" s="11">
        <f t="shared" ca="1" si="22"/>
        <v>46118</v>
      </c>
      <c r="K517" s="8"/>
    </row>
    <row r="518" spans="1:11" ht="18" x14ac:dyDescent="0.4">
      <c r="A518" s="7" t="s">
        <v>475</v>
      </c>
      <c r="B518" s="16" t="s">
        <v>451</v>
      </c>
      <c r="C518" s="8">
        <v>30460</v>
      </c>
      <c r="D518" s="9">
        <v>552698778</v>
      </c>
      <c r="E518" s="57">
        <v>672</v>
      </c>
      <c r="F518" s="10" t="s">
        <v>492</v>
      </c>
      <c r="G518" s="9">
        <f>VLOOKUP(D518,[1]PEDIDO!$B$4:$E$99,4,0)</f>
        <v>0</v>
      </c>
      <c r="H518" s="9">
        <f t="shared" si="20"/>
        <v>0</v>
      </c>
      <c r="I518" s="11">
        <f t="shared" ca="1" si="21"/>
        <v>46120</v>
      </c>
      <c r="J518" s="11">
        <f t="shared" ca="1" si="22"/>
        <v>46118</v>
      </c>
      <c r="K518" s="8"/>
    </row>
    <row r="519" spans="1:11" ht="18" x14ac:dyDescent="0.4">
      <c r="A519" s="7" t="s">
        <v>475</v>
      </c>
      <c r="B519" s="16" t="s">
        <v>451</v>
      </c>
      <c r="C519" s="8">
        <v>30460</v>
      </c>
      <c r="D519" s="9">
        <v>552698768</v>
      </c>
      <c r="E519" s="57">
        <v>672</v>
      </c>
      <c r="F519" s="10" t="s">
        <v>493</v>
      </c>
      <c r="G519" s="9">
        <f>VLOOKUP(D519,[1]PEDIDO!$B$4:$E$99,4,0)</f>
        <v>0</v>
      </c>
      <c r="H519" s="9">
        <f t="shared" si="20"/>
        <v>0</v>
      </c>
      <c r="I519" s="11">
        <f t="shared" ca="1" si="21"/>
        <v>46120</v>
      </c>
      <c r="J519" s="11">
        <f t="shared" ca="1" si="22"/>
        <v>46118</v>
      </c>
      <c r="K519" s="8"/>
    </row>
    <row r="520" spans="1:11" ht="18" x14ac:dyDescent="0.4">
      <c r="A520" s="7" t="s">
        <v>475</v>
      </c>
      <c r="B520" s="16" t="s">
        <v>451</v>
      </c>
      <c r="C520" s="8">
        <v>30460</v>
      </c>
      <c r="D520" s="9">
        <v>552698758</v>
      </c>
      <c r="E520" s="57">
        <v>672</v>
      </c>
      <c r="F520" s="10" t="s">
        <v>494</v>
      </c>
      <c r="G520" s="9">
        <f>VLOOKUP(D520,[1]PEDIDO!$B$4:$E$99,4,0)</f>
        <v>0</v>
      </c>
      <c r="H520" s="9">
        <f t="shared" si="20"/>
        <v>0</v>
      </c>
      <c r="I520" s="11">
        <f t="shared" ca="1" si="21"/>
        <v>46120</v>
      </c>
      <c r="J520" s="11">
        <f t="shared" ca="1" si="22"/>
        <v>46118</v>
      </c>
      <c r="K520" s="8"/>
    </row>
    <row r="521" spans="1:11" ht="18" x14ac:dyDescent="0.4">
      <c r="A521" s="7" t="s">
        <v>475</v>
      </c>
      <c r="B521" s="16" t="s">
        <v>451</v>
      </c>
      <c r="C521" s="8">
        <v>30460</v>
      </c>
      <c r="D521" s="9">
        <v>552698748</v>
      </c>
      <c r="E521" s="57">
        <v>672</v>
      </c>
      <c r="F521" s="10" t="s">
        <v>495</v>
      </c>
      <c r="G521" s="9">
        <f>VLOOKUP(D521,[1]PEDIDO!$B$4:$E$99,4,0)</f>
        <v>672</v>
      </c>
      <c r="H521" s="9">
        <f t="shared" si="20"/>
        <v>1</v>
      </c>
      <c r="I521" s="11">
        <f t="shared" ca="1" si="21"/>
        <v>46120</v>
      </c>
      <c r="J521" s="11">
        <f t="shared" ca="1" si="22"/>
        <v>46118</v>
      </c>
      <c r="K521" s="8"/>
    </row>
    <row r="522" spans="1:11" ht="18" x14ac:dyDescent="0.4">
      <c r="A522" s="7" t="s">
        <v>475</v>
      </c>
      <c r="B522" s="16" t="s">
        <v>451</v>
      </c>
      <c r="C522" s="8">
        <v>30460</v>
      </c>
      <c r="D522" s="9">
        <v>552724288</v>
      </c>
      <c r="E522" s="57">
        <v>672</v>
      </c>
      <c r="F522" s="10" t="s">
        <v>496</v>
      </c>
      <c r="G522" s="9">
        <f>VLOOKUP(D522,[1]PEDIDO!$B$4:$E$99,4,0)</f>
        <v>1344</v>
      </c>
      <c r="H522" s="9">
        <f t="shared" si="20"/>
        <v>2</v>
      </c>
      <c r="I522" s="11">
        <f t="shared" ca="1" si="21"/>
        <v>46120</v>
      </c>
      <c r="J522" s="11">
        <f t="shared" ca="1" si="22"/>
        <v>46118</v>
      </c>
      <c r="K522" s="8"/>
    </row>
    <row r="523" spans="1:11" ht="18" x14ac:dyDescent="0.4">
      <c r="A523" s="7" t="s">
        <v>475</v>
      </c>
      <c r="B523" s="16" t="s">
        <v>451</v>
      </c>
      <c r="C523" s="8">
        <v>30460</v>
      </c>
      <c r="D523" s="9">
        <v>467670637</v>
      </c>
      <c r="E523" s="57">
        <v>792</v>
      </c>
      <c r="F523" s="10" t="s">
        <v>497</v>
      </c>
      <c r="G523" s="9">
        <f>VLOOKUP(D523,[1]PEDIDO!$B$4:$E$99,4,0)</f>
        <v>2376</v>
      </c>
      <c r="H523" s="9">
        <f t="shared" si="20"/>
        <v>3</v>
      </c>
      <c r="I523" s="11">
        <f t="shared" ca="1" si="21"/>
        <v>46120</v>
      </c>
      <c r="J523" s="11">
        <f t="shared" ca="1" si="22"/>
        <v>46118</v>
      </c>
      <c r="K523" s="8"/>
    </row>
    <row r="524" spans="1:11" ht="18" x14ac:dyDescent="0.4">
      <c r="A524" s="7" t="s">
        <v>475</v>
      </c>
      <c r="B524" s="16" t="s">
        <v>451</v>
      </c>
      <c r="C524" s="8">
        <v>30460</v>
      </c>
      <c r="D524" s="9">
        <v>552030228</v>
      </c>
      <c r="E524" s="57">
        <v>392</v>
      </c>
      <c r="F524" s="10" t="s">
        <v>498</v>
      </c>
      <c r="G524" s="9">
        <f>VLOOKUP(D524,[1]PEDIDO!$B$4:$E$99,4,0)</f>
        <v>0</v>
      </c>
      <c r="H524" s="9">
        <f t="shared" si="20"/>
        <v>0</v>
      </c>
      <c r="I524" s="11">
        <f t="shared" ca="1" si="21"/>
        <v>46120</v>
      </c>
      <c r="J524" s="11">
        <f t="shared" ca="1" si="22"/>
        <v>46118</v>
      </c>
      <c r="K524" s="8"/>
    </row>
    <row r="525" spans="1:11" ht="18" x14ac:dyDescent="0.4">
      <c r="A525" s="7" t="s">
        <v>475</v>
      </c>
      <c r="B525" s="16" t="s">
        <v>451</v>
      </c>
      <c r="C525" s="8">
        <v>30460</v>
      </c>
      <c r="D525" s="9">
        <v>467784288</v>
      </c>
      <c r="E525" s="57">
        <v>392</v>
      </c>
      <c r="F525" s="10" t="s">
        <v>499</v>
      </c>
      <c r="G525" s="9">
        <f>VLOOKUP(D525,[1]PEDIDO!$B$4:$E$99,4,0)</f>
        <v>392</v>
      </c>
      <c r="H525" s="9">
        <f t="shared" si="20"/>
        <v>1</v>
      </c>
      <c r="I525" s="11">
        <f t="shared" ca="1" si="21"/>
        <v>46120</v>
      </c>
      <c r="J525" s="11">
        <f t="shared" ca="1" si="22"/>
        <v>46118</v>
      </c>
      <c r="K525" s="8"/>
    </row>
    <row r="526" spans="1:11" ht="18" x14ac:dyDescent="0.4">
      <c r="A526" s="7" t="s">
        <v>475</v>
      </c>
      <c r="B526" s="16" t="s">
        <v>451</v>
      </c>
      <c r="C526" s="8">
        <v>30460</v>
      </c>
      <c r="D526" s="9">
        <v>467784297</v>
      </c>
      <c r="E526" s="57">
        <v>392</v>
      </c>
      <c r="F526" s="10" t="s">
        <v>500</v>
      </c>
      <c r="G526" s="9">
        <f>VLOOKUP(D526,[1]PEDIDO!$B$4:$E$99,4,0)</f>
        <v>0</v>
      </c>
      <c r="H526" s="9">
        <f t="shared" si="20"/>
        <v>0</v>
      </c>
      <c r="I526" s="11">
        <f t="shared" ca="1" si="21"/>
        <v>46120</v>
      </c>
      <c r="J526" s="11">
        <f t="shared" ca="1" si="22"/>
        <v>46118</v>
      </c>
      <c r="K526" s="8"/>
    </row>
    <row r="527" spans="1:11" ht="18" x14ac:dyDescent="0.4">
      <c r="A527" s="7" t="s">
        <v>475</v>
      </c>
      <c r="B527" s="16" t="s">
        <v>451</v>
      </c>
      <c r="C527" s="8">
        <v>30460</v>
      </c>
      <c r="D527" s="9">
        <v>551824567</v>
      </c>
      <c r="E527" s="57">
        <v>392</v>
      </c>
      <c r="F527" s="10" t="s">
        <v>501</v>
      </c>
      <c r="G527" s="9">
        <f>VLOOKUP(D527,[1]PEDIDO!$B$4:$E$99,4,0)</f>
        <v>0</v>
      </c>
      <c r="H527" s="9">
        <f t="shared" si="20"/>
        <v>0</v>
      </c>
      <c r="I527" s="11">
        <f t="shared" ca="1" si="21"/>
        <v>46120</v>
      </c>
      <c r="J527" s="11">
        <f t="shared" ca="1" si="22"/>
        <v>46118</v>
      </c>
      <c r="K527" s="8"/>
    </row>
    <row r="528" spans="1:11" ht="18" x14ac:dyDescent="0.4">
      <c r="A528" s="7" t="s">
        <v>475</v>
      </c>
      <c r="B528" s="16" t="s">
        <v>451</v>
      </c>
      <c r="C528" s="8">
        <v>30460</v>
      </c>
      <c r="D528" s="9">
        <v>552433468</v>
      </c>
      <c r="E528" s="57">
        <v>392</v>
      </c>
      <c r="F528" s="10" t="s">
        <v>502</v>
      </c>
      <c r="G528" s="9">
        <f>VLOOKUP(D528,[1]PEDIDO!$B$4:$E$99,4,0)</f>
        <v>0</v>
      </c>
      <c r="H528" s="9">
        <f t="shared" si="20"/>
        <v>0</v>
      </c>
      <c r="I528" s="11">
        <f t="shared" ca="1" si="21"/>
        <v>46120</v>
      </c>
      <c r="J528" s="11">
        <f t="shared" ca="1" si="22"/>
        <v>46118</v>
      </c>
      <c r="K528" s="8"/>
    </row>
    <row r="529" spans="1:11" ht="18" x14ac:dyDescent="0.4">
      <c r="A529" s="7" t="s">
        <v>475</v>
      </c>
      <c r="B529" s="16" t="s">
        <v>451</v>
      </c>
      <c r="C529" s="8">
        <v>30460</v>
      </c>
      <c r="D529" s="9">
        <v>463503958</v>
      </c>
      <c r="E529" s="57">
        <v>392</v>
      </c>
      <c r="F529" s="10" t="s">
        <v>503</v>
      </c>
      <c r="G529" s="9">
        <f>VLOOKUP(D529,[1]PEDIDO!$B$4:$E$99,4,0)</f>
        <v>0</v>
      </c>
      <c r="H529" s="9">
        <f t="shared" si="20"/>
        <v>0</v>
      </c>
      <c r="I529" s="11">
        <f t="shared" ca="1" si="21"/>
        <v>46120</v>
      </c>
      <c r="J529" s="11">
        <f t="shared" ca="1" si="22"/>
        <v>46118</v>
      </c>
      <c r="K529" s="8"/>
    </row>
    <row r="530" spans="1:11" ht="18" x14ac:dyDescent="0.4">
      <c r="A530" s="7" t="s">
        <v>475</v>
      </c>
      <c r="B530" s="16" t="s">
        <v>451</v>
      </c>
      <c r="C530" s="8">
        <v>30460</v>
      </c>
      <c r="D530" s="9">
        <v>552486498</v>
      </c>
      <c r="E530" s="57">
        <v>392</v>
      </c>
      <c r="F530" s="10" t="s">
        <v>504</v>
      </c>
      <c r="G530" s="9">
        <f>VLOOKUP(D530,[1]PEDIDO!$B$4:$E$99,4,0)</f>
        <v>0</v>
      </c>
      <c r="H530" s="9">
        <f t="shared" si="20"/>
        <v>0</v>
      </c>
      <c r="I530" s="11">
        <f t="shared" ca="1" si="21"/>
        <v>46120</v>
      </c>
      <c r="J530" s="11">
        <f t="shared" ca="1" si="22"/>
        <v>46118</v>
      </c>
      <c r="K530" s="8"/>
    </row>
    <row r="531" spans="1:11" ht="18" x14ac:dyDescent="0.4">
      <c r="A531" s="7" t="s">
        <v>475</v>
      </c>
      <c r="B531" s="16" t="s">
        <v>451</v>
      </c>
      <c r="C531" s="8">
        <v>30460</v>
      </c>
      <c r="D531" s="9">
        <v>468076307</v>
      </c>
      <c r="E531" s="57">
        <v>546</v>
      </c>
      <c r="F531" s="10" t="s">
        <v>505</v>
      </c>
      <c r="G531" s="9">
        <f>VLOOKUP(D531,[1]PEDIDO!$B$4:$E$99,4,0)</f>
        <v>0</v>
      </c>
      <c r="H531" s="9">
        <f t="shared" si="20"/>
        <v>0</v>
      </c>
      <c r="I531" s="11">
        <f t="shared" ca="1" si="21"/>
        <v>46120</v>
      </c>
      <c r="J531" s="11">
        <f t="shared" ca="1" si="22"/>
        <v>46118</v>
      </c>
      <c r="K531" s="8"/>
    </row>
    <row r="532" spans="1:11" ht="18" x14ac:dyDescent="0.4">
      <c r="A532" s="7" t="s">
        <v>475</v>
      </c>
      <c r="B532" s="16" t="s">
        <v>451</v>
      </c>
      <c r="C532" s="8">
        <v>30460</v>
      </c>
      <c r="D532" s="9">
        <v>468084487</v>
      </c>
      <c r="E532" s="57">
        <v>546</v>
      </c>
      <c r="F532" s="10" t="s">
        <v>506</v>
      </c>
      <c r="G532" s="9">
        <f>VLOOKUP(D532,[1]PEDIDO!$B$4:$E$99,4,0)</f>
        <v>0</v>
      </c>
      <c r="H532" s="9">
        <f t="shared" si="20"/>
        <v>0</v>
      </c>
      <c r="I532" s="11">
        <f t="shared" ca="1" si="21"/>
        <v>46120</v>
      </c>
      <c r="J532" s="11">
        <f t="shared" ca="1" si="22"/>
        <v>46118</v>
      </c>
      <c r="K532" s="8"/>
    </row>
    <row r="533" spans="1:11" ht="18" x14ac:dyDescent="0.4">
      <c r="A533" s="7" t="s">
        <v>475</v>
      </c>
      <c r="B533" s="16" t="s">
        <v>451</v>
      </c>
      <c r="C533" s="8">
        <v>30460</v>
      </c>
      <c r="D533" s="9">
        <v>552727098</v>
      </c>
      <c r="E533" s="57">
        <v>546</v>
      </c>
      <c r="F533" s="10" t="s">
        <v>507</v>
      </c>
      <c r="G533" s="9">
        <f>VLOOKUP(D533,[1]PEDIDO!$B$4:$E$99,4,0)</f>
        <v>2184</v>
      </c>
      <c r="H533" s="9">
        <f t="shared" si="20"/>
        <v>4</v>
      </c>
      <c r="I533" s="11">
        <f t="shared" ca="1" si="21"/>
        <v>46120</v>
      </c>
      <c r="J533" s="11">
        <f t="shared" ca="1" si="22"/>
        <v>46118</v>
      </c>
      <c r="K533" s="8"/>
    </row>
    <row r="534" spans="1:11" ht="18" x14ac:dyDescent="0.4">
      <c r="A534" s="7" t="s">
        <v>475</v>
      </c>
      <c r="B534" s="16" t="s">
        <v>451</v>
      </c>
      <c r="C534" s="8">
        <v>30460</v>
      </c>
      <c r="D534" s="9">
        <v>552792228</v>
      </c>
      <c r="E534" s="57">
        <v>546</v>
      </c>
      <c r="F534" s="10" t="s">
        <v>508</v>
      </c>
      <c r="G534" s="9">
        <f>VLOOKUP(D534,[1]PEDIDO!$B$4:$E$99,4,0)</f>
        <v>0</v>
      </c>
      <c r="H534" s="9">
        <f t="shared" si="20"/>
        <v>0</v>
      </c>
      <c r="I534" s="11">
        <f t="shared" ca="1" si="21"/>
        <v>46120</v>
      </c>
      <c r="J534" s="11">
        <f t="shared" ca="1" si="22"/>
        <v>46118</v>
      </c>
      <c r="K534" s="8"/>
    </row>
    <row r="535" spans="1:11" ht="18" x14ac:dyDescent="0.4">
      <c r="A535" s="7" t="s">
        <v>475</v>
      </c>
      <c r="B535" s="16" t="s">
        <v>451</v>
      </c>
      <c r="C535" s="8">
        <v>30460</v>
      </c>
      <c r="D535" s="9">
        <v>59507209</v>
      </c>
      <c r="E535" s="57">
        <v>450</v>
      </c>
      <c r="F535" s="10" t="s">
        <v>509</v>
      </c>
      <c r="G535" s="9">
        <f>VLOOKUP(D535,[1]PEDIDO!$B$4:$E$99,4,0)</f>
        <v>4950</v>
      </c>
      <c r="H535" s="9">
        <f t="shared" si="20"/>
        <v>11</v>
      </c>
      <c r="I535" s="11">
        <f t="shared" ca="1" si="21"/>
        <v>46120</v>
      </c>
      <c r="J535" s="11">
        <f t="shared" ca="1" si="22"/>
        <v>46118</v>
      </c>
      <c r="K535" s="8"/>
    </row>
    <row r="536" spans="1:11" ht="18" x14ac:dyDescent="0.4">
      <c r="A536" s="7" t="s">
        <v>475</v>
      </c>
      <c r="B536" s="16" t="s">
        <v>451</v>
      </c>
      <c r="C536" s="8">
        <v>30460</v>
      </c>
      <c r="D536" s="9">
        <v>77894039</v>
      </c>
      <c r="E536" s="57">
        <v>2880</v>
      </c>
      <c r="F536" s="10" t="s">
        <v>510</v>
      </c>
      <c r="G536" s="9">
        <v>0</v>
      </c>
      <c r="H536" s="9">
        <f t="shared" si="20"/>
        <v>0</v>
      </c>
      <c r="I536" s="11">
        <f t="shared" ca="1" si="21"/>
        <v>46120</v>
      </c>
      <c r="J536" s="11">
        <f t="shared" ca="1" si="22"/>
        <v>46118</v>
      </c>
      <c r="K536" s="8"/>
    </row>
    <row r="537" spans="1:11" ht="18" x14ac:dyDescent="0.4">
      <c r="A537" s="7" t="s">
        <v>475</v>
      </c>
      <c r="B537" s="16" t="s">
        <v>451</v>
      </c>
      <c r="C537" s="8">
        <v>30460</v>
      </c>
      <c r="D537" s="9">
        <v>551955737</v>
      </c>
      <c r="E537" s="57">
        <v>700</v>
      </c>
      <c r="F537" s="10" t="s">
        <v>511</v>
      </c>
      <c r="G537" s="9">
        <f>VLOOKUP(D537,[1]PEDIDO!$B$4:$E$99,4,0)</f>
        <v>2100</v>
      </c>
      <c r="H537" s="9">
        <f t="shared" si="20"/>
        <v>3</v>
      </c>
      <c r="I537" s="11">
        <f t="shared" ca="1" si="21"/>
        <v>46120</v>
      </c>
      <c r="J537" s="11">
        <f t="shared" ca="1" si="22"/>
        <v>46118</v>
      </c>
      <c r="K537" s="8"/>
    </row>
    <row r="538" spans="1:11" ht="18" x14ac:dyDescent="0.4">
      <c r="A538" s="7" t="s">
        <v>475</v>
      </c>
      <c r="B538" s="16" t="s">
        <v>451</v>
      </c>
      <c r="C538" s="8">
        <v>30460</v>
      </c>
      <c r="D538" s="9">
        <v>551955748</v>
      </c>
      <c r="E538" s="57">
        <v>700</v>
      </c>
      <c r="F538" s="10" t="s">
        <v>512</v>
      </c>
      <c r="G538" s="9">
        <f>VLOOKUP(D538,[1]PEDIDO!$B$4:$E$99,4,0)</f>
        <v>0</v>
      </c>
      <c r="H538" s="9">
        <f t="shared" si="20"/>
        <v>0</v>
      </c>
      <c r="I538" s="11">
        <f t="shared" ca="1" si="21"/>
        <v>46120</v>
      </c>
      <c r="J538" s="11">
        <f t="shared" ca="1" si="22"/>
        <v>46118</v>
      </c>
      <c r="K538" s="8"/>
    </row>
    <row r="539" spans="1:11" ht="18" x14ac:dyDescent="0.4">
      <c r="A539" s="7" t="s">
        <v>475</v>
      </c>
      <c r="B539" s="16" t="s">
        <v>451</v>
      </c>
      <c r="C539" s="8">
        <v>30460</v>
      </c>
      <c r="D539" s="9">
        <v>552792238</v>
      </c>
      <c r="E539" s="57">
        <v>700</v>
      </c>
      <c r="F539" s="10" t="s">
        <v>513</v>
      </c>
      <c r="G539" s="9">
        <f>VLOOKUP(D539,[1]PEDIDO!$B$4:$E$99,4,0)</f>
        <v>0</v>
      </c>
      <c r="H539" s="9">
        <f t="shared" si="20"/>
        <v>0</v>
      </c>
      <c r="I539" s="11">
        <f t="shared" ca="1" si="21"/>
        <v>46120</v>
      </c>
      <c r="J539" s="11">
        <f t="shared" ca="1" si="22"/>
        <v>46118</v>
      </c>
      <c r="K539" s="8"/>
    </row>
    <row r="540" spans="1:11" ht="18" x14ac:dyDescent="0.4">
      <c r="A540" s="60" t="s">
        <v>475</v>
      </c>
      <c r="B540" s="81" t="s">
        <v>451</v>
      </c>
      <c r="C540" s="60">
        <v>30460</v>
      </c>
      <c r="D540" s="61">
        <v>463458098</v>
      </c>
      <c r="E540" s="57">
        <v>1650</v>
      </c>
      <c r="F540" s="10" t="s">
        <v>514</v>
      </c>
      <c r="G540" s="9">
        <f>VLOOKUP(D540,[1]PEDIDO!$B$4:$E$99,4,0)</f>
        <v>1650</v>
      </c>
      <c r="H540" s="9">
        <f t="shared" si="20"/>
        <v>1</v>
      </c>
      <c r="I540" s="11">
        <f t="shared" ca="1" si="21"/>
        <v>46120</v>
      </c>
      <c r="J540" s="11">
        <f t="shared" ca="1" si="22"/>
        <v>46118</v>
      </c>
      <c r="K540" s="8"/>
    </row>
    <row r="541" spans="1:11" ht="18" x14ac:dyDescent="0.4">
      <c r="A541" s="7" t="s">
        <v>475</v>
      </c>
      <c r="B541" s="7" t="s">
        <v>95</v>
      </c>
      <c r="C541" s="8">
        <v>45150</v>
      </c>
      <c r="D541" s="9">
        <v>77894011</v>
      </c>
      <c r="E541" s="57">
        <v>300</v>
      </c>
      <c r="F541" s="10" t="s">
        <v>515</v>
      </c>
      <c r="G541" s="9">
        <f>VLOOKUP(D541,[1]PEDIDO!$B$4:$E$99,4,0)</f>
        <v>1500</v>
      </c>
      <c r="H541" s="9">
        <f t="shared" si="20"/>
        <v>5</v>
      </c>
      <c r="I541" s="11">
        <f ca="1">I539</f>
        <v>46120</v>
      </c>
      <c r="J541" s="11">
        <f t="shared" ca="1" si="22"/>
        <v>46118</v>
      </c>
      <c r="K541" s="8"/>
    </row>
    <row r="542" spans="1:11" ht="18" x14ac:dyDescent="0.4">
      <c r="A542" s="7" t="s">
        <v>475</v>
      </c>
      <c r="B542" s="7" t="s">
        <v>95</v>
      </c>
      <c r="C542" s="8">
        <v>45150</v>
      </c>
      <c r="D542" s="9">
        <v>467721611</v>
      </c>
      <c r="E542" s="57">
        <v>240</v>
      </c>
      <c r="F542" s="10" t="s">
        <v>516</v>
      </c>
      <c r="G542" s="9">
        <f>VLOOKUP(D542,[1]PEDIDO!$B$4:$E$99,4,0)</f>
        <v>1200</v>
      </c>
      <c r="H542" s="9">
        <f t="shared" si="20"/>
        <v>5</v>
      </c>
      <c r="I542" s="11">
        <f t="shared" ca="1" si="21"/>
        <v>46120</v>
      </c>
      <c r="J542" s="11">
        <f t="shared" ca="1" si="22"/>
        <v>46118</v>
      </c>
      <c r="K542" s="8"/>
    </row>
    <row r="543" spans="1:11" ht="18" x14ac:dyDescent="0.4">
      <c r="A543" s="60" t="s">
        <v>475</v>
      </c>
      <c r="B543" s="60" t="s">
        <v>517</v>
      </c>
      <c r="C543" s="60">
        <v>46051</v>
      </c>
      <c r="D543" s="61">
        <v>463559961</v>
      </c>
      <c r="E543" s="57">
        <v>270</v>
      </c>
      <c r="F543" s="10" t="s">
        <v>518</v>
      </c>
      <c r="G543" s="9">
        <f>VLOOKUP(D543,[1]PEDIDO!$B$4:$E$99,4,0)</f>
        <v>0</v>
      </c>
      <c r="H543" s="9">
        <f t="shared" si="20"/>
        <v>0</v>
      </c>
      <c r="I543" s="11">
        <f t="shared" ca="1" si="21"/>
        <v>46120</v>
      </c>
      <c r="J543" s="11">
        <f t="shared" ca="1" si="22"/>
        <v>46118</v>
      </c>
      <c r="K543" s="8"/>
    </row>
    <row r="544" spans="1:11" ht="18" x14ac:dyDescent="0.4">
      <c r="A544" s="7" t="s">
        <v>475</v>
      </c>
      <c r="B544" s="7" t="s">
        <v>517</v>
      </c>
      <c r="C544" s="8">
        <v>46051</v>
      </c>
      <c r="D544" s="9">
        <v>75821121</v>
      </c>
      <c r="E544" s="57">
        <v>270</v>
      </c>
      <c r="F544" s="10" t="s">
        <v>519</v>
      </c>
      <c r="G544" s="9">
        <f>VLOOKUP(D544,[1]PEDIDO!$B$4:$E$99,4,0)</f>
        <v>270</v>
      </c>
      <c r="H544" s="9">
        <f t="shared" si="20"/>
        <v>1</v>
      </c>
      <c r="I544" s="11">
        <f ca="1">I542</f>
        <v>46120</v>
      </c>
      <c r="J544" s="11">
        <f t="shared" ca="1" si="22"/>
        <v>46118</v>
      </c>
      <c r="K544" s="8"/>
    </row>
    <row r="545" spans="1:11" ht="18" x14ac:dyDescent="0.4">
      <c r="A545" s="7" t="s">
        <v>475</v>
      </c>
      <c r="B545" s="7" t="s">
        <v>517</v>
      </c>
      <c r="C545" s="8">
        <v>46051</v>
      </c>
      <c r="D545" s="9">
        <v>463433241</v>
      </c>
      <c r="E545" s="57">
        <v>270</v>
      </c>
      <c r="F545" s="10" t="s">
        <v>520</v>
      </c>
      <c r="G545" s="9">
        <f>VLOOKUP(D545,[1]PEDIDO!$B$4:$E$99,4,0)</f>
        <v>270</v>
      </c>
      <c r="H545" s="9">
        <f t="shared" si="20"/>
        <v>1</v>
      </c>
      <c r="I545" s="11">
        <f t="shared" ca="1" si="21"/>
        <v>46120</v>
      </c>
      <c r="J545" s="11">
        <f t="shared" ca="1" si="22"/>
        <v>46118</v>
      </c>
      <c r="K545" s="8"/>
    </row>
    <row r="546" spans="1:11" ht="18" x14ac:dyDescent="0.4">
      <c r="A546" s="7" t="s">
        <v>475</v>
      </c>
      <c r="B546" s="7" t="s">
        <v>517</v>
      </c>
      <c r="C546" s="8">
        <v>46051</v>
      </c>
      <c r="D546" s="9">
        <v>464420321</v>
      </c>
      <c r="E546" s="57">
        <v>270</v>
      </c>
      <c r="F546" s="10" t="s">
        <v>521</v>
      </c>
      <c r="G546" s="9">
        <f>VLOOKUP(D546,[1]PEDIDO!$B$4:$E$99,4,0)</f>
        <v>0</v>
      </c>
      <c r="H546" s="9">
        <f t="shared" si="20"/>
        <v>0</v>
      </c>
      <c r="I546" s="11">
        <f t="shared" ca="1" si="21"/>
        <v>46120</v>
      </c>
      <c r="J546" s="11">
        <f t="shared" ca="1" si="22"/>
        <v>46118</v>
      </c>
      <c r="K546" s="8"/>
    </row>
    <row r="547" spans="1:11" ht="18" x14ac:dyDescent="0.4">
      <c r="A547" s="7" t="s">
        <v>475</v>
      </c>
      <c r="B547" s="7" t="s">
        <v>517</v>
      </c>
      <c r="C547" s="8">
        <v>46051</v>
      </c>
      <c r="D547" s="9">
        <v>465555151</v>
      </c>
      <c r="E547" s="57">
        <v>270</v>
      </c>
      <c r="F547" s="10" t="s">
        <v>522</v>
      </c>
      <c r="G547" s="9">
        <f>VLOOKUP(D547,[1]PEDIDO!$B$4:$E$99,4,0)</f>
        <v>0</v>
      </c>
      <c r="H547" s="9">
        <f t="shared" si="20"/>
        <v>0</v>
      </c>
      <c r="I547" s="11">
        <f t="shared" ca="1" si="21"/>
        <v>46120</v>
      </c>
      <c r="J547" s="11">
        <f t="shared" ca="1" si="22"/>
        <v>46118</v>
      </c>
      <c r="K547" s="8"/>
    </row>
    <row r="548" spans="1:11" ht="18" x14ac:dyDescent="0.4">
      <c r="A548" s="7" t="s">
        <v>475</v>
      </c>
      <c r="B548" s="7" t="s">
        <v>517</v>
      </c>
      <c r="C548" s="8">
        <v>46051</v>
      </c>
      <c r="D548" s="9">
        <v>552694438</v>
      </c>
      <c r="E548" s="57">
        <v>270</v>
      </c>
      <c r="F548" s="10" t="s">
        <v>523</v>
      </c>
      <c r="G548" s="9">
        <f>VLOOKUP(D548,[1]PEDIDO!$B$4:$E$99,4,0)</f>
        <v>0</v>
      </c>
      <c r="H548" s="9">
        <f t="shared" si="20"/>
        <v>0</v>
      </c>
      <c r="I548" s="11">
        <f t="shared" ca="1" si="21"/>
        <v>46120</v>
      </c>
      <c r="J548" s="11">
        <f t="shared" ca="1" si="22"/>
        <v>46118</v>
      </c>
      <c r="K548" s="8"/>
    </row>
    <row r="549" spans="1:11" ht="18" x14ac:dyDescent="0.4">
      <c r="A549" s="7" t="s">
        <v>475</v>
      </c>
      <c r="B549" s="7" t="s">
        <v>517</v>
      </c>
      <c r="C549" s="8">
        <v>46051</v>
      </c>
      <c r="D549" s="9">
        <v>464197038</v>
      </c>
      <c r="E549" s="57">
        <v>270</v>
      </c>
      <c r="F549" s="10" t="s">
        <v>524</v>
      </c>
      <c r="G549" s="9">
        <f>VLOOKUP(D549,[1]PEDIDO!$B$4:$E$99,4,0)</f>
        <v>0</v>
      </c>
      <c r="H549" s="9">
        <f t="shared" si="20"/>
        <v>0</v>
      </c>
      <c r="I549" s="11">
        <f t="shared" ca="1" si="21"/>
        <v>46120</v>
      </c>
      <c r="J549" s="11">
        <f t="shared" ca="1" si="22"/>
        <v>46118</v>
      </c>
      <c r="K549" s="8"/>
    </row>
    <row r="550" spans="1:11" ht="18" x14ac:dyDescent="0.4">
      <c r="A550" s="7" t="s">
        <v>475</v>
      </c>
      <c r="B550" s="7" t="s">
        <v>517</v>
      </c>
      <c r="C550" s="8">
        <v>46051</v>
      </c>
      <c r="D550" s="9">
        <v>77603518</v>
      </c>
      <c r="E550" s="57">
        <v>270</v>
      </c>
      <c r="F550" s="10" t="s">
        <v>525</v>
      </c>
      <c r="G550" s="9">
        <f>VLOOKUP(D550,[1]PEDIDO!$B$4:$E$99,4,0)</f>
        <v>0</v>
      </c>
      <c r="H550" s="9">
        <f t="shared" si="20"/>
        <v>0</v>
      </c>
      <c r="I550" s="11">
        <f t="shared" ca="1" si="21"/>
        <v>46120</v>
      </c>
      <c r="J550" s="11">
        <f t="shared" ca="1" si="22"/>
        <v>46118</v>
      </c>
      <c r="K550" s="8"/>
    </row>
    <row r="551" spans="1:11" ht="18" x14ac:dyDescent="0.4">
      <c r="A551" s="60" t="s">
        <v>475</v>
      </c>
      <c r="B551" s="60" t="s">
        <v>517</v>
      </c>
      <c r="C551" s="60">
        <v>46051</v>
      </c>
      <c r="D551" s="61">
        <v>463559978</v>
      </c>
      <c r="E551" s="57">
        <v>270</v>
      </c>
      <c r="F551" s="37" t="s">
        <v>526</v>
      </c>
      <c r="G551" s="9">
        <f>VLOOKUP(D551,[1]PEDIDO!$B$4:$E$99,4,0)</f>
        <v>0</v>
      </c>
      <c r="H551" s="9">
        <f t="shared" si="20"/>
        <v>0</v>
      </c>
      <c r="I551" s="11">
        <f t="shared" ca="1" si="21"/>
        <v>46120</v>
      </c>
      <c r="J551" s="11">
        <f t="shared" ca="1" si="22"/>
        <v>46118</v>
      </c>
      <c r="K551" s="8"/>
    </row>
    <row r="552" spans="1:11" ht="18" x14ac:dyDescent="0.4">
      <c r="A552" s="7" t="s">
        <v>475</v>
      </c>
      <c r="B552" s="7" t="s">
        <v>517</v>
      </c>
      <c r="C552" s="8">
        <v>46051</v>
      </c>
      <c r="D552" s="9">
        <v>463433238</v>
      </c>
      <c r="E552" s="57">
        <v>270</v>
      </c>
      <c r="F552" s="37" t="s">
        <v>527</v>
      </c>
      <c r="G552" s="9">
        <f>VLOOKUP(D552,[1]PEDIDO!$B$4:$E$99,4,0)</f>
        <v>0</v>
      </c>
      <c r="H552" s="9">
        <f t="shared" si="20"/>
        <v>0</v>
      </c>
      <c r="I552" s="11">
        <f ca="1">I550</f>
        <v>46120</v>
      </c>
      <c r="J552" s="11">
        <f t="shared" ca="1" si="22"/>
        <v>46118</v>
      </c>
      <c r="K552" s="8"/>
    </row>
    <row r="553" spans="1:11" ht="18" x14ac:dyDescent="0.4">
      <c r="A553" s="60" t="s">
        <v>475</v>
      </c>
      <c r="B553" s="60" t="s">
        <v>517</v>
      </c>
      <c r="C553" s="60">
        <v>46051</v>
      </c>
      <c r="D553" s="61">
        <v>463585598</v>
      </c>
      <c r="E553" s="57">
        <v>270</v>
      </c>
      <c r="F553" s="37" t="s">
        <v>527</v>
      </c>
      <c r="G553" s="9">
        <f>VLOOKUP(D553,[1]PEDIDO!$B$4:$E$99,4,0)</f>
        <v>540</v>
      </c>
      <c r="H553" s="9">
        <f t="shared" si="20"/>
        <v>2</v>
      </c>
      <c r="I553" s="11">
        <f ca="1">I551</f>
        <v>46120</v>
      </c>
      <c r="J553" s="11">
        <f t="shared" ca="1" si="22"/>
        <v>46118</v>
      </c>
      <c r="K553" s="8"/>
    </row>
    <row r="554" spans="1:11" ht="18" x14ac:dyDescent="0.4">
      <c r="A554" s="7" t="s">
        <v>475</v>
      </c>
      <c r="B554" s="7" t="s">
        <v>517</v>
      </c>
      <c r="C554" s="8">
        <v>46051</v>
      </c>
      <c r="D554" s="9">
        <v>465555148</v>
      </c>
      <c r="E554" s="57">
        <v>270</v>
      </c>
      <c r="F554" s="37" t="s">
        <v>528</v>
      </c>
      <c r="G554" s="9">
        <f>VLOOKUP(D554,[1]PEDIDO!$B$4:$E$99,4,0)</f>
        <v>0</v>
      </c>
      <c r="H554" s="9">
        <f t="shared" si="20"/>
        <v>0</v>
      </c>
      <c r="I554" s="11">
        <f ca="1">I552</f>
        <v>46120</v>
      </c>
      <c r="J554" s="11">
        <f t="shared" ca="1" si="22"/>
        <v>46118</v>
      </c>
      <c r="K554" s="8"/>
    </row>
    <row r="555" spans="1:11" ht="18" x14ac:dyDescent="0.4">
      <c r="A555" s="7" t="s">
        <v>475</v>
      </c>
      <c r="B555" s="7" t="s">
        <v>517</v>
      </c>
      <c r="C555" s="8">
        <v>46051</v>
      </c>
      <c r="D555" s="9">
        <v>463496858</v>
      </c>
      <c r="E555" s="57">
        <v>270</v>
      </c>
      <c r="F555" s="37" t="s">
        <v>529</v>
      </c>
      <c r="G555" s="9">
        <f>VLOOKUP(D555,[1]PEDIDO!$B$4:$E$99,4,0)</f>
        <v>0</v>
      </c>
      <c r="H555" s="9">
        <f t="shared" si="20"/>
        <v>0</v>
      </c>
      <c r="I555" s="11">
        <f t="shared" ca="1" si="21"/>
        <v>46120</v>
      </c>
      <c r="J555" s="11">
        <f t="shared" ca="1" si="22"/>
        <v>46118</v>
      </c>
      <c r="K555" s="8"/>
    </row>
    <row r="556" spans="1:11" ht="18" x14ac:dyDescent="0.4">
      <c r="A556" s="7" t="s">
        <v>475</v>
      </c>
      <c r="B556" s="7" t="s">
        <v>517</v>
      </c>
      <c r="C556" s="8">
        <v>46051</v>
      </c>
      <c r="D556" s="9">
        <v>463535748</v>
      </c>
      <c r="E556" s="57">
        <v>270</v>
      </c>
      <c r="F556" s="37" t="s">
        <v>528</v>
      </c>
      <c r="G556" s="9">
        <f>VLOOKUP(D556,[1]PEDIDO!$B$4:$E$99,4,0)</f>
        <v>0</v>
      </c>
      <c r="H556" s="9">
        <f t="shared" si="20"/>
        <v>0</v>
      </c>
      <c r="I556" s="11">
        <f t="shared" ca="1" si="21"/>
        <v>46120</v>
      </c>
      <c r="J556" s="11">
        <f t="shared" ca="1" si="22"/>
        <v>46118</v>
      </c>
      <c r="K556" s="8"/>
    </row>
    <row r="557" spans="1:11" ht="18" x14ac:dyDescent="0.4">
      <c r="A557" s="7" t="s">
        <v>475</v>
      </c>
      <c r="B557" s="7" t="s">
        <v>517</v>
      </c>
      <c r="C557" s="8">
        <v>46051</v>
      </c>
      <c r="D557" s="9">
        <v>552694428</v>
      </c>
      <c r="E557" s="57">
        <v>270</v>
      </c>
      <c r="F557" s="10" t="s">
        <v>530</v>
      </c>
      <c r="G557" s="9">
        <f>VLOOKUP(D557,[1]PEDIDO!$B$4:$E$99,4,0)</f>
        <v>0</v>
      </c>
      <c r="H557" s="9">
        <f t="shared" si="20"/>
        <v>0</v>
      </c>
      <c r="I557" s="11">
        <f t="shared" ca="1" si="21"/>
        <v>46120</v>
      </c>
      <c r="J557" s="11">
        <f t="shared" ca="1" si="22"/>
        <v>46118</v>
      </c>
      <c r="K557" s="8"/>
    </row>
    <row r="558" spans="1:11" ht="18" x14ac:dyDescent="0.4">
      <c r="A558" s="7" t="s">
        <v>475</v>
      </c>
      <c r="B558" s="7" t="s">
        <v>517</v>
      </c>
      <c r="C558" s="8">
        <v>46051</v>
      </c>
      <c r="D558" s="9">
        <v>552571388</v>
      </c>
      <c r="E558" s="57">
        <v>270</v>
      </c>
      <c r="F558" s="37" t="s">
        <v>531</v>
      </c>
      <c r="G558" s="9">
        <f>VLOOKUP(D558,[1]PEDIDO!$B$4:$E$99,4,0)</f>
        <v>270</v>
      </c>
      <c r="H558" s="9">
        <f t="shared" si="20"/>
        <v>1</v>
      </c>
      <c r="I558" s="11">
        <f t="shared" ca="1" si="21"/>
        <v>46120</v>
      </c>
      <c r="J558" s="11">
        <f t="shared" ca="1" si="22"/>
        <v>46118</v>
      </c>
      <c r="K558" s="8"/>
    </row>
    <row r="559" spans="1:11" ht="18" x14ac:dyDescent="0.4">
      <c r="A559" s="7" t="s">
        <v>475</v>
      </c>
      <c r="B559" s="7" t="s">
        <v>517</v>
      </c>
      <c r="C559" s="8">
        <v>46051</v>
      </c>
      <c r="D559" s="9">
        <v>552774808</v>
      </c>
      <c r="E559" s="57">
        <v>270</v>
      </c>
      <c r="F559" s="37" t="s">
        <v>532</v>
      </c>
      <c r="G559" s="9">
        <f>VLOOKUP(D559,[1]PEDIDO!$B$4:$E$99,4,0)</f>
        <v>0</v>
      </c>
      <c r="H559" s="9">
        <f t="shared" si="20"/>
        <v>0</v>
      </c>
      <c r="I559" s="11">
        <f t="shared" ca="1" si="21"/>
        <v>46120</v>
      </c>
      <c r="J559" s="11">
        <f t="shared" ca="1" si="22"/>
        <v>46118</v>
      </c>
      <c r="K559" s="8"/>
    </row>
    <row r="560" spans="1:11" ht="18" x14ac:dyDescent="0.4">
      <c r="A560" s="7" t="s">
        <v>475</v>
      </c>
      <c r="B560" s="7" t="s">
        <v>517</v>
      </c>
      <c r="C560" s="8">
        <v>46051</v>
      </c>
      <c r="D560" s="9">
        <v>463496828</v>
      </c>
      <c r="E560" s="57">
        <v>270</v>
      </c>
      <c r="F560" s="37" t="s">
        <v>533</v>
      </c>
      <c r="G560" s="9">
        <f>VLOOKUP(D560,[1]PEDIDO!$B$4:$E$99,4,0)</f>
        <v>0</v>
      </c>
      <c r="H560" s="9">
        <f t="shared" si="20"/>
        <v>0</v>
      </c>
      <c r="I560" s="11">
        <f t="shared" ca="1" si="21"/>
        <v>46120</v>
      </c>
      <c r="J560" s="11">
        <f t="shared" ca="1" si="22"/>
        <v>46118</v>
      </c>
      <c r="K560" s="8"/>
    </row>
    <row r="561" spans="1:11" ht="18" x14ac:dyDescent="0.4">
      <c r="A561" s="7" t="s">
        <v>475</v>
      </c>
      <c r="B561" s="7" t="s">
        <v>517</v>
      </c>
      <c r="C561" s="8">
        <v>46051</v>
      </c>
      <c r="D561" s="9">
        <v>552825828</v>
      </c>
      <c r="E561" s="57">
        <v>270</v>
      </c>
      <c r="F561" s="37" t="s">
        <v>534</v>
      </c>
      <c r="G561" s="9">
        <f>VLOOKUP(D561,[1]PEDIDO!$B$4:$E$99,4,0)</f>
        <v>0</v>
      </c>
      <c r="H561" s="9">
        <f t="shared" ref="H561:H624" si="23">G561/E561</f>
        <v>0</v>
      </c>
      <c r="I561" s="11">
        <f t="shared" ca="1" si="21"/>
        <v>46120</v>
      </c>
      <c r="J561" s="11">
        <f t="shared" ca="1" si="22"/>
        <v>46118</v>
      </c>
      <c r="K561" s="8"/>
    </row>
    <row r="562" spans="1:11" ht="18" x14ac:dyDescent="0.4">
      <c r="A562" s="7" t="s">
        <v>475</v>
      </c>
      <c r="B562" s="7" t="s">
        <v>517</v>
      </c>
      <c r="C562" s="8">
        <v>46051</v>
      </c>
      <c r="D562" s="9">
        <v>552835168</v>
      </c>
      <c r="E562" s="57">
        <v>270</v>
      </c>
      <c r="F562" s="37" t="s">
        <v>535</v>
      </c>
      <c r="G562" s="9">
        <f>VLOOKUP(D562,[1]PEDIDO!$B$4:$E$99,4,0)</f>
        <v>0</v>
      </c>
      <c r="H562" s="9">
        <f t="shared" si="23"/>
        <v>0</v>
      </c>
      <c r="I562" s="11">
        <f t="shared" ca="1" si="21"/>
        <v>46120</v>
      </c>
      <c r="J562" s="11">
        <f t="shared" ca="1" si="22"/>
        <v>46118</v>
      </c>
      <c r="K562" s="8"/>
    </row>
    <row r="563" spans="1:11" ht="18" x14ac:dyDescent="0.4">
      <c r="A563" s="7" t="s">
        <v>475</v>
      </c>
      <c r="B563" s="7" t="s">
        <v>517</v>
      </c>
      <c r="C563" s="8">
        <v>46051</v>
      </c>
      <c r="D563" s="9">
        <v>551957818</v>
      </c>
      <c r="E563" s="57">
        <v>270</v>
      </c>
      <c r="F563" s="37" t="s">
        <v>536</v>
      </c>
      <c r="G563" s="9">
        <f>VLOOKUP(D563,[1]PEDIDO!$B$4:$E$99,4,0)</f>
        <v>0</v>
      </c>
      <c r="H563" s="9">
        <f t="shared" si="23"/>
        <v>0</v>
      </c>
      <c r="I563" s="11">
        <f t="shared" ca="1" si="21"/>
        <v>46120</v>
      </c>
      <c r="J563" s="11">
        <f t="shared" ca="1" si="22"/>
        <v>46118</v>
      </c>
      <c r="K563" s="8"/>
    </row>
    <row r="564" spans="1:11" ht="18" x14ac:dyDescent="0.4">
      <c r="A564" s="7" t="s">
        <v>475</v>
      </c>
      <c r="B564" s="7" t="s">
        <v>517</v>
      </c>
      <c r="C564" s="8">
        <v>46051</v>
      </c>
      <c r="D564" s="9">
        <v>463496838</v>
      </c>
      <c r="E564" s="57">
        <v>270</v>
      </c>
      <c r="F564" s="37" t="s">
        <v>536</v>
      </c>
      <c r="G564" s="9">
        <f>VLOOKUP(D564,[1]PEDIDO!$B$4:$E$99,4,0)</f>
        <v>0</v>
      </c>
      <c r="H564" s="9">
        <f t="shared" si="23"/>
        <v>0</v>
      </c>
      <c r="I564" s="11">
        <f t="shared" ca="1" si="21"/>
        <v>46120</v>
      </c>
      <c r="J564" s="11">
        <f t="shared" ca="1" si="22"/>
        <v>46118</v>
      </c>
      <c r="K564" s="8"/>
    </row>
    <row r="565" spans="1:11" ht="18" x14ac:dyDescent="0.4">
      <c r="A565" s="7" t="s">
        <v>475</v>
      </c>
      <c r="B565" s="7" t="s">
        <v>517</v>
      </c>
      <c r="C565" s="8">
        <v>46051</v>
      </c>
      <c r="D565" s="9">
        <v>552284868</v>
      </c>
      <c r="E565" s="57">
        <v>270</v>
      </c>
      <c r="F565" s="37" t="s">
        <v>537</v>
      </c>
      <c r="G565" s="9">
        <f>VLOOKUP(D565,[1]PEDIDO!$B$4:$E$99,4,0)</f>
        <v>0</v>
      </c>
      <c r="H565" s="9">
        <f t="shared" si="23"/>
        <v>0</v>
      </c>
      <c r="I565" s="11">
        <f t="shared" ca="1" si="21"/>
        <v>46120</v>
      </c>
      <c r="J565" s="11">
        <f t="shared" ca="1" si="22"/>
        <v>46118</v>
      </c>
      <c r="K565" s="8"/>
    </row>
    <row r="566" spans="1:11" ht="18" x14ac:dyDescent="0.4">
      <c r="A566" s="7" t="s">
        <v>475</v>
      </c>
      <c r="B566" s="7" t="s">
        <v>517</v>
      </c>
      <c r="C566" s="8">
        <v>46051</v>
      </c>
      <c r="D566" s="9">
        <v>463496848</v>
      </c>
      <c r="E566" s="57">
        <v>270</v>
      </c>
      <c r="F566" s="37" t="s">
        <v>538</v>
      </c>
      <c r="G566" s="9">
        <f>VLOOKUP(D566,[1]PEDIDO!$B$4:$E$99,4,0)</f>
        <v>0</v>
      </c>
      <c r="H566" s="9">
        <f t="shared" si="23"/>
        <v>0</v>
      </c>
      <c r="I566" s="11">
        <f t="shared" ca="1" si="21"/>
        <v>46120</v>
      </c>
      <c r="J566" s="11">
        <f t="shared" ca="1" si="22"/>
        <v>46118</v>
      </c>
      <c r="K566" s="8"/>
    </row>
    <row r="567" spans="1:11" ht="18" x14ac:dyDescent="0.4">
      <c r="A567" s="7" t="s">
        <v>475</v>
      </c>
      <c r="B567" s="7" t="s">
        <v>517</v>
      </c>
      <c r="C567" s="8">
        <v>46051</v>
      </c>
      <c r="D567" s="9">
        <v>552696328</v>
      </c>
      <c r="E567" s="57">
        <v>180</v>
      </c>
      <c r="F567" s="37" t="s">
        <v>539</v>
      </c>
      <c r="G567" s="9">
        <f>VLOOKUP(D567,[1]PEDIDO!$B$4:$E$99,4,0)</f>
        <v>0</v>
      </c>
      <c r="H567" s="9">
        <f t="shared" si="23"/>
        <v>0</v>
      </c>
      <c r="I567" s="11">
        <f t="shared" ref="I567:I630" ca="1" si="24">I566</f>
        <v>46120</v>
      </c>
      <c r="J567" s="11">
        <f t="shared" ca="1" si="22"/>
        <v>46118</v>
      </c>
      <c r="K567" s="8"/>
    </row>
    <row r="568" spans="1:11" ht="18" x14ac:dyDescent="0.4">
      <c r="A568" s="7" t="s">
        <v>475</v>
      </c>
      <c r="B568" s="7" t="s">
        <v>517</v>
      </c>
      <c r="C568" s="8">
        <v>46051</v>
      </c>
      <c r="D568" s="9">
        <v>463496868</v>
      </c>
      <c r="E568" s="57">
        <v>180</v>
      </c>
      <c r="F568" s="38" t="s">
        <v>540</v>
      </c>
      <c r="G568" s="9">
        <f>VLOOKUP(D568,[1]PEDIDO!$B$4:$E$99,4,0)</f>
        <v>0</v>
      </c>
      <c r="H568" s="9">
        <f t="shared" si="23"/>
        <v>0</v>
      </c>
      <c r="I568" s="11">
        <f t="shared" ca="1" si="24"/>
        <v>46120</v>
      </c>
      <c r="J568" s="11">
        <f t="shared" ca="1" si="22"/>
        <v>46118</v>
      </c>
      <c r="K568" s="8"/>
    </row>
    <row r="569" spans="1:11" ht="18" x14ac:dyDescent="0.4">
      <c r="A569" s="39" t="s">
        <v>475</v>
      </c>
      <c r="B569" s="39" t="s">
        <v>517</v>
      </c>
      <c r="C569" s="40">
        <v>46051</v>
      </c>
      <c r="D569" s="41">
        <v>552727078</v>
      </c>
      <c r="E569" s="66">
        <v>180</v>
      </c>
      <c r="F569" s="42" t="s">
        <v>541</v>
      </c>
      <c r="G569" s="9">
        <f>VLOOKUP(D569,[1]PEDIDO!$B$4:$E$99,4,0)</f>
        <v>360</v>
      </c>
      <c r="H569" s="41">
        <f t="shared" si="23"/>
        <v>2</v>
      </c>
      <c r="I569" s="11">
        <f t="shared" ca="1" si="24"/>
        <v>46120</v>
      </c>
      <c r="J569" s="11">
        <f t="shared" ca="1" si="22"/>
        <v>46118</v>
      </c>
      <c r="K569" s="8"/>
    </row>
    <row r="570" spans="1:11" ht="33" customHeight="1" x14ac:dyDescent="0.4">
      <c r="A570" s="39" t="s">
        <v>475</v>
      </c>
      <c r="B570" s="39" t="s">
        <v>517</v>
      </c>
      <c r="C570" s="40">
        <v>46051</v>
      </c>
      <c r="D570" s="41">
        <v>552770948</v>
      </c>
      <c r="E570" s="66">
        <v>180</v>
      </c>
      <c r="F570" s="42" t="s">
        <v>542</v>
      </c>
      <c r="G570" s="9">
        <f>VLOOKUP(D570,[1]PEDIDO!$B$4:$E$99,4,0)</f>
        <v>0</v>
      </c>
      <c r="H570" s="41">
        <f t="shared" si="23"/>
        <v>0</v>
      </c>
      <c r="I570" s="11">
        <f t="shared" ca="1" si="24"/>
        <v>46120</v>
      </c>
      <c r="J570" s="11">
        <f t="shared" ca="1" si="22"/>
        <v>46118</v>
      </c>
      <c r="K570" s="8"/>
    </row>
    <row r="571" spans="1:11" ht="18" x14ac:dyDescent="0.4">
      <c r="A571" s="7" t="s">
        <v>475</v>
      </c>
      <c r="B571" s="7" t="s">
        <v>517</v>
      </c>
      <c r="C571" s="8">
        <v>46051</v>
      </c>
      <c r="D571" s="9">
        <v>468084498</v>
      </c>
      <c r="E571" s="57">
        <v>180</v>
      </c>
      <c r="F571" s="37" t="s">
        <v>543</v>
      </c>
      <c r="G571" s="9">
        <f>VLOOKUP(D571,[1]PEDIDO!$B$4:$E$99,4,0)</f>
        <v>0</v>
      </c>
      <c r="H571" s="9">
        <f t="shared" si="23"/>
        <v>0</v>
      </c>
      <c r="I571" s="11">
        <f t="shared" ca="1" si="24"/>
        <v>46120</v>
      </c>
      <c r="J571" s="11">
        <f t="shared" ca="1" si="22"/>
        <v>46118</v>
      </c>
      <c r="K571" s="8"/>
    </row>
    <row r="572" spans="1:11" ht="18" x14ac:dyDescent="0.4">
      <c r="A572" s="7" t="s">
        <v>475</v>
      </c>
      <c r="B572" s="7" t="s">
        <v>517</v>
      </c>
      <c r="C572" s="8">
        <v>46051</v>
      </c>
      <c r="D572" s="9">
        <v>463496808</v>
      </c>
      <c r="E572" s="57">
        <v>180</v>
      </c>
      <c r="F572" s="37" t="s">
        <v>543</v>
      </c>
      <c r="G572" s="9">
        <f>VLOOKUP(D572,[1]PEDIDO!$B$4:$E$99,4,0)</f>
        <v>0</v>
      </c>
      <c r="H572" s="9">
        <f t="shared" si="23"/>
        <v>0</v>
      </c>
      <c r="I572" s="11">
        <f t="shared" ca="1" si="24"/>
        <v>46120</v>
      </c>
      <c r="J572" s="11">
        <f t="shared" ca="1" si="22"/>
        <v>46118</v>
      </c>
      <c r="K572" s="8"/>
    </row>
    <row r="573" spans="1:11" ht="18" x14ac:dyDescent="0.4">
      <c r="A573" s="7" t="s">
        <v>475</v>
      </c>
      <c r="B573" s="7" t="s">
        <v>517</v>
      </c>
      <c r="C573" s="8">
        <v>46051</v>
      </c>
      <c r="D573" s="9">
        <v>552792188</v>
      </c>
      <c r="E573" s="57">
        <v>180</v>
      </c>
      <c r="F573" s="37" t="s">
        <v>544</v>
      </c>
      <c r="G573" s="9">
        <f>VLOOKUP(D573,[1]PEDIDO!$B$4:$E$99,4,0)</f>
        <v>0</v>
      </c>
      <c r="H573" s="9">
        <f t="shared" si="23"/>
        <v>0</v>
      </c>
      <c r="I573" s="11">
        <f t="shared" ca="1" si="24"/>
        <v>46120</v>
      </c>
      <c r="J573" s="11">
        <f t="shared" ca="1" si="22"/>
        <v>46118</v>
      </c>
      <c r="K573" s="8"/>
    </row>
    <row r="574" spans="1:11" ht="18" x14ac:dyDescent="0.4">
      <c r="A574" s="7" t="s">
        <v>475</v>
      </c>
      <c r="B574" s="7" t="s">
        <v>517</v>
      </c>
      <c r="C574" s="8">
        <v>46051</v>
      </c>
      <c r="D574" s="9">
        <v>463504548</v>
      </c>
      <c r="E574" s="57">
        <v>180</v>
      </c>
      <c r="F574" s="37" t="s">
        <v>545</v>
      </c>
      <c r="G574" s="9">
        <f>VLOOKUP(D574,[1]PEDIDO!$B$4:$E$99,4,0)</f>
        <v>0</v>
      </c>
      <c r="H574" s="9">
        <f t="shared" si="23"/>
        <v>0</v>
      </c>
      <c r="I574" s="11">
        <f t="shared" ca="1" si="24"/>
        <v>46120</v>
      </c>
      <c r="J574" s="11">
        <f t="shared" ca="1" si="22"/>
        <v>46118</v>
      </c>
      <c r="K574" s="8"/>
    </row>
    <row r="575" spans="1:11" ht="18" x14ac:dyDescent="0.4">
      <c r="A575" s="7" t="s">
        <v>475</v>
      </c>
      <c r="B575" s="7" t="s">
        <v>517</v>
      </c>
      <c r="C575" s="8">
        <v>46051</v>
      </c>
      <c r="D575" s="9">
        <v>468085168</v>
      </c>
      <c r="E575" s="57">
        <v>180</v>
      </c>
      <c r="F575" s="37" t="s">
        <v>546</v>
      </c>
      <c r="G575" s="9">
        <f>VLOOKUP(D575,[1]PEDIDO!$B$4:$E$99,4,0)</f>
        <v>0</v>
      </c>
      <c r="H575" s="9">
        <f t="shared" si="23"/>
        <v>0</v>
      </c>
      <c r="I575" s="11">
        <f t="shared" ca="1" si="24"/>
        <v>46120</v>
      </c>
      <c r="J575" s="11">
        <f t="shared" ca="1" si="22"/>
        <v>46118</v>
      </c>
      <c r="K575" s="8"/>
    </row>
    <row r="576" spans="1:11" ht="18" x14ac:dyDescent="0.4">
      <c r="A576" s="7" t="s">
        <v>475</v>
      </c>
      <c r="B576" s="7" t="s">
        <v>517</v>
      </c>
      <c r="C576" s="8">
        <v>46051</v>
      </c>
      <c r="D576" s="9">
        <v>468085188</v>
      </c>
      <c r="E576" s="57">
        <v>180</v>
      </c>
      <c r="F576" s="37" t="s">
        <v>547</v>
      </c>
      <c r="G576" s="9">
        <f>VLOOKUP(D576,[1]PEDIDO!$B$4:$E$99,4,0)</f>
        <v>0</v>
      </c>
      <c r="H576" s="9">
        <f t="shared" si="23"/>
        <v>0</v>
      </c>
      <c r="I576" s="11">
        <f t="shared" ca="1" si="24"/>
        <v>46120</v>
      </c>
      <c r="J576" s="11">
        <f t="shared" ca="1" si="22"/>
        <v>46118</v>
      </c>
      <c r="K576" s="8"/>
    </row>
    <row r="577" spans="1:14" ht="18" x14ac:dyDescent="0.4">
      <c r="A577" s="7" t="s">
        <v>475</v>
      </c>
      <c r="B577" s="7" t="s">
        <v>517</v>
      </c>
      <c r="C577" s="8">
        <v>46051</v>
      </c>
      <c r="D577" s="9">
        <v>552049748</v>
      </c>
      <c r="E577" s="57">
        <v>180</v>
      </c>
      <c r="F577" s="37" t="s">
        <v>545</v>
      </c>
      <c r="G577" s="9">
        <f>VLOOKUP(D577,[1]PEDIDO!$B$4:$E$99,4,0)</f>
        <v>0</v>
      </c>
      <c r="H577" s="9">
        <f t="shared" si="23"/>
        <v>0</v>
      </c>
      <c r="I577" s="11">
        <f t="shared" ca="1" si="24"/>
        <v>46120</v>
      </c>
      <c r="J577" s="11">
        <f t="shared" ca="1" si="22"/>
        <v>46118</v>
      </c>
      <c r="K577" s="8"/>
    </row>
    <row r="578" spans="1:14" ht="18" x14ac:dyDescent="0.4">
      <c r="A578" s="7" t="s">
        <v>475</v>
      </c>
      <c r="B578" s="7" t="s">
        <v>517</v>
      </c>
      <c r="C578" s="8">
        <v>46051</v>
      </c>
      <c r="D578" s="9">
        <v>552486488</v>
      </c>
      <c r="E578" s="57">
        <v>180</v>
      </c>
      <c r="F578" s="37" t="s">
        <v>548</v>
      </c>
      <c r="G578" s="9">
        <f>VLOOKUP(D578,[1]PEDIDO!$B$4:$E$99,4,0)</f>
        <v>0</v>
      </c>
      <c r="H578" s="9">
        <f t="shared" si="23"/>
        <v>0</v>
      </c>
      <c r="I578" s="11">
        <f t="shared" ca="1" si="24"/>
        <v>46120</v>
      </c>
      <c r="J578" s="11">
        <f t="shared" ca="1" si="22"/>
        <v>46118</v>
      </c>
      <c r="K578" s="8"/>
    </row>
    <row r="579" spans="1:14" ht="18" x14ac:dyDescent="0.4">
      <c r="A579" s="7" t="s">
        <v>475</v>
      </c>
      <c r="B579" s="7" t="s">
        <v>517</v>
      </c>
      <c r="C579" s="8">
        <v>46051</v>
      </c>
      <c r="D579" s="9">
        <v>463508568</v>
      </c>
      <c r="E579" s="57">
        <v>180</v>
      </c>
      <c r="F579" s="37" t="s">
        <v>549</v>
      </c>
      <c r="G579" s="9">
        <f>VLOOKUP(D579,[1]PEDIDO!$B$4:$E$99,4,0)</f>
        <v>1800</v>
      </c>
      <c r="H579" s="9">
        <f t="shared" si="23"/>
        <v>10</v>
      </c>
      <c r="I579" s="11">
        <f t="shared" ca="1" si="24"/>
        <v>46120</v>
      </c>
      <c r="J579" s="11">
        <f t="shared" ca="1" si="22"/>
        <v>46118</v>
      </c>
      <c r="K579" s="8"/>
      <c r="N579" s="26"/>
    </row>
    <row r="580" spans="1:14" ht="18" x14ac:dyDescent="0.4">
      <c r="A580" s="7" t="s">
        <v>475</v>
      </c>
      <c r="B580" s="7" t="s">
        <v>517</v>
      </c>
      <c r="C580" s="8">
        <v>46051</v>
      </c>
      <c r="D580" s="9">
        <v>463503948</v>
      </c>
      <c r="E580" s="57">
        <v>180</v>
      </c>
      <c r="F580" s="37" t="s">
        <v>550</v>
      </c>
      <c r="G580" s="9">
        <f>VLOOKUP(D580,[1]PEDIDO!$B$4:$E$99,4,0)</f>
        <v>0</v>
      </c>
      <c r="H580" s="9">
        <f t="shared" si="23"/>
        <v>0</v>
      </c>
      <c r="I580" s="11">
        <f t="shared" ca="1" si="24"/>
        <v>46120</v>
      </c>
      <c r="J580" s="11">
        <f t="shared" ca="1" si="22"/>
        <v>46118</v>
      </c>
      <c r="K580" s="8"/>
    </row>
    <row r="581" spans="1:14" ht="18" x14ac:dyDescent="0.4">
      <c r="A581" s="7" t="s">
        <v>475</v>
      </c>
      <c r="B581" s="7" t="s">
        <v>517</v>
      </c>
      <c r="C581" s="8">
        <v>46051</v>
      </c>
      <c r="D581" s="9">
        <v>463496798</v>
      </c>
      <c r="E581" s="57">
        <v>180</v>
      </c>
      <c r="F581" s="37" t="s">
        <v>551</v>
      </c>
      <c r="G581" s="9">
        <f>VLOOKUP(D581,[1]PEDIDO!$B$4:$E$99,4,0)</f>
        <v>0</v>
      </c>
      <c r="H581" s="9">
        <f t="shared" si="23"/>
        <v>0</v>
      </c>
      <c r="I581" s="11">
        <f t="shared" ca="1" si="24"/>
        <v>46120</v>
      </c>
      <c r="J581" s="11">
        <f t="shared" ca="1" si="22"/>
        <v>46118</v>
      </c>
      <c r="K581" s="8"/>
    </row>
    <row r="582" spans="1:14" ht="18" x14ac:dyDescent="0.4">
      <c r="A582" s="7" t="s">
        <v>475</v>
      </c>
      <c r="B582" s="7" t="s">
        <v>517</v>
      </c>
      <c r="C582" s="8">
        <v>46051</v>
      </c>
      <c r="D582" s="9">
        <v>552696318</v>
      </c>
      <c r="E582" s="57">
        <v>180</v>
      </c>
      <c r="F582" s="37" t="s">
        <v>551</v>
      </c>
      <c r="G582" s="9">
        <f>VLOOKUP(D582,[1]PEDIDO!$B$4:$E$99,4,0)</f>
        <v>0</v>
      </c>
      <c r="H582" s="9">
        <f t="shared" si="23"/>
        <v>0</v>
      </c>
      <c r="I582" s="11">
        <f t="shared" ca="1" si="24"/>
        <v>46120</v>
      </c>
      <c r="J582" s="11">
        <f t="shared" ref="J582:J645" ca="1" si="25">TODAY()</f>
        <v>46118</v>
      </c>
      <c r="K582" s="8"/>
    </row>
    <row r="583" spans="1:14" ht="18" x14ac:dyDescent="0.4">
      <c r="A583" s="92" t="s">
        <v>475</v>
      </c>
      <c r="B583" s="22" t="s">
        <v>552</v>
      </c>
      <c r="C583" s="23">
        <v>19414</v>
      </c>
      <c r="D583" s="24">
        <v>76779780</v>
      </c>
      <c r="E583" s="67">
        <v>300</v>
      </c>
      <c r="F583" s="25" t="s">
        <v>553</v>
      </c>
      <c r="G583" s="94">
        <v>0</v>
      </c>
      <c r="H583" s="24">
        <f t="shared" si="23"/>
        <v>0</v>
      </c>
      <c r="I583" s="11">
        <f t="shared" ca="1" si="24"/>
        <v>46120</v>
      </c>
      <c r="J583" s="11">
        <f t="shared" ca="1" si="25"/>
        <v>46118</v>
      </c>
      <c r="K583" s="13"/>
    </row>
    <row r="584" spans="1:14" ht="18" x14ac:dyDescent="0.4">
      <c r="A584" s="93" t="s">
        <v>475</v>
      </c>
      <c r="B584" s="16" t="s">
        <v>552</v>
      </c>
      <c r="C584" s="8">
        <v>19414</v>
      </c>
      <c r="D584" s="9">
        <v>135549210</v>
      </c>
      <c r="E584" s="57">
        <v>250</v>
      </c>
      <c r="F584" s="10" t="s">
        <v>554</v>
      </c>
      <c r="G584" s="94">
        <v>0</v>
      </c>
      <c r="H584" s="9">
        <f t="shared" si="23"/>
        <v>0</v>
      </c>
      <c r="I584" s="11">
        <f t="shared" ca="1" si="24"/>
        <v>46120</v>
      </c>
      <c r="J584" s="11">
        <f t="shared" ca="1" si="25"/>
        <v>46118</v>
      </c>
      <c r="K584" s="13"/>
    </row>
    <row r="585" spans="1:14" ht="18" x14ac:dyDescent="0.4">
      <c r="A585" s="93" t="s">
        <v>475</v>
      </c>
      <c r="B585" s="16" t="s">
        <v>552</v>
      </c>
      <c r="C585" s="8">
        <v>19414</v>
      </c>
      <c r="D585" s="9">
        <v>149359240</v>
      </c>
      <c r="E585" s="57">
        <v>1000</v>
      </c>
      <c r="F585" s="10" t="s">
        <v>555</v>
      </c>
      <c r="G585" s="94">
        <v>0</v>
      </c>
      <c r="H585" s="9">
        <f t="shared" si="23"/>
        <v>0</v>
      </c>
      <c r="I585" s="11">
        <f t="shared" ca="1" si="24"/>
        <v>46120</v>
      </c>
      <c r="J585" s="11">
        <f t="shared" ca="1" si="25"/>
        <v>46118</v>
      </c>
      <c r="K585" s="13"/>
    </row>
    <row r="586" spans="1:14" ht="18" x14ac:dyDescent="0.4">
      <c r="A586" s="93" t="s">
        <v>475</v>
      </c>
      <c r="B586" s="16" t="s">
        <v>552</v>
      </c>
      <c r="C586" s="8">
        <v>19414</v>
      </c>
      <c r="D586" s="9">
        <v>162876210</v>
      </c>
      <c r="E586" s="57">
        <v>500</v>
      </c>
      <c r="F586" s="10" t="s">
        <v>556</v>
      </c>
      <c r="G586" s="94">
        <v>0</v>
      </c>
      <c r="H586" s="9">
        <f t="shared" si="23"/>
        <v>0</v>
      </c>
      <c r="I586" s="11">
        <f t="shared" ca="1" si="24"/>
        <v>46120</v>
      </c>
      <c r="J586" s="11">
        <f t="shared" ca="1" si="25"/>
        <v>46118</v>
      </c>
      <c r="K586" s="13"/>
    </row>
    <row r="587" spans="1:14" ht="18" x14ac:dyDescent="0.4">
      <c r="A587" s="93" t="s">
        <v>475</v>
      </c>
      <c r="B587" s="16" t="s">
        <v>552</v>
      </c>
      <c r="C587" s="8">
        <v>19414</v>
      </c>
      <c r="D587" s="9">
        <v>162885240</v>
      </c>
      <c r="E587" s="57">
        <v>300</v>
      </c>
      <c r="F587" s="10" t="s">
        <v>557</v>
      </c>
      <c r="G587" s="94">
        <v>0</v>
      </c>
      <c r="H587" s="9">
        <f t="shared" si="23"/>
        <v>0</v>
      </c>
      <c r="I587" s="11">
        <f t="shared" ca="1" si="24"/>
        <v>46120</v>
      </c>
      <c r="J587" s="11">
        <f t="shared" ca="1" si="25"/>
        <v>46118</v>
      </c>
      <c r="K587" s="13"/>
    </row>
    <row r="588" spans="1:14" ht="18" x14ac:dyDescent="0.4">
      <c r="A588" s="93" t="s">
        <v>475</v>
      </c>
      <c r="B588" s="16" t="s">
        <v>552</v>
      </c>
      <c r="C588" s="8">
        <v>19414</v>
      </c>
      <c r="D588" s="9">
        <v>187519210</v>
      </c>
      <c r="E588" s="57">
        <v>400</v>
      </c>
      <c r="F588" s="10" t="s">
        <v>558</v>
      </c>
      <c r="G588" s="94">
        <v>0</v>
      </c>
      <c r="H588" s="9">
        <f t="shared" si="23"/>
        <v>0</v>
      </c>
      <c r="I588" s="11">
        <f t="shared" ca="1" si="24"/>
        <v>46120</v>
      </c>
      <c r="J588" s="11">
        <f t="shared" ca="1" si="25"/>
        <v>46118</v>
      </c>
      <c r="K588" s="13"/>
    </row>
    <row r="589" spans="1:14" ht="18" x14ac:dyDescent="0.4">
      <c r="A589" s="93" t="s">
        <v>475</v>
      </c>
      <c r="B589" s="16" t="s">
        <v>552</v>
      </c>
      <c r="C589" s="8">
        <v>19414</v>
      </c>
      <c r="D589" s="9">
        <v>187525210</v>
      </c>
      <c r="E589" s="57">
        <v>500</v>
      </c>
      <c r="F589" s="10" t="s">
        <v>559</v>
      </c>
      <c r="G589" s="94">
        <v>0</v>
      </c>
      <c r="H589" s="9">
        <f t="shared" si="23"/>
        <v>0</v>
      </c>
      <c r="I589" s="11">
        <f t="shared" ca="1" si="24"/>
        <v>46120</v>
      </c>
      <c r="J589" s="11">
        <f t="shared" ca="1" si="25"/>
        <v>46118</v>
      </c>
      <c r="K589" s="13"/>
    </row>
    <row r="590" spans="1:14" ht="18" x14ac:dyDescent="0.4">
      <c r="A590" s="93" t="s">
        <v>475</v>
      </c>
      <c r="B590" s="16" t="s">
        <v>552</v>
      </c>
      <c r="C590" s="8">
        <v>19414</v>
      </c>
      <c r="D590" s="9">
        <v>187527210</v>
      </c>
      <c r="E590" s="57">
        <v>500</v>
      </c>
      <c r="F590" s="10" t="s">
        <v>560</v>
      </c>
      <c r="G590" s="94">
        <v>0</v>
      </c>
      <c r="H590" s="9">
        <f t="shared" si="23"/>
        <v>0</v>
      </c>
      <c r="I590" s="11">
        <f t="shared" ca="1" si="24"/>
        <v>46120</v>
      </c>
      <c r="J590" s="11">
        <f t="shared" ca="1" si="25"/>
        <v>46118</v>
      </c>
      <c r="K590" s="13"/>
    </row>
    <row r="591" spans="1:14" ht="18" x14ac:dyDescent="0.4">
      <c r="A591" s="93" t="s">
        <v>475</v>
      </c>
      <c r="B591" s="16" t="s">
        <v>552</v>
      </c>
      <c r="C591" s="8">
        <v>19414</v>
      </c>
      <c r="D591" s="9">
        <v>187530210</v>
      </c>
      <c r="E591" s="57">
        <v>500</v>
      </c>
      <c r="F591" s="10" t="s">
        <v>561</v>
      </c>
      <c r="G591" s="94">
        <v>0</v>
      </c>
      <c r="H591" s="9">
        <f t="shared" si="23"/>
        <v>0</v>
      </c>
      <c r="I591" s="11">
        <f t="shared" ca="1" si="24"/>
        <v>46120</v>
      </c>
      <c r="J591" s="11">
        <f t="shared" ca="1" si="25"/>
        <v>46118</v>
      </c>
      <c r="K591" s="13"/>
    </row>
    <row r="592" spans="1:14" ht="18" x14ac:dyDescent="0.4">
      <c r="A592" s="93" t="s">
        <v>475</v>
      </c>
      <c r="B592" s="16" t="s">
        <v>552</v>
      </c>
      <c r="C592" s="8">
        <v>19414</v>
      </c>
      <c r="D592" s="9">
        <v>464555000</v>
      </c>
      <c r="E592" s="57">
        <v>250</v>
      </c>
      <c r="F592" s="10" t="s">
        <v>562</v>
      </c>
      <c r="G592" s="94">
        <v>0</v>
      </c>
      <c r="H592" s="9">
        <f t="shared" si="23"/>
        <v>0</v>
      </c>
      <c r="I592" s="11">
        <f t="shared" ca="1" si="24"/>
        <v>46120</v>
      </c>
      <c r="J592" s="11">
        <f t="shared" ca="1" si="25"/>
        <v>46118</v>
      </c>
      <c r="K592" s="13"/>
    </row>
    <row r="593" spans="1:11" ht="18" x14ac:dyDescent="0.4">
      <c r="A593" s="93" t="s">
        <v>475</v>
      </c>
      <c r="B593" s="16" t="s">
        <v>552</v>
      </c>
      <c r="C593" s="8">
        <v>19414</v>
      </c>
      <c r="D593" s="9">
        <v>43913530</v>
      </c>
      <c r="E593" s="57">
        <v>400</v>
      </c>
      <c r="F593" s="10" t="s">
        <v>563</v>
      </c>
      <c r="G593" s="94">
        <v>0</v>
      </c>
      <c r="H593" s="9">
        <f t="shared" si="23"/>
        <v>0</v>
      </c>
      <c r="I593" s="11">
        <f t="shared" ca="1" si="24"/>
        <v>46120</v>
      </c>
      <c r="J593" s="11">
        <f t="shared" ca="1" si="25"/>
        <v>46118</v>
      </c>
      <c r="K593" s="13"/>
    </row>
    <row r="594" spans="1:11" ht="18" x14ac:dyDescent="0.4">
      <c r="A594" s="93" t="s">
        <v>475</v>
      </c>
      <c r="B594" s="16" t="s">
        <v>552</v>
      </c>
      <c r="C594" s="8">
        <v>19414</v>
      </c>
      <c r="D594" s="9">
        <v>75754720</v>
      </c>
      <c r="E594" s="57">
        <v>1500</v>
      </c>
      <c r="F594" s="10" t="s">
        <v>564</v>
      </c>
      <c r="G594" s="94">
        <v>0</v>
      </c>
      <c r="H594" s="9">
        <f t="shared" si="23"/>
        <v>0</v>
      </c>
      <c r="I594" s="11">
        <f t="shared" ca="1" si="24"/>
        <v>46120</v>
      </c>
      <c r="J594" s="11">
        <f t="shared" ca="1" si="25"/>
        <v>46118</v>
      </c>
      <c r="K594" s="13"/>
    </row>
    <row r="595" spans="1:11" ht="18" x14ac:dyDescent="0.4">
      <c r="A595" s="93" t="s">
        <v>475</v>
      </c>
      <c r="B595" s="16" t="s">
        <v>552</v>
      </c>
      <c r="C595" s="8">
        <v>19414</v>
      </c>
      <c r="D595" s="9">
        <v>76648820</v>
      </c>
      <c r="E595" s="57">
        <v>300</v>
      </c>
      <c r="F595" s="10" t="s">
        <v>565</v>
      </c>
      <c r="G595" s="94">
        <v>0</v>
      </c>
      <c r="H595" s="9">
        <f t="shared" si="23"/>
        <v>0</v>
      </c>
      <c r="I595" s="11">
        <f t="shared" ca="1" si="24"/>
        <v>46120</v>
      </c>
      <c r="J595" s="11">
        <f t="shared" ca="1" si="25"/>
        <v>46118</v>
      </c>
      <c r="K595" s="13"/>
    </row>
    <row r="596" spans="1:11" ht="18" x14ac:dyDescent="0.4">
      <c r="A596" s="93" t="s">
        <v>475</v>
      </c>
      <c r="B596" s="16" t="s">
        <v>552</v>
      </c>
      <c r="C596" s="8">
        <v>19414</v>
      </c>
      <c r="D596" s="9">
        <v>162970240</v>
      </c>
      <c r="E596" s="57">
        <v>1200</v>
      </c>
      <c r="F596" s="10" t="s">
        <v>196</v>
      </c>
      <c r="G596" s="94">
        <v>0</v>
      </c>
      <c r="H596" s="9">
        <f t="shared" si="23"/>
        <v>0</v>
      </c>
      <c r="I596" s="11">
        <f t="shared" ca="1" si="24"/>
        <v>46120</v>
      </c>
      <c r="J596" s="11">
        <f t="shared" ca="1" si="25"/>
        <v>46118</v>
      </c>
      <c r="K596" s="13"/>
    </row>
    <row r="597" spans="1:11" ht="18" x14ac:dyDescent="0.4">
      <c r="A597" s="93" t="s">
        <v>475</v>
      </c>
      <c r="B597" s="7" t="s">
        <v>552</v>
      </c>
      <c r="C597" s="8">
        <v>19414</v>
      </c>
      <c r="D597" s="9">
        <v>552599580</v>
      </c>
      <c r="E597" s="57">
        <v>800</v>
      </c>
      <c r="F597" s="18" t="s">
        <v>566</v>
      </c>
      <c r="G597" s="94">
        <v>0</v>
      </c>
      <c r="H597" s="9">
        <f t="shared" si="23"/>
        <v>0</v>
      </c>
      <c r="I597" s="11">
        <f t="shared" ca="1" si="24"/>
        <v>46120</v>
      </c>
      <c r="J597" s="11">
        <f t="shared" ca="1" si="25"/>
        <v>46118</v>
      </c>
      <c r="K597" s="13"/>
    </row>
    <row r="598" spans="1:11" ht="18" x14ac:dyDescent="0.4">
      <c r="A598" s="93" t="s">
        <v>475</v>
      </c>
      <c r="B598" s="7" t="s">
        <v>552</v>
      </c>
      <c r="C598" s="8">
        <v>19414</v>
      </c>
      <c r="D598" s="9">
        <v>552599570</v>
      </c>
      <c r="E598" s="57">
        <v>1400</v>
      </c>
      <c r="F598" s="18" t="s">
        <v>566</v>
      </c>
      <c r="G598" s="94">
        <v>0</v>
      </c>
      <c r="H598" s="9">
        <f t="shared" si="23"/>
        <v>0</v>
      </c>
      <c r="I598" s="11">
        <f t="shared" ca="1" si="24"/>
        <v>46120</v>
      </c>
      <c r="J598" s="11">
        <f t="shared" ca="1" si="25"/>
        <v>46118</v>
      </c>
      <c r="K598" s="13"/>
    </row>
    <row r="599" spans="1:11" ht="18" x14ac:dyDescent="0.4">
      <c r="A599" s="93" t="s">
        <v>475</v>
      </c>
      <c r="B599" s="7" t="s">
        <v>567</v>
      </c>
      <c r="C599" s="8">
        <v>19271</v>
      </c>
      <c r="D599" s="9">
        <v>75810590</v>
      </c>
      <c r="E599" s="57">
        <v>900</v>
      </c>
      <c r="F599" s="18" t="s">
        <v>568</v>
      </c>
      <c r="G599" s="94">
        <v>1800</v>
      </c>
      <c r="H599" s="9">
        <f t="shared" si="23"/>
        <v>2</v>
      </c>
      <c r="I599" s="11">
        <f t="shared" ca="1" si="24"/>
        <v>46120</v>
      </c>
      <c r="J599" s="11">
        <f t="shared" ca="1" si="25"/>
        <v>46118</v>
      </c>
      <c r="K599" s="13"/>
    </row>
    <row r="600" spans="1:11" ht="18" x14ac:dyDescent="0.4">
      <c r="A600" s="93" t="s">
        <v>475</v>
      </c>
      <c r="B600" s="7" t="s">
        <v>567</v>
      </c>
      <c r="C600" s="8">
        <v>19271</v>
      </c>
      <c r="D600" s="9">
        <v>465162750</v>
      </c>
      <c r="E600" s="57">
        <v>1620</v>
      </c>
      <c r="F600" s="18" t="s">
        <v>569</v>
      </c>
      <c r="G600" s="94">
        <v>1620</v>
      </c>
      <c r="H600" s="9">
        <f t="shared" si="23"/>
        <v>1</v>
      </c>
      <c r="I600" s="11">
        <f t="shared" ca="1" si="24"/>
        <v>46120</v>
      </c>
      <c r="J600" s="11">
        <f t="shared" ca="1" si="25"/>
        <v>46118</v>
      </c>
      <c r="K600" s="13"/>
    </row>
    <row r="601" spans="1:11" ht="18" x14ac:dyDescent="0.4">
      <c r="A601" s="93" t="s">
        <v>475</v>
      </c>
      <c r="B601" s="7" t="s">
        <v>567</v>
      </c>
      <c r="C601" s="8">
        <v>19271</v>
      </c>
      <c r="D601" s="9">
        <v>468147230</v>
      </c>
      <c r="E601" s="57">
        <v>1600</v>
      </c>
      <c r="F601" s="18" t="s">
        <v>570</v>
      </c>
      <c r="G601" s="94">
        <v>1600</v>
      </c>
      <c r="H601" s="9">
        <f t="shared" si="23"/>
        <v>1</v>
      </c>
      <c r="I601" s="11">
        <f t="shared" ca="1" si="24"/>
        <v>46120</v>
      </c>
      <c r="J601" s="11">
        <f t="shared" ca="1" si="25"/>
        <v>46118</v>
      </c>
      <c r="K601" s="13"/>
    </row>
    <row r="602" spans="1:11" ht="18" x14ac:dyDescent="0.4">
      <c r="A602" s="93" t="s">
        <v>475</v>
      </c>
      <c r="B602" s="7" t="s">
        <v>567</v>
      </c>
      <c r="C602" s="8">
        <v>19271</v>
      </c>
      <c r="D602" s="9">
        <v>552547090</v>
      </c>
      <c r="E602" s="57">
        <v>270</v>
      </c>
      <c r="F602" s="18" t="s">
        <v>571</v>
      </c>
      <c r="G602" s="94">
        <v>0</v>
      </c>
      <c r="H602" s="9">
        <f t="shared" si="23"/>
        <v>0</v>
      </c>
      <c r="I602" s="11">
        <f t="shared" ca="1" si="24"/>
        <v>46120</v>
      </c>
      <c r="J602" s="11">
        <f t="shared" ca="1" si="25"/>
        <v>46118</v>
      </c>
      <c r="K602" s="13"/>
    </row>
    <row r="603" spans="1:11" ht="18" x14ac:dyDescent="0.4">
      <c r="A603" s="93" t="s">
        <v>475</v>
      </c>
      <c r="B603" s="7" t="s">
        <v>567</v>
      </c>
      <c r="C603" s="8">
        <v>19271</v>
      </c>
      <c r="D603" s="9">
        <v>552551360</v>
      </c>
      <c r="E603" s="57">
        <v>360</v>
      </c>
      <c r="F603" s="18" t="s">
        <v>572</v>
      </c>
      <c r="G603" s="94">
        <v>0</v>
      </c>
      <c r="H603" s="9">
        <f t="shared" si="23"/>
        <v>0</v>
      </c>
      <c r="I603" s="11">
        <f t="shared" ca="1" si="24"/>
        <v>46120</v>
      </c>
      <c r="J603" s="11">
        <f t="shared" ca="1" si="25"/>
        <v>46118</v>
      </c>
      <c r="K603" s="13"/>
    </row>
    <row r="604" spans="1:11" ht="18" x14ac:dyDescent="0.4">
      <c r="A604" s="93" t="s">
        <v>475</v>
      </c>
      <c r="B604" s="7" t="s">
        <v>567</v>
      </c>
      <c r="C604" s="8">
        <v>19271</v>
      </c>
      <c r="D604" s="9">
        <v>735017020</v>
      </c>
      <c r="E604" s="57">
        <v>1440</v>
      </c>
      <c r="F604" s="18" t="s">
        <v>573</v>
      </c>
      <c r="G604" s="94">
        <v>1440</v>
      </c>
      <c r="H604" s="9">
        <f t="shared" si="23"/>
        <v>1</v>
      </c>
      <c r="I604" s="11">
        <f t="shared" ca="1" si="24"/>
        <v>46120</v>
      </c>
      <c r="J604" s="11">
        <f t="shared" ca="1" si="25"/>
        <v>46118</v>
      </c>
      <c r="K604" s="13"/>
    </row>
    <row r="605" spans="1:11" ht="18" x14ac:dyDescent="0.4">
      <c r="A605" s="93" t="s">
        <v>475</v>
      </c>
      <c r="B605" s="7" t="s">
        <v>567</v>
      </c>
      <c r="C605" s="8">
        <v>19271</v>
      </c>
      <c r="D605" s="9">
        <v>552054650</v>
      </c>
      <c r="E605" s="57">
        <v>1440</v>
      </c>
      <c r="F605" s="18" t="s">
        <v>574</v>
      </c>
      <c r="G605" s="94">
        <v>1440</v>
      </c>
      <c r="H605" s="9">
        <f t="shared" si="23"/>
        <v>1</v>
      </c>
      <c r="I605" s="11">
        <f t="shared" ca="1" si="24"/>
        <v>46120</v>
      </c>
      <c r="J605" s="11">
        <f t="shared" ca="1" si="25"/>
        <v>46118</v>
      </c>
      <c r="K605" s="13"/>
    </row>
    <row r="606" spans="1:11" ht="18" x14ac:dyDescent="0.4">
      <c r="A606" s="93" t="s">
        <v>475</v>
      </c>
      <c r="B606" s="16" t="s">
        <v>567</v>
      </c>
      <c r="C606" s="8">
        <v>19271</v>
      </c>
      <c r="D606" s="9">
        <v>463409620</v>
      </c>
      <c r="E606" s="57">
        <v>360</v>
      </c>
      <c r="F606" s="10" t="s">
        <v>572</v>
      </c>
      <c r="G606" s="94">
        <v>0</v>
      </c>
      <c r="H606" s="9">
        <f t="shared" si="23"/>
        <v>0</v>
      </c>
      <c r="I606" s="11">
        <f t="shared" ca="1" si="24"/>
        <v>46120</v>
      </c>
      <c r="J606" s="11">
        <f t="shared" ca="1" si="25"/>
        <v>46118</v>
      </c>
      <c r="K606" s="13"/>
    </row>
    <row r="607" spans="1:11" ht="18" x14ac:dyDescent="0.4">
      <c r="A607" s="93" t="s">
        <v>475</v>
      </c>
      <c r="B607" s="16" t="s">
        <v>567</v>
      </c>
      <c r="C607" s="8">
        <v>19271</v>
      </c>
      <c r="D607" s="9">
        <v>463409610</v>
      </c>
      <c r="E607" s="57">
        <v>360</v>
      </c>
      <c r="F607" s="10" t="s">
        <v>575</v>
      </c>
      <c r="G607" s="94">
        <v>1080</v>
      </c>
      <c r="H607" s="9">
        <f t="shared" si="23"/>
        <v>3</v>
      </c>
      <c r="I607" s="11">
        <f t="shared" ca="1" si="24"/>
        <v>46120</v>
      </c>
      <c r="J607" s="11">
        <f t="shared" ca="1" si="25"/>
        <v>46118</v>
      </c>
      <c r="K607" s="13"/>
    </row>
    <row r="608" spans="1:11" ht="18" x14ac:dyDescent="0.4">
      <c r="A608" s="93" t="s">
        <v>475</v>
      </c>
      <c r="B608" s="16" t="s">
        <v>576</v>
      </c>
      <c r="C608" s="8">
        <v>19807</v>
      </c>
      <c r="D608" s="9">
        <v>552594720</v>
      </c>
      <c r="E608" s="57">
        <v>900</v>
      </c>
      <c r="F608" s="10" t="s">
        <v>577</v>
      </c>
      <c r="G608" s="94">
        <v>1800</v>
      </c>
      <c r="H608" s="9">
        <f t="shared" si="23"/>
        <v>2</v>
      </c>
      <c r="I608" s="11">
        <f t="shared" ca="1" si="24"/>
        <v>46120</v>
      </c>
      <c r="J608" s="11">
        <f t="shared" ca="1" si="25"/>
        <v>46118</v>
      </c>
      <c r="K608" s="13"/>
    </row>
    <row r="609" spans="1:11" ht="18" x14ac:dyDescent="0.4">
      <c r="A609" s="93" t="s">
        <v>475</v>
      </c>
      <c r="B609" s="16" t="s">
        <v>576</v>
      </c>
      <c r="C609" s="8">
        <v>19807</v>
      </c>
      <c r="D609" s="9">
        <v>552594730</v>
      </c>
      <c r="E609" s="57">
        <v>900</v>
      </c>
      <c r="F609" s="10" t="s">
        <v>578</v>
      </c>
      <c r="G609" s="94">
        <v>1800</v>
      </c>
      <c r="H609" s="9">
        <f t="shared" si="23"/>
        <v>2</v>
      </c>
      <c r="I609" s="11">
        <f t="shared" ca="1" si="24"/>
        <v>46120</v>
      </c>
      <c r="J609" s="11">
        <f t="shared" ca="1" si="25"/>
        <v>46118</v>
      </c>
      <c r="K609" s="13"/>
    </row>
    <row r="610" spans="1:11" ht="18" x14ac:dyDescent="0.4">
      <c r="A610" s="93" t="s">
        <v>475</v>
      </c>
      <c r="B610" s="16" t="s">
        <v>576</v>
      </c>
      <c r="C610" s="8">
        <v>19807</v>
      </c>
      <c r="D610" s="9">
        <v>468209930</v>
      </c>
      <c r="E610" s="57">
        <v>900</v>
      </c>
      <c r="F610" s="10" t="s">
        <v>579</v>
      </c>
      <c r="G610" s="94">
        <v>0</v>
      </c>
      <c r="H610" s="9">
        <f t="shared" si="23"/>
        <v>0</v>
      </c>
      <c r="I610" s="11">
        <f t="shared" ca="1" si="24"/>
        <v>46120</v>
      </c>
      <c r="J610" s="11">
        <f t="shared" ca="1" si="25"/>
        <v>46118</v>
      </c>
      <c r="K610" s="13"/>
    </row>
    <row r="611" spans="1:11" ht="18" x14ac:dyDescent="0.4">
      <c r="A611" s="93" t="s">
        <v>475</v>
      </c>
      <c r="B611" s="16" t="s">
        <v>576</v>
      </c>
      <c r="C611" s="8">
        <v>19807</v>
      </c>
      <c r="D611" s="9">
        <v>468209950</v>
      </c>
      <c r="E611" s="57">
        <v>900</v>
      </c>
      <c r="F611" s="10" t="s">
        <v>580</v>
      </c>
      <c r="G611" s="94">
        <v>0</v>
      </c>
      <c r="H611" s="9">
        <f t="shared" si="23"/>
        <v>0</v>
      </c>
      <c r="I611" s="11">
        <f t="shared" ca="1" si="24"/>
        <v>46120</v>
      </c>
      <c r="J611" s="11">
        <f t="shared" ca="1" si="25"/>
        <v>46118</v>
      </c>
      <c r="K611" s="13"/>
    </row>
    <row r="612" spans="1:11" ht="18" x14ac:dyDescent="0.4">
      <c r="A612" s="93" t="s">
        <v>475</v>
      </c>
      <c r="B612" s="16" t="s">
        <v>372</v>
      </c>
      <c r="C612" s="8">
        <v>27951</v>
      </c>
      <c r="D612" s="9">
        <v>76779780</v>
      </c>
      <c r="E612" s="57">
        <v>300</v>
      </c>
      <c r="F612" s="10" t="s">
        <v>553</v>
      </c>
      <c r="G612" s="94">
        <v>3600</v>
      </c>
      <c r="H612" s="9">
        <f t="shared" si="23"/>
        <v>12</v>
      </c>
      <c r="I612" s="11">
        <f t="shared" ca="1" si="24"/>
        <v>46120</v>
      </c>
      <c r="J612" s="11">
        <f t="shared" ca="1" si="25"/>
        <v>46118</v>
      </c>
      <c r="K612" s="13"/>
    </row>
    <row r="613" spans="1:11" ht="18" x14ac:dyDescent="0.4">
      <c r="A613" s="93" t="s">
        <v>475</v>
      </c>
      <c r="B613" s="16" t="s">
        <v>372</v>
      </c>
      <c r="C613" s="8">
        <v>27951</v>
      </c>
      <c r="D613" s="9">
        <v>187538210</v>
      </c>
      <c r="E613" s="57">
        <v>180</v>
      </c>
      <c r="F613" s="10" t="s">
        <v>581</v>
      </c>
      <c r="G613" s="94">
        <v>2160</v>
      </c>
      <c r="H613" s="9">
        <f t="shared" si="23"/>
        <v>12</v>
      </c>
      <c r="I613" s="11">
        <f t="shared" ca="1" si="24"/>
        <v>46120</v>
      </c>
      <c r="J613" s="11">
        <f t="shared" ca="1" si="25"/>
        <v>46118</v>
      </c>
      <c r="K613" s="13"/>
    </row>
    <row r="614" spans="1:11" ht="18" x14ac:dyDescent="0.4">
      <c r="A614" s="93" t="s">
        <v>475</v>
      </c>
      <c r="B614" s="16" t="s">
        <v>372</v>
      </c>
      <c r="C614" s="8">
        <v>27951</v>
      </c>
      <c r="D614" s="9">
        <v>463436280</v>
      </c>
      <c r="E614" s="57">
        <v>600</v>
      </c>
      <c r="F614" s="10" t="s">
        <v>582</v>
      </c>
      <c r="G614" s="94">
        <v>7200</v>
      </c>
      <c r="H614" s="9">
        <f t="shared" si="23"/>
        <v>12</v>
      </c>
      <c r="I614" s="11">
        <f t="shared" ca="1" si="24"/>
        <v>46120</v>
      </c>
      <c r="J614" s="11">
        <f t="shared" ca="1" si="25"/>
        <v>46118</v>
      </c>
      <c r="K614" s="13"/>
    </row>
    <row r="615" spans="1:11" ht="18" x14ac:dyDescent="0.4">
      <c r="A615" s="93" t="s">
        <v>475</v>
      </c>
      <c r="B615" s="16" t="s">
        <v>377</v>
      </c>
      <c r="C615" s="8">
        <v>36019</v>
      </c>
      <c r="D615" s="9">
        <v>160504340</v>
      </c>
      <c r="E615" s="57">
        <v>400</v>
      </c>
      <c r="F615" s="10" t="s">
        <v>583</v>
      </c>
      <c r="G615" s="94">
        <v>8000</v>
      </c>
      <c r="H615" s="9">
        <f t="shared" si="23"/>
        <v>20</v>
      </c>
      <c r="I615" s="11">
        <f t="shared" ca="1" si="24"/>
        <v>46120</v>
      </c>
      <c r="J615" s="11">
        <f t="shared" ca="1" si="25"/>
        <v>46118</v>
      </c>
      <c r="K615" s="13"/>
    </row>
    <row r="616" spans="1:11" ht="18" x14ac:dyDescent="0.4">
      <c r="A616" s="93" t="s">
        <v>475</v>
      </c>
      <c r="B616" s="16" t="s">
        <v>377</v>
      </c>
      <c r="C616" s="8">
        <v>36019</v>
      </c>
      <c r="D616" s="9">
        <v>468130270</v>
      </c>
      <c r="E616" s="57">
        <v>1200</v>
      </c>
      <c r="F616" s="10" t="s">
        <v>584</v>
      </c>
      <c r="G616" s="94">
        <v>24000</v>
      </c>
      <c r="H616" s="9">
        <f t="shared" si="23"/>
        <v>20</v>
      </c>
      <c r="I616" s="11">
        <f t="shared" ca="1" si="24"/>
        <v>46120</v>
      </c>
      <c r="J616" s="11">
        <f t="shared" ca="1" si="25"/>
        <v>46118</v>
      </c>
      <c r="K616" s="13"/>
    </row>
    <row r="617" spans="1:11" ht="18" x14ac:dyDescent="0.4">
      <c r="A617" s="93" t="s">
        <v>475</v>
      </c>
      <c r="B617" s="16" t="s">
        <v>585</v>
      </c>
      <c r="C617" s="8">
        <v>10429</v>
      </c>
      <c r="D617" s="9">
        <v>467670560</v>
      </c>
      <c r="E617" s="57">
        <v>1152</v>
      </c>
      <c r="F617" s="10" t="s">
        <v>586</v>
      </c>
      <c r="G617" s="94">
        <v>2304</v>
      </c>
      <c r="H617" s="9">
        <f t="shared" si="23"/>
        <v>2</v>
      </c>
      <c r="I617" s="11">
        <f t="shared" ca="1" si="24"/>
        <v>46120</v>
      </c>
      <c r="J617" s="11">
        <f t="shared" ca="1" si="25"/>
        <v>46118</v>
      </c>
      <c r="K617" s="13"/>
    </row>
    <row r="618" spans="1:11" ht="18" x14ac:dyDescent="0.4">
      <c r="A618" s="93" t="s">
        <v>475</v>
      </c>
      <c r="B618" s="16" t="s">
        <v>585</v>
      </c>
      <c r="C618" s="8">
        <v>10429</v>
      </c>
      <c r="D618" s="9">
        <v>467689270</v>
      </c>
      <c r="E618" s="57">
        <v>1440</v>
      </c>
      <c r="F618" s="10" t="s">
        <v>587</v>
      </c>
      <c r="G618" s="94">
        <v>1440</v>
      </c>
      <c r="H618" s="9">
        <f t="shared" si="23"/>
        <v>1</v>
      </c>
      <c r="I618" s="11">
        <f t="shared" ca="1" si="24"/>
        <v>46120</v>
      </c>
      <c r="J618" s="11">
        <f t="shared" ca="1" si="25"/>
        <v>46118</v>
      </c>
      <c r="K618" s="13"/>
    </row>
    <row r="619" spans="1:11" ht="18" x14ac:dyDescent="0.4">
      <c r="A619" s="93" t="s">
        <v>475</v>
      </c>
      <c r="B619" s="16" t="s">
        <v>585</v>
      </c>
      <c r="C619" s="8">
        <v>10429</v>
      </c>
      <c r="D619" s="9">
        <v>467761970</v>
      </c>
      <c r="E619" s="57">
        <v>1200</v>
      </c>
      <c r="F619" s="10" t="s">
        <v>588</v>
      </c>
      <c r="G619" s="94">
        <v>3600</v>
      </c>
      <c r="H619" s="9">
        <f t="shared" si="23"/>
        <v>3</v>
      </c>
      <c r="I619" s="11">
        <f t="shared" ca="1" si="24"/>
        <v>46120</v>
      </c>
      <c r="J619" s="11">
        <f t="shared" ca="1" si="25"/>
        <v>46118</v>
      </c>
      <c r="K619" s="13"/>
    </row>
    <row r="620" spans="1:11" ht="18" x14ac:dyDescent="0.4">
      <c r="A620" s="93" t="s">
        <v>475</v>
      </c>
      <c r="B620" s="16" t="s">
        <v>585</v>
      </c>
      <c r="C620" s="8">
        <v>10429</v>
      </c>
      <c r="D620" s="9">
        <v>467761990</v>
      </c>
      <c r="E620" s="57">
        <v>864</v>
      </c>
      <c r="F620" s="10" t="s">
        <v>589</v>
      </c>
      <c r="G620" s="94">
        <v>3456</v>
      </c>
      <c r="H620" s="9">
        <f t="shared" si="23"/>
        <v>4</v>
      </c>
      <c r="I620" s="11">
        <f t="shared" ca="1" si="24"/>
        <v>46120</v>
      </c>
      <c r="J620" s="11">
        <f t="shared" ca="1" si="25"/>
        <v>46118</v>
      </c>
      <c r="K620" s="13"/>
    </row>
    <row r="621" spans="1:11" ht="18" x14ac:dyDescent="0.4">
      <c r="A621" s="93" t="s">
        <v>475</v>
      </c>
      <c r="B621" s="16" t="s">
        <v>585</v>
      </c>
      <c r="C621" s="8">
        <v>10429</v>
      </c>
      <c r="D621" s="9">
        <v>552597100</v>
      </c>
      <c r="E621" s="57">
        <v>1152</v>
      </c>
      <c r="F621" s="10" t="s">
        <v>590</v>
      </c>
      <c r="G621" s="94">
        <v>2304</v>
      </c>
      <c r="H621" s="9">
        <f t="shared" si="23"/>
        <v>2</v>
      </c>
      <c r="I621" s="11">
        <f t="shared" ca="1" si="24"/>
        <v>46120</v>
      </c>
      <c r="J621" s="11">
        <f t="shared" ca="1" si="25"/>
        <v>46118</v>
      </c>
      <c r="K621" s="13"/>
    </row>
    <row r="622" spans="1:11" ht="18" x14ac:dyDescent="0.4">
      <c r="A622" s="93" t="s">
        <v>475</v>
      </c>
      <c r="B622" s="16" t="s">
        <v>591</v>
      </c>
      <c r="C622" s="8">
        <v>43749</v>
      </c>
      <c r="D622" s="9">
        <v>400047600</v>
      </c>
      <c r="E622" s="57">
        <v>480</v>
      </c>
      <c r="F622" s="10" t="s">
        <v>592</v>
      </c>
      <c r="G622" s="94">
        <v>0</v>
      </c>
      <c r="H622" s="9">
        <f t="shared" si="23"/>
        <v>0</v>
      </c>
      <c r="I622" s="11">
        <f t="shared" ca="1" si="24"/>
        <v>46120</v>
      </c>
      <c r="J622" s="11">
        <f t="shared" ca="1" si="25"/>
        <v>46118</v>
      </c>
      <c r="K622" s="13"/>
    </row>
    <row r="623" spans="1:11" ht="18" x14ac:dyDescent="0.4">
      <c r="A623" s="93" t="s">
        <v>475</v>
      </c>
      <c r="B623" s="16" t="s">
        <v>591</v>
      </c>
      <c r="C623" s="8">
        <v>43749</v>
      </c>
      <c r="D623" s="9">
        <v>400048200</v>
      </c>
      <c r="E623" s="57">
        <v>780</v>
      </c>
      <c r="F623" s="10" t="s">
        <v>593</v>
      </c>
      <c r="G623" s="94">
        <v>0</v>
      </c>
      <c r="H623" s="9">
        <f t="shared" si="23"/>
        <v>0</v>
      </c>
      <c r="I623" s="11">
        <f t="shared" ca="1" si="24"/>
        <v>46120</v>
      </c>
      <c r="J623" s="11">
        <f t="shared" ca="1" si="25"/>
        <v>46118</v>
      </c>
      <c r="K623" s="13"/>
    </row>
    <row r="624" spans="1:11" ht="18" x14ac:dyDescent="0.4">
      <c r="A624" s="93" t="s">
        <v>475</v>
      </c>
      <c r="B624" s="16" t="s">
        <v>594</v>
      </c>
      <c r="C624" s="8">
        <v>31107</v>
      </c>
      <c r="D624" s="9">
        <v>552600330</v>
      </c>
      <c r="E624" s="57">
        <v>2700</v>
      </c>
      <c r="F624" s="10" t="s">
        <v>595</v>
      </c>
      <c r="G624" s="94">
        <v>0</v>
      </c>
      <c r="H624" s="9">
        <f t="shared" si="23"/>
        <v>0</v>
      </c>
      <c r="I624" s="11">
        <f t="shared" ca="1" si="24"/>
        <v>46120</v>
      </c>
      <c r="J624" s="11">
        <f t="shared" ca="1" si="25"/>
        <v>46118</v>
      </c>
      <c r="K624" s="13"/>
    </row>
    <row r="625" spans="1:11" ht="18" x14ac:dyDescent="0.4">
      <c r="A625" s="93" t="s">
        <v>475</v>
      </c>
      <c r="B625" s="16" t="s">
        <v>596</v>
      </c>
      <c r="C625" s="8">
        <v>33301</v>
      </c>
      <c r="D625" s="9">
        <v>552294200</v>
      </c>
      <c r="E625" s="57">
        <v>240</v>
      </c>
      <c r="F625" s="10" t="s">
        <v>597</v>
      </c>
      <c r="G625" s="94">
        <v>0</v>
      </c>
      <c r="H625" s="9">
        <f t="shared" ref="H625:H688" si="26">G625/E625</f>
        <v>0</v>
      </c>
      <c r="I625" s="11">
        <f t="shared" ca="1" si="24"/>
        <v>46120</v>
      </c>
      <c r="J625" s="11">
        <f t="shared" ca="1" si="25"/>
        <v>46118</v>
      </c>
      <c r="K625" s="13"/>
    </row>
    <row r="626" spans="1:11" ht="18" x14ac:dyDescent="0.4">
      <c r="A626" s="93" t="s">
        <v>475</v>
      </c>
      <c r="B626" s="16" t="s">
        <v>596</v>
      </c>
      <c r="C626" s="8">
        <v>33301</v>
      </c>
      <c r="D626" s="9">
        <v>552340160</v>
      </c>
      <c r="E626" s="57">
        <v>240</v>
      </c>
      <c r="F626" s="10" t="s">
        <v>598</v>
      </c>
      <c r="G626" s="94">
        <v>0</v>
      </c>
      <c r="H626" s="9">
        <f t="shared" si="26"/>
        <v>0</v>
      </c>
      <c r="I626" s="11">
        <f t="shared" ca="1" si="24"/>
        <v>46120</v>
      </c>
      <c r="J626" s="11">
        <f t="shared" ca="1" si="25"/>
        <v>46118</v>
      </c>
      <c r="K626" s="13"/>
    </row>
    <row r="627" spans="1:11" ht="18" x14ac:dyDescent="0.4">
      <c r="A627" s="93" t="s">
        <v>475</v>
      </c>
      <c r="B627" s="16" t="s">
        <v>414</v>
      </c>
      <c r="C627" s="8">
        <v>21570</v>
      </c>
      <c r="D627" s="9">
        <v>552826500</v>
      </c>
      <c r="E627" s="57">
        <v>900</v>
      </c>
      <c r="F627" s="10" t="s">
        <v>599</v>
      </c>
      <c r="G627" s="94">
        <v>0</v>
      </c>
      <c r="H627" s="9">
        <f t="shared" si="26"/>
        <v>0</v>
      </c>
      <c r="I627" s="11">
        <f t="shared" ca="1" si="24"/>
        <v>46120</v>
      </c>
      <c r="J627" s="11">
        <f t="shared" ca="1" si="25"/>
        <v>46118</v>
      </c>
      <c r="K627" s="13"/>
    </row>
    <row r="628" spans="1:11" ht="18" x14ac:dyDescent="0.4">
      <c r="A628" s="93" t="s">
        <v>475</v>
      </c>
      <c r="B628" s="16" t="s">
        <v>414</v>
      </c>
      <c r="C628" s="8">
        <v>21570</v>
      </c>
      <c r="D628" s="9">
        <v>552826470</v>
      </c>
      <c r="E628" s="57">
        <v>1500</v>
      </c>
      <c r="F628" s="10" t="s">
        <v>600</v>
      </c>
      <c r="G628" s="94">
        <v>6000</v>
      </c>
      <c r="H628" s="9">
        <f t="shared" si="26"/>
        <v>4</v>
      </c>
      <c r="I628" s="11">
        <f t="shared" ca="1" si="24"/>
        <v>46120</v>
      </c>
      <c r="J628" s="11">
        <f t="shared" ca="1" si="25"/>
        <v>46118</v>
      </c>
      <c r="K628" s="13"/>
    </row>
    <row r="629" spans="1:11" ht="18" x14ac:dyDescent="0.4">
      <c r="A629" s="93" t="s">
        <v>475</v>
      </c>
      <c r="B629" s="16" t="s">
        <v>414</v>
      </c>
      <c r="C629" s="8">
        <v>21570</v>
      </c>
      <c r="D629" s="9">
        <v>552826490</v>
      </c>
      <c r="E629" s="57">
        <v>250</v>
      </c>
      <c r="F629" s="10" t="s">
        <v>601</v>
      </c>
      <c r="G629" s="94">
        <v>3000</v>
      </c>
      <c r="H629" s="9">
        <f t="shared" si="26"/>
        <v>12</v>
      </c>
      <c r="I629" s="11">
        <f t="shared" ca="1" si="24"/>
        <v>46120</v>
      </c>
      <c r="J629" s="11">
        <f t="shared" ca="1" si="25"/>
        <v>46118</v>
      </c>
      <c r="K629" s="13"/>
    </row>
    <row r="630" spans="1:11" ht="18" x14ac:dyDescent="0.4">
      <c r="A630" s="93" t="s">
        <v>475</v>
      </c>
      <c r="B630" s="16" t="s">
        <v>414</v>
      </c>
      <c r="C630" s="8">
        <v>21570</v>
      </c>
      <c r="D630" s="9">
        <v>552826480</v>
      </c>
      <c r="E630" s="57">
        <v>250</v>
      </c>
      <c r="F630" s="10" t="s">
        <v>602</v>
      </c>
      <c r="G630" s="94">
        <v>3000</v>
      </c>
      <c r="H630" s="9">
        <f t="shared" si="26"/>
        <v>12</v>
      </c>
      <c r="I630" s="11">
        <f t="shared" ca="1" si="24"/>
        <v>46120</v>
      </c>
      <c r="J630" s="11">
        <f t="shared" ca="1" si="25"/>
        <v>46118</v>
      </c>
      <c r="K630" s="13"/>
    </row>
    <row r="631" spans="1:11" ht="18" x14ac:dyDescent="0.4">
      <c r="A631" s="93" t="s">
        <v>475</v>
      </c>
      <c r="B631" s="16" t="s">
        <v>439</v>
      </c>
      <c r="C631" s="8">
        <v>40840</v>
      </c>
      <c r="D631" s="9">
        <v>187521210</v>
      </c>
      <c r="E631" s="57">
        <v>900</v>
      </c>
      <c r="F631" s="95" t="s">
        <v>312</v>
      </c>
      <c r="G631" s="94">
        <v>13500</v>
      </c>
      <c r="H631" s="9">
        <f t="shared" si="26"/>
        <v>15</v>
      </c>
      <c r="I631" s="11">
        <f t="shared" ref="I631:I694" ca="1" si="27">I630</f>
        <v>46120</v>
      </c>
      <c r="J631" s="11">
        <f t="shared" ca="1" si="25"/>
        <v>46118</v>
      </c>
      <c r="K631" s="13"/>
    </row>
    <row r="632" spans="1:11" ht="18" x14ac:dyDescent="0.4">
      <c r="A632" s="93" t="s">
        <v>475</v>
      </c>
      <c r="B632" s="16" t="s">
        <v>439</v>
      </c>
      <c r="C632" s="8">
        <v>40840</v>
      </c>
      <c r="D632" s="9">
        <v>187543240</v>
      </c>
      <c r="E632" s="57">
        <v>400</v>
      </c>
      <c r="F632" s="95" t="s">
        <v>565</v>
      </c>
      <c r="G632" s="94">
        <v>22200</v>
      </c>
      <c r="H632" s="9">
        <f t="shared" si="26"/>
        <v>55.5</v>
      </c>
      <c r="I632" s="11">
        <f ca="1">I631</f>
        <v>46120</v>
      </c>
      <c r="J632" s="11">
        <f t="shared" ca="1" si="25"/>
        <v>46118</v>
      </c>
      <c r="K632" s="13"/>
    </row>
    <row r="633" spans="1:11" ht="18" x14ac:dyDescent="0.4">
      <c r="A633" s="93" t="s">
        <v>475</v>
      </c>
      <c r="B633" s="16" t="s">
        <v>439</v>
      </c>
      <c r="C633" s="8">
        <v>40840</v>
      </c>
      <c r="D633" s="9">
        <v>187532210</v>
      </c>
      <c r="E633" s="57">
        <v>350</v>
      </c>
      <c r="F633" s="95" t="s">
        <v>603</v>
      </c>
      <c r="G633" s="94">
        <v>16450</v>
      </c>
      <c r="H633" s="9">
        <f t="shared" si="26"/>
        <v>47</v>
      </c>
      <c r="I633" s="11">
        <f t="shared" ca="1" si="27"/>
        <v>46120</v>
      </c>
      <c r="J633" s="11">
        <f t="shared" ca="1" si="25"/>
        <v>46118</v>
      </c>
      <c r="K633" s="13"/>
    </row>
    <row r="634" spans="1:11" ht="18" x14ac:dyDescent="0.4">
      <c r="A634" s="93" t="s">
        <v>475</v>
      </c>
      <c r="B634" s="16" t="s">
        <v>439</v>
      </c>
      <c r="C634" s="8">
        <v>40840</v>
      </c>
      <c r="D634" s="9">
        <v>109026210</v>
      </c>
      <c r="E634" s="57">
        <v>1500</v>
      </c>
      <c r="F634" s="95" t="s">
        <v>604</v>
      </c>
      <c r="G634" s="94">
        <v>0</v>
      </c>
      <c r="H634" s="9">
        <f t="shared" si="26"/>
        <v>0</v>
      </c>
      <c r="I634" s="11">
        <f t="shared" ca="1" si="27"/>
        <v>46120</v>
      </c>
      <c r="J634" s="11">
        <f t="shared" ca="1" si="25"/>
        <v>46118</v>
      </c>
      <c r="K634" s="13"/>
    </row>
    <row r="635" spans="1:11" ht="18" x14ac:dyDescent="0.4">
      <c r="A635" s="93" t="s">
        <v>475</v>
      </c>
      <c r="B635" s="16" t="s">
        <v>439</v>
      </c>
      <c r="C635" s="8">
        <v>40840</v>
      </c>
      <c r="D635" s="9">
        <v>162860210</v>
      </c>
      <c r="E635" s="57">
        <v>1750</v>
      </c>
      <c r="F635" s="95" t="s">
        <v>605</v>
      </c>
      <c r="G635" s="94">
        <v>33250</v>
      </c>
      <c r="H635" s="9">
        <f t="shared" si="26"/>
        <v>19</v>
      </c>
      <c r="I635" s="11">
        <f t="shared" ca="1" si="27"/>
        <v>46120</v>
      </c>
      <c r="J635" s="11">
        <f t="shared" ca="1" si="25"/>
        <v>46118</v>
      </c>
      <c r="K635" s="13"/>
    </row>
    <row r="636" spans="1:11" ht="18" x14ac:dyDescent="0.4">
      <c r="A636" s="93" t="s">
        <v>475</v>
      </c>
      <c r="B636" s="16" t="s">
        <v>606</v>
      </c>
      <c r="C636" s="8">
        <v>23480</v>
      </c>
      <c r="D636" s="9">
        <v>43283640</v>
      </c>
      <c r="E636" s="57">
        <v>2000</v>
      </c>
      <c r="F636" s="10" t="s">
        <v>607</v>
      </c>
      <c r="G636" s="94">
        <v>4000</v>
      </c>
      <c r="H636" s="9">
        <f t="shared" si="26"/>
        <v>2</v>
      </c>
      <c r="I636" s="11">
        <f t="shared" ca="1" si="27"/>
        <v>46120</v>
      </c>
      <c r="J636" s="11">
        <f t="shared" ca="1" si="25"/>
        <v>46118</v>
      </c>
      <c r="K636" s="13"/>
    </row>
    <row r="637" spans="1:11" ht="18" x14ac:dyDescent="0.4">
      <c r="A637" s="93" t="s">
        <v>475</v>
      </c>
      <c r="B637" s="16" t="s">
        <v>606</v>
      </c>
      <c r="C637" s="8">
        <v>23480</v>
      </c>
      <c r="D637" s="9">
        <v>75395980</v>
      </c>
      <c r="E637" s="57">
        <v>4000</v>
      </c>
      <c r="F637" s="10" t="s">
        <v>608</v>
      </c>
      <c r="G637" s="94">
        <v>4000</v>
      </c>
      <c r="H637" s="9">
        <f t="shared" si="26"/>
        <v>1</v>
      </c>
      <c r="I637" s="11">
        <f t="shared" ca="1" si="27"/>
        <v>46120</v>
      </c>
      <c r="J637" s="11">
        <f t="shared" ca="1" si="25"/>
        <v>46118</v>
      </c>
      <c r="K637" s="13"/>
    </row>
    <row r="638" spans="1:11" ht="18" x14ac:dyDescent="0.4">
      <c r="A638" s="93" t="s">
        <v>475</v>
      </c>
      <c r="B638" s="7" t="s">
        <v>606</v>
      </c>
      <c r="C638" s="8">
        <v>23480</v>
      </c>
      <c r="D638" s="9">
        <v>144557800</v>
      </c>
      <c r="E638" s="57">
        <v>1000</v>
      </c>
      <c r="F638" s="10" t="s">
        <v>609</v>
      </c>
      <c r="G638" s="94">
        <v>0</v>
      </c>
      <c r="H638" s="9">
        <f t="shared" si="26"/>
        <v>0</v>
      </c>
      <c r="I638" s="11">
        <f t="shared" ca="1" si="27"/>
        <v>46120</v>
      </c>
      <c r="J638" s="11">
        <f t="shared" ca="1" si="25"/>
        <v>46118</v>
      </c>
      <c r="K638" s="13"/>
    </row>
    <row r="639" spans="1:11" ht="18" x14ac:dyDescent="0.4">
      <c r="A639" s="93" t="s">
        <v>475</v>
      </c>
      <c r="B639" s="16" t="s">
        <v>606</v>
      </c>
      <c r="C639" s="8">
        <v>23480</v>
      </c>
      <c r="D639" s="9">
        <v>500080480</v>
      </c>
      <c r="E639" s="57">
        <v>3000</v>
      </c>
      <c r="F639" s="10" t="s">
        <v>610</v>
      </c>
      <c r="G639" s="94">
        <v>3000</v>
      </c>
      <c r="H639" s="9">
        <f t="shared" si="26"/>
        <v>1</v>
      </c>
      <c r="I639" s="11">
        <f t="shared" ca="1" si="27"/>
        <v>46120</v>
      </c>
      <c r="J639" s="11">
        <f t="shared" ca="1" si="25"/>
        <v>46118</v>
      </c>
      <c r="K639" s="13"/>
    </row>
    <row r="640" spans="1:11" ht="18" x14ac:dyDescent="0.4">
      <c r="A640" s="93" t="s">
        <v>475</v>
      </c>
      <c r="B640" s="16" t="s">
        <v>611</v>
      </c>
      <c r="C640" s="8">
        <v>42998</v>
      </c>
      <c r="D640" s="9">
        <v>463545200</v>
      </c>
      <c r="E640" s="57">
        <v>600</v>
      </c>
      <c r="F640" s="10" t="s">
        <v>612</v>
      </c>
      <c r="G640" s="94">
        <v>0</v>
      </c>
      <c r="H640" s="9">
        <f t="shared" si="26"/>
        <v>0</v>
      </c>
      <c r="I640" s="11">
        <f t="shared" ca="1" si="27"/>
        <v>46120</v>
      </c>
      <c r="J640" s="11">
        <f t="shared" ca="1" si="25"/>
        <v>46118</v>
      </c>
      <c r="K640" s="13"/>
    </row>
    <row r="641" spans="1:11" ht="18" x14ac:dyDescent="0.4">
      <c r="A641" s="93" t="s">
        <v>475</v>
      </c>
      <c r="B641" s="16" t="s">
        <v>473</v>
      </c>
      <c r="C641" s="8">
        <v>31775</v>
      </c>
      <c r="D641" s="9">
        <v>552597070</v>
      </c>
      <c r="E641" s="57">
        <v>900</v>
      </c>
      <c r="F641" s="10" t="s">
        <v>613</v>
      </c>
      <c r="G641" s="94">
        <v>1800</v>
      </c>
      <c r="H641" s="9">
        <f t="shared" si="26"/>
        <v>2</v>
      </c>
      <c r="I641" s="11">
        <f t="shared" ca="1" si="27"/>
        <v>46120</v>
      </c>
      <c r="J641" s="11">
        <f t="shared" ca="1" si="25"/>
        <v>46118</v>
      </c>
      <c r="K641" s="13"/>
    </row>
    <row r="642" spans="1:11" ht="18" x14ac:dyDescent="0.4">
      <c r="A642" s="93" t="s">
        <v>475</v>
      </c>
      <c r="B642" s="16" t="s">
        <v>614</v>
      </c>
      <c r="C642" s="8">
        <v>10627</v>
      </c>
      <c r="D642" s="9">
        <v>77132900</v>
      </c>
      <c r="E642" s="57">
        <v>2500</v>
      </c>
      <c r="F642" s="10" t="s">
        <v>615</v>
      </c>
      <c r="G642" s="94">
        <v>0</v>
      </c>
      <c r="H642" s="9">
        <f t="shared" si="26"/>
        <v>0</v>
      </c>
      <c r="I642" s="11">
        <f t="shared" ca="1" si="27"/>
        <v>46120</v>
      </c>
      <c r="J642" s="11">
        <f t="shared" ca="1" si="25"/>
        <v>46118</v>
      </c>
      <c r="K642" s="13"/>
    </row>
    <row r="643" spans="1:11" ht="19.5" x14ac:dyDescent="0.55000000000000004">
      <c r="A643" s="93" t="s">
        <v>475</v>
      </c>
      <c r="B643" s="16" t="s">
        <v>616</v>
      </c>
      <c r="C643" s="8">
        <v>50050</v>
      </c>
      <c r="D643" s="9">
        <v>552807940</v>
      </c>
      <c r="E643" s="57">
        <v>360</v>
      </c>
      <c r="F643" s="10" t="s">
        <v>617</v>
      </c>
      <c r="G643" s="94">
        <v>0</v>
      </c>
      <c r="H643" s="9">
        <f t="shared" si="26"/>
        <v>0</v>
      </c>
      <c r="I643" s="11">
        <f t="shared" ca="1" si="27"/>
        <v>46120</v>
      </c>
      <c r="J643" s="11">
        <f t="shared" ca="1" si="25"/>
        <v>46118</v>
      </c>
      <c r="K643" s="58"/>
    </row>
    <row r="644" spans="1:11" ht="19.5" x14ac:dyDescent="0.55000000000000004">
      <c r="A644" s="93" t="s">
        <v>475</v>
      </c>
      <c r="B644" s="16" t="s">
        <v>616</v>
      </c>
      <c r="C644" s="8">
        <v>50050</v>
      </c>
      <c r="D644" s="9">
        <v>552807950</v>
      </c>
      <c r="E644" s="57">
        <v>360</v>
      </c>
      <c r="F644" s="10" t="s">
        <v>618</v>
      </c>
      <c r="G644" s="94">
        <v>0</v>
      </c>
      <c r="H644" s="9">
        <f t="shared" si="26"/>
        <v>0</v>
      </c>
      <c r="I644" s="11">
        <f t="shared" ca="1" si="27"/>
        <v>46120</v>
      </c>
      <c r="J644" s="11">
        <f t="shared" ca="1" si="25"/>
        <v>46118</v>
      </c>
      <c r="K644" s="58"/>
    </row>
    <row r="645" spans="1:11" ht="19.5" x14ac:dyDescent="0.55000000000000004">
      <c r="A645" s="93" t="s">
        <v>475</v>
      </c>
      <c r="B645" s="16" t="s">
        <v>616</v>
      </c>
      <c r="C645" s="8">
        <v>50050</v>
      </c>
      <c r="D645" s="9">
        <v>552810000</v>
      </c>
      <c r="E645" s="57">
        <v>450</v>
      </c>
      <c r="F645" s="10" t="s">
        <v>619</v>
      </c>
      <c r="G645" s="94">
        <v>1800</v>
      </c>
      <c r="H645" s="9">
        <f t="shared" si="26"/>
        <v>4</v>
      </c>
      <c r="I645" s="11">
        <f t="shared" ca="1" si="27"/>
        <v>46120</v>
      </c>
      <c r="J645" s="11">
        <f t="shared" ca="1" si="25"/>
        <v>46118</v>
      </c>
      <c r="K645" s="58"/>
    </row>
    <row r="646" spans="1:11" ht="19.5" x14ac:dyDescent="0.55000000000000004">
      <c r="A646" s="93" t="s">
        <v>475</v>
      </c>
      <c r="B646" s="16" t="s">
        <v>616</v>
      </c>
      <c r="C646" s="8">
        <v>50050</v>
      </c>
      <c r="D646" s="9">
        <v>552807960</v>
      </c>
      <c r="E646" s="57">
        <v>180</v>
      </c>
      <c r="F646" s="10" t="s">
        <v>620</v>
      </c>
      <c r="G646" s="94">
        <v>0</v>
      </c>
      <c r="H646" s="9">
        <f t="shared" si="26"/>
        <v>0</v>
      </c>
      <c r="I646" s="11">
        <f t="shared" ca="1" si="27"/>
        <v>46120</v>
      </c>
      <c r="J646" s="11">
        <f t="shared" ref="J646:J714" ca="1" si="28">TODAY()</f>
        <v>46118</v>
      </c>
      <c r="K646" s="58"/>
    </row>
    <row r="647" spans="1:11" ht="19.5" x14ac:dyDescent="0.55000000000000004">
      <c r="A647" s="93" t="s">
        <v>475</v>
      </c>
      <c r="B647" s="16" t="s">
        <v>616</v>
      </c>
      <c r="C647" s="8">
        <v>50050</v>
      </c>
      <c r="D647" s="9">
        <v>552512680</v>
      </c>
      <c r="E647" s="57">
        <v>1800</v>
      </c>
      <c r="F647" s="10" t="s">
        <v>621</v>
      </c>
      <c r="G647" s="94">
        <v>1800</v>
      </c>
      <c r="H647" s="9">
        <f t="shared" si="26"/>
        <v>1</v>
      </c>
      <c r="I647" s="11">
        <f t="shared" ca="1" si="27"/>
        <v>46120</v>
      </c>
      <c r="J647" s="11">
        <f t="shared" ca="1" si="28"/>
        <v>46118</v>
      </c>
      <c r="K647" s="58"/>
    </row>
    <row r="648" spans="1:11" ht="19.5" x14ac:dyDescent="0.55000000000000004">
      <c r="A648" s="93" t="s">
        <v>475</v>
      </c>
      <c r="B648" s="16" t="s">
        <v>616</v>
      </c>
      <c r="C648" s="8">
        <v>50050</v>
      </c>
      <c r="D648" s="9">
        <v>552500530</v>
      </c>
      <c r="E648" s="57">
        <v>2400</v>
      </c>
      <c r="F648" s="10" t="s">
        <v>621</v>
      </c>
      <c r="G648" s="94">
        <v>0</v>
      </c>
      <c r="H648" s="9">
        <f t="shared" si="26"/>
        <v>0</v>
      </c>
      <c r="I648" s="11">
        <f t="shared" ca="1" si="27"/>
        <v>46120</v>
      </c>
      <c r="J648" s="11">
        <f t="shared" ca="1" si="28"/>
        <v>46118</v>
      </c>
      <c r="K648" s="58"/>
    </row>
    <row r="649" spans="1:11" ht="19.5" x14ac:dyDescent="0.55000000000000004">
      <c r="A649" s="93" t="s">
        <v>475</v>
      </c>
      <c r="B649" s="16" t="s">
        <v>616</v>
      </c>
      <c r="C649" s="8">
        <v>50050</v>
      </c>
      <c r="D649" s="9">
        <v>552807970</v>
      </c>
      <c r="E649" s="57">
        <v>180</v>
      </c>
      <c r="F649" s="10" t="s">
        <v>622</v>
      </c>
      <c r="G649" s="94">
        <v>1800</v>
      </c>
      <c r="H649" s="9">
        <f t="shared" si="26"/>
        <v>10</v>
      </c>
      <c r="I649" s="11">
        <f t="shared" ca="1" si="27"/>
        <v>46120</v>
      </c>
      <c r="J649" s="11">
        <f t="shared" ca="1" si="28"/>
        <v>46118</v>
      </c>
      <c r="K649" s="58"/>
    </row>
    <row r="650" spans="1:11" ht="19.5" x14ac:dyDescent="0.55000000000000004">
      <c r="A650" s="93" t="s">
        <v>475</v>
      </c>
      <c r="B650" s="16" t="s">
        <v>286</v>
      </c>
      <c r="C650" s="8">
        <v>51625</v>
      </c>
      <c r="D650" s="9">
        <v>463458000</v>
      </c>
      <c r="E650" s="57">
        <v>1800</v>
      </c>
      <c r="F650" s="10" t="s">
        <v>623</v>
      </c>
      <c r="G650" s="94">
        <v>1800</v>
      </c>
      <c r="H650" s="9">
        <f t="shared" si="26"/>
        <v>1</v>
      </c>
      <c r="I650" s="11">
        <f t="shared" ca="1" si="27"/>
        <v>46120</v>
      </c>
      <c r="J650" s="11">
        <f t="shared" ca="1" si="28"/>
        <v>46118</v>
      </c>
      <c r="K650" s="58"/>
    </row>
    <row r="651" spans="1:11" ht="19.5" x14ac:dyDescent="0.55000000000000004">
      <c r="A651" s="93" t="s">
        <v>475</v>
      </c>
      <c r="B651" s="16" t="s">
        <v>286</v>
      </c>
      <c r="C651" s="8">
        <v>51625</v>
      </c>
      <c r="D651" s="9">
        <v>463457980</v>
      </c>
      <c r="E651" s="57">
        <v>1600</v>
      </c>
      <c r="F651" s="10" t="s">
        <v>624</v>
      </c>
      <c r="G651" s="94">
        <v>1600</v>
      </c>
      <c r="H651" s="9">
        <f t="shared" si="26"/>
        <v>1</v>
      </c>
      <c r="I651" s="11">
        <f t="shared" ca="1" si="27"/>
        <v>46120</v>
      </c>
      <c r="J651" s="11">
        <f t="shared" ca="1" si="28"/>
        <v>46118</v>
      </c>
      <c r="K651" s="58"/>
    </row>
    <row r="652" spans="1:11" ht="19.5" x14ac:dyDescent="0.55000000000000004">
      <c r="A652" s="93" t="s">
        <v>475</v>
      </c>
      <c r="B652" s="16" t="s">
        <v>286</v>
      </c>
      <c r="C652" s="8">
        <v>51625</v>
      </c>
      <c r="D652" s="9">
        <v>463457990</v>
      </c>
      <c r="E652" s="57">
        <v>1920</v>
      </c>
      <c r="F652" s="10" t="s">
        <v>625</v>
      </c>
      <c r="G652" s="94">
        <v>1920</v>
      </c>
      <c r="H652" s="9">
        <f t="shared" si="26"/>
        <v>1</v>
      </c>
      <c r="I652" s="11">
        <f t="shared" ca="1" si="27"/>
        <v>46120</v>
      </c>
      <c r="J652" s="11">
        <f t="shared" ca="1" si="28"/>
        <v>46118</v>
      </c>
      <c r="K652" s="58"/>
    </row>
    <row r="653" spans="1:11" ht="18" x14ac:dyDescent="0.4">
      <c r="A653" s="93" t="s">
        <v>475</v>
      </c>
      <c r="B653" s="16" t="s">
        <v>626</v>
      </c>
      <c r="C653" s="8">
        <v>13093</v>
      </c>
      <c r="D653" s="9">
        <v>552679890</v>
      </c>
      <c r="E653" s="57">
        <v>150</v>
      </c>
      <c r="F653" s="10" t="s">
        <v>627</v>
      </c>
      <c r="G653" s="94">
        <v>0</v>
      </c>
      <c r="H653" s="9">
        <f t="shared" si="26"/>
        <v>0</v>
      </c>
      <c r="I653" s="11">
        <f t="shared" ca="1" si="27"/>
        <v>46120</v>
      </c>
      <c r="J653" s="11">
        <f t="shared" ca="1" si="28"/>
        <v>46118</v>
      </c>
      <c r="K653" s="13"/>
    </row>
    <row r="654" spans="1:11" ht="18" x14ac:dyDescent="0.4">
      <c r="A654" s="93" t="s">
        <v>475</v>
      </c>
      <c r="B654" s="16" t="s">
        <v>628</v>
      </c>
      <c r="C654" s="60">
        <v>30467</v>
      </c>
      <c r="D654" s="61">
        <v>552757120</v>
      </c>
      <c r="E654" s="60">
        <v>300</v>
      </c>
      <c r="F654" s="96" t="s">
        <v>629</v>
      </c>
      <c r="G654" s="94">
        <v>6000</v>
      </c>
      <c r="H654" s="9">
        <f t="shared" si="26"/>
        <v>20</v>
      </c>
      <c r="I654" s="11">
        <f t="shared" ca="1" si="27"/>
        <v>46120</v>
      </c>
      <c r="J654" s="11">
        <f t="shared" ca="1" si="28"/>
        <v>46118</v>
      </c>
      <c r="K654" s="13"/>
    </row>
    <row r="655" spans="1:11" ht="18" x14ac:dyDescent="0.4">
      <c r="A655" s="93" t="s">
        <v>475</v>
      </c>
      <c r="B655" s="16" t="s">
        <v>628</v>
      </c>
      <c r="C655" s="60">
        <v>30467</v>
      </c>
      <c r="D655" s="61">
        <v>77894039</v>
      </c>
      <c r="E655" s="60">
        <v>2880</v>
      </c>
      <c r="F655" s="96" t="s">
        <v>510</v>
      </c>
      <c r="G655" s="94">
        <v>5760</v>
      </c>
      <c r="H655" s="9">
        <f>G655/E655</f>
        <v>2</v>
      </c>
      <c r="I655" s="11">
        <f ca="1">I654</f>
        <v>46120</v>
      </c>
      <c r="J655" s="11">
        <f ca="1">TODAY()</f>
        <v>46118</v>
      </c>
      <c r="K655" s="13"/>
    </row>
    <row r="656" spans="1:11" ht="18" x14ac:dyDescent="0.4">
      <c r="A656" s="93" t="s">
        <v>475</v>
      </c>
      <c r="B656" s="16" t="s">
        <v>628</v>
      </c>
      <c r="C656" s="60">
        <v>30467</v>
      </c>
      <c r="D656" s="61">
        <v>463458088</v>
      </c>
      <c r="E656" s="60">
        <v>1440</v>
      </c>
      <c r="F656" s="96" t="s">
        <v>630</v>
      </c>
      <c r="G656" s="94">
        <v>4320</v>
      </c>
      <c r="H656" s="9">
        <f>G656/E656</f>
        <v>3</v>
      </c>
      <c r="I656" s="11">
        <f ca="1">I655</f>
        <v>46120</v>
      </c>
      <c r="J656" s="11">
        <f ca="1">TODAY()</f>
        <v>46118</v>
      </c>
      <c r="K656" s="13"/>
    </row>
    <row r="657" spans="1:11" ht="18" x14ac:dyDescent="0.4">
      <c r="A657" s="93" t="s">
        <v>475</v>
      </c>
      <c r="B657" s="16" t="s">
        <v>631</v>
      </c>
      <c r="C657" s="8">
        <v>60644</v>
      </c>
      <c r="D657" s="9">
        <v>75742790</v>
      </c>
      <c r="E657" s="57">
        <v>400</v>
      </c>
      <c r="F657" s="10" t="s">
        <v>632</v>
      </c>
      <c r="G657" s="94">
        <v>0</v>
      </c>
      <c r="H657" s="9">
        <f>G657/E657</f>
        <v>0</v>
      </c>
      <c r="I657" s="11">
        <f ca="1">I654</f>
        <v>46120</v>
      </c>
      <c r="J657" s="11">
        <f t="shared" ca="1" si="28"/>
        <v>46118</v>
      </c>
      <c r="K657" s="13"/>
    </row>
    <row r="658" spans="1:11" ht="18" x14ac:dyDescent="0.4">
      <c r="A658" s="93" t="s">
        <v>475</v>
      </c>
      <c r="B658" s="16" t="s">
        <v>631</v>
      </c>
      <c r="C658" s="8">
        <v>60644</v>
      </c>
      <c r="D658" s="9">
        <v>464600430</v>
      </c>
      <c r="E658" s="57">
        <v>72</v>
      </c>
      <c r="F658" s="10" t="s">
        <v>633</v>
      </c>
      <c r="G658" s="94">
        <v>0</v>
      </c>
      <c r="H658" s="9">
        <f t="shared" si="26"/>
        <v>0</v>
      </c>
      <c r="I658" s="11">
        <f t="shared" ca="1" si="27"/>
        <v>46120</v>
      </c>
      <c r="J658" s="11">
        <f t="shared" ca="1" si="28"/>
        <v>46118</v>
      </c>
      <c r="K658" s="13"/>
    </row>
    <row r="659" spans="1:11" ht="19.5" x14ac:dyDescent="0.55000000000000004">
      <c r="A659" s="93" t="s">
        <v>475</v>
      </c>
      <c r="B659" s="16" t="s">
        <v>634</v>
      </c>
      <c r="C659" s="8">
        <v>63192</v>
      </c>
      <c r="D659" s="9">
        <v>552044480</v>
      </c>
      <c r="E659" s="57">
        <v>45</v>
      </c>
      <c r="F659" s="10" t="s">
        <v>635</v>
      </c>
      <c r="G659" s="94">
        <v>0</v>
      </c>
      <c r="H659" s="9">
        <f t="shared" si="26"/>
        <v>0</v>
      </c>
      <c r="I659" s="11">
        <f t="shared" ca="1" si="27"/>
        <v>46120</v>
      </c>
      <c r="J659" s="11">
        <f t="shared" ca="1" si="28"/>
        <v>46118</v>
      </c>
      <c r="K659" s="59" t="s">
        <v>636</v>
      </c>
    </row>
    <row r="660" spans="1:11" ht="19.5" x14ac:dyDescent="0.55000000000000004">
      <c r="A660" s="93" t="s">
        <v>475</v>
      </c>
      <c r="B660" s="16" t="s">
        <v>634</v>
      </c>
      <c r="C660" s="8">
        <v>63192</v>
      </c>
      <c r="D660" s="9">
        <v>552044490</v>
      </c>
      <c r="E660" s="57">
        <v>45</v>
      </c>
      <c r="F660" s="10" t="s">
        <v>635</v>
      </c>
      <c r="G660" s="94">
        <v>0</v>
      </c>
      <c r="H660" s="9">
        <f t="shared" si="26"/>
        <v>0</v>
      </c>
      <c r="I660" s="11">
        <f t="shared" ca="1" si="27"/>
        <v>46120</v>
      </c>
      <c r="J660" s="11">
        <f t="shared" ca="1" si="28"/>
        <v>46118</v>
      </c>
      <c r="K660" s="59"/>
    </row>
    <row r="661" spans="1:11" ht="18" x14ac:dyDescent="0.4">
      <c r="A661" s="93" t="s">
        <v>475</v>
      </c>
      <c r="B661" s="16" t="s">
        <v>637</v>
      </c>
      <c r="C661" s="8">
        <v>64641</v>
      </c>
      <c r="D661" s="9">
        <v>143253110</v>
      </c>
      <c r="E661" s="57">
        <v>350</v>
      </c>
      <c r="F661" s="10" t="s">
        <v>638</v>
      </c>
      <c r="G661" s="94">
        <v>7000</v>
      </c>
      <c r="H661" s="9">
        <f t="shared" si="26"/>
        <v>20</v>
      </c>
      <c r="I661" s="11">
        <f t="shared" ca="1" si="27"/>
        <v>46120</v>
      </c>
      <c r="J661" s="11">
        <f t="shared" ca="1" si="28"/>
        <v>46118</v>
      </c>
      <c r="K661" s="13"/>
    </row>
    <row r="662" spans="1:11" ht="18" x14ac:dyDescent="0.4">
      <c r="A662" s="93" t="s">
        <v>475</v>
      </c>
      <c r="B662" s="16" t="s">
        <v>639</v>
      </c>
      <c r="C662" s="8">
        <v>29928</v>
      </c>
      <c r="D662" s="9">
        <v>400048200</v>
      </c>
      <c r="E662" s="57">
        <v>480</v>
      </c>
      <c r="F662" s="10" t="s">
        <v>593</v>
      </c>
      <c r="G662" s="94">
        <v>1920</v>
      </c>
      <c r="H662" s="9">
        <f t="shared" si="26"/>
        <v>4</v>
      </c>
      <c r="I662" s="11">
        <f t="shared" ca="1" si="27"/>
        <v>46120</v>
      </c>
      <c r="J662" s="11">
        <f t="shared" ca="1" si="28"/>
        <v>46118</v>
      </c>
      <c r="K662" s="13"/>
    </row>
    <row r="663" spans="1:11" ht="18" x14ac:dyDescent="0.4">
      <c r="A663" s="93" t="s">
        <v>475</v>
      </c>
      <c r="B663" s="16" t="s">
        <v>640</v>
      </c>
      <c r="C663" s="8">
        <v>68265</v>
      </c>
      <c r="D663" s="9">
        <v>463415970</v>
      </c>
      <c r="E663" s="57">
        <v>360</v>
      </c>
      <c r="F663" s="10" t="s">
        <v>641</v>
      </c>
      <c r="G663" s="94">
        <v>0</v>
      </c>
      <c r="H663" s="9">
        <f t="shared" si="26"/>
        <v>0</v>
      </c>
      <c r="I663" s="11">
        <f t="shared" ca="1" si="27"/>
        <v>46120</v>
      </c>
      <c r="J663" s="11">
        <f t="shared" ca="1" si="28"/>
        <v>46118</v>
      </c>
      <c r="K663" s="13"/>
    </row>
    <row r="664" spans="1:11" ht="18" x14ac:dyDescent="0.4">
      <c r="A664" s="93" t="s">
        <v>475</v>
      </c>
      <c r="B664" s="16" t="s">
        <v>640</v>
      </c>
      <c r="C664" s="8">
        <v>68265</v>
      </c>
      <c r="D664" s="9">
        <v>551914710</v>
      </c>
      <c r="E664" s="57">
        <v>360</v>
      </c>
      <c r="F664" s="10" t="s">
        <v>642</v>
      </c>
      <c r="G664" s="94">
        <v>0</v>
      </c>
      <c r="H664" s="9">
        <f t="shared" si="26"/>
        <v>0</v>
      </c>
      <c r="I664" s="11">
        <f t="shared" ca="1" si="27"/>
        <v>46120</v>
      </c>
      <c r="J664" s="11">
        <f t="shared" ca="1" si="28"/>
        <v>46118</v>
      </c>
      <c r="K664" s="13"/>
    </row>
    <row r="665" spans="1:11" ht="18" x14ac:dyDescent="0.4">
      <c r="A665" s="93" t="s">
        <v>475</v>
      </c>
      <c r="B665" s="16" t="s">
        <v>640</v>
      </c>
      <c r="C665" s="8">
        <v>68265</v>
      </c>
      <c r="D665" s="9">
        <v>552444220</v>
      </c>
      <c r="E665" s="57">
        <v>180</v>
      </c>
      <c r="F665" s="10" t="s">
        <v>641</v>
      </c>
      <c r="G665" s="94">
        <v>0</v>
      </c>
      <c r="H665" s="9">
        <f t="shared" si="26"/>
        <v>0</v>
      </c>
      <c r="I665" s="11">
        <f t="shared" ca="1" si="27"/>
        <v>46120</v>
      </c>
      <c r="J665" s="11">
        <f t="shared" ca="1" si="28"/>
        <v>46118</v>
      </c>
      <c r="K665" s="13"/>
    </row>
    <row r="666" spans="1:11" ht="18" x14ac:dyDescent="0.4">
      <c r="A666" s="93" t="s">
        <v>475</v>
      </c>
      <c r="B666" s="16" t="s">
        <v>640</v>
      </c>
      <c r="C666" s="8">
        <v>68265</v>
      </c>
      <c r="D666" s="9">
        <v>552701450</v>
      </c>
      <c r="E666" s="57">
        <v>360</v>
      </c>
      <c r="F666" s="10" t="s">
        <v>643</v>
      </c>
      <c r="G666" s="94">
        <v>0</v>
      </c>
      <c r="H666" s="9">
        <f t="shared" si="26"/>
        <v>0</v>
      </c>
      <c r="I666" s="11">
        <f t="shared" ca="1" si="27"/>
        <v>46120</v>
      </c>
      <c r="J666" s="11">
        <f t="shared" ca="1" si="28"/>
        <v>46118</v>
      </c>
      <c r="K666" s="13"/>
    </row>
    <row r="667" spans="1:11" ht="18" x14ac:dyDescent="0.4">
      <c r="A667" s="93" t="s">
        <v>475</v>
      </c>
      <c r="B667" s="16" t="s">
        <v>644</v>
      </c>
      <c r="C667" s="8">
        <v>68265</v>
      </c>
      <c r="D667" s="9">
        <v>59999700</v>
      </c>
      <c r="E667" s="57">
        <v>102</v>
      </c>
      <c r="F667" s="10" t="s">
        <v>645</v>
      </c>
      <c r="G667" s="94">
        <v>0</v>
      </c>
      <c r="H667" s="9">
        <f t="shared" si="26"/>
        <v>0</v>
      </c>
      <c r="I667" s="11">
        <f t="shared" ca="1" si="27"/>
        <v>46120</v>
      </c>
      <c r="J667" s="11">
        <f t="shared" ca="1" si="28"/>
        <v>46118</v>
      </c>
      <c r="K667" s="13"/>
    </row>
    <row r="668" spans="1:11" ht="18" x14ac:dyDescent="0.4">
      <c r="A668" s="93" t="s">
        <v>475</v>
      </c>
      <c r="B668" s="16" t="s">
        <v>644</v>
      </c>
      <c r="C668" s="8">
        <v>68265</v>
      </c>
      <c r="D668" s="9">
        <v>75645190</v>
      </c>
      <c r="E668" s="57">
        <v>126</v>
      </c>
      <c r="F668" s="10" t="s">
        <v>646</v>
      </c>
      <c r="G668" s="94">
        <v>0</v>
      </c>
      <c r="H668" s="9">
        <f t="shared" si="26"/>
        <v>0</v>
      </c>
      <c r="I668" s="11">
        <f t="shared" ca="1" si="27"/>
        <v>46120</v>
      </c>
      <c r="J668" s="11">
        <f t="shared" ca="1" si="28"/>
        <v>46118</v>
      </c>
      <c r="K668" s="13"/>
    </row>
    <row r="669" spans="1:11" ht="18" x14ac:dyDescent="0.4">
      <c r="A669" s="93" t="s">
        <v>475</v>
      </c>
      <c r="B669" s="16" t="s">
        <v>644</v>
      </c>
      <c r="C669" s="8">
        <v>68265</v>
      </c>
      <c r="D669" s="9">
        <v>75645290</v>
      </c>
      <c r="E669" s="57">
        <v>144</v>
      </c>
      <c r="F669" s="10" t="s">
        <v>647</v>
      </c>
      <c r="G669" s="94">
        <v>0</v>
      </c>
      <c r="H669" s="9">
        <f t="shared" si="26"/>
        <v>0</v>
      </c>
      <c r="I669" s="11">
        <f t="shared" ca="1" si="27"/>
        <v>46120</v>
      </c>
      <c r="J669" s="11">
        <f t="shared" ca="1" si="28"/>
        <v>46118</v>
      </c>
      <c r="K669" s="13"/>
    </row>
    <row r="670" spans="1:11" ht="18" x14ac:dyDescent="0.4">
      <c r="A670" s="93" t="s">
        <v>475</v>
      </c>
      <c r="B670" s="16" t="s">
        <v>644</v>
      </c>
      <c r="C670" s="8">
        <v>68265</v>
      </c>
      <c r="D670" s="9">
        <v>75756860</v>
      </c>
      <c r="E670" s="57">
        <v>120</v>
      </c>
      <c r="F670" s="10" t="s">
        <v>648</v>
      </c>
      <c r="G670" s="94">
        <v>6000</v>
      </c>
      <c r="H670" s="9">
        <f t="shared" si="26"/>
        <v>50</v>
      </c>
      <c r="I670" s="11">
        <f t="shared" ca="1" si="27"/>
        <v>46120</v>
      </c>
      <c r="J670" s="11">
        <f t="shared" ca="1" si="28"/>
        <v>46118</v>
      </c>
      <c r="K670" s="13"/>
    </row>
    <row r="671" spans="1:11" ht="18" x14ac:dyDescent="0.4">
      <c r="A671" s="93" t="s">
        <v>475</v>
      </c>
      <c r="B671" s="16" t="s">
        <v>644</v>
      </c>
      <c r="C671" s="8">
        <v>68265</v>
      </c>
      <c r="D671" s="9">
        <v>75756870</v>
      </c>
      <c r="E671" s="57">
        <v>204</v>
      </c>
      <c r="F671" s="10" t="s">
        <v>649</v>
      </c>
      <c r="G671" s="94">
        <v>0</v>
      </c>
      <c r="H671" s="9">
        <f t="shared" si="26"/>
        <v>0</v>
      </c>
      <c r="I671" s="11">
        <f t="shared" ca="1" si="27"/>
        <v>46120</v>
      </c>
      <c r="J671" s="11">
        <f t="shared" ca="1" si="28"/>
        <v>46118</v>
      </c>
      <c r="K671" s="13"/>
    </row>
    <row r="672" spans="1:11" ht="18" x14ac:dyDescent="0.4">
      <c r="A672" s="93" t="s">
        <v>475</v>
      </c>
      <c r="B672" s="16" t="s">
        <v>644</v>
      </c>
      <c r="C672" s="8">
        <v>68265</v>
      </c>
      <c r="D672" s="9">
        <v>465364600</v>
      </c>
      <c r="E672" s="57">
        <v>90</v>
      </c>
      <c r="F672" s="10" t="s">
        <v>650</v>
      </c>
      <c r="G672" s="94">
        <v>4500</v>
      </c>
      <c r="H672" s="9">
        <f t="shared" si="26"/>
        <v>50</v>
      </c>
      <c r="I672" s="11">
        <f t="shared" ca="1" si="27"/>
        <v>46120</v>
      </c>
      <c r="J672" s="11">
        <f t="shared" ca="1" si="28"/>
        <v>46118</v>
      </c>
      <c r="K672" s="13"/>
    </row>
    <row r="673" spans="1:11" ht="18" x14ac:dyDescent="0.4">
      <c r="A673" s="93" t="s">
        <v>475</v>
      </c>
      <c r="B673" s="16" t="s">
        <v>644</v>
      </c>
      <c r="C673" s="8">
        <v>68265</v>
      </c>
      <c r="D673" s="9">
        <v>463457970</v>
      </c>
      <c r="E673" s="57">
        <v>2000</v>
      </c>
      <c r="F673" s="10" t="s">
        <v>651</v>
      </c>
      <c r="G673" s="94">
        <v>0</v>
      </c>
      <c r="H673" s="9">
        <f t="shared" si="26"/>
        <v>0</v>
      </c>
      <c r="I673" s="11">
        <f t="shared" ca="1" si="27"/>
        <v>46120</v>
      </c>
      <c r="J673" s="11">
        <f t="shared" ca="1" si="28"/>
        <v>46118</v>
      </c>
      <c r="K673" s="13"/>
    </row>
    <row r="674" spans="1:11" ht="18" x14ac:dyDescent="0.4">
      <c r="A674" s="93" t="s">
        <v>475</v>
      </c>
      <c r="B674" s="16" t="s">
        <v>644</v>
      </c>
      <c r="C674" s="8">
        <v>68265</v>
      </c>
      <c r="D674" s="9">
        <v>467761980</v>
      </c>
      <c r="E674" s="57">
        <v>96</v>
      </c>
      <c r="F674" s="10" t="s">
        <v>652</v>
      </c>
      <c r="G674" s="94">
        <v>4800</v>
      </c>
      <c r="H674" s="9">
        <f t="shared" si="26"/>
        <v>50</v>
      </c>
      <c r="I674" s="11">
        <f t="shared" ca="1" si="27"/>
        <v>46120</v>
      </c>
      <c r="J674" s="11">
        <f t="shared" ca="1" si="28"/>
        <v>46118</v>
      </c>
      <c r="K674" s="13"/>
    </row>
    <row r="675" spans="1:11" ht="18" x14ac:dyDescent="0.4">
      <c r="A675" s="93" t="s">
        <v>475</v>
      </c>
      <c r="B675" s="16" t="s">
        <v>644</v>
      </c>
      <c r="C675" s="8">
        <v>68265</v>
      </c>
      <c r="D675" s="9">
        <v>467984770</v>
      </c>
      <c r="E675" s="57">
        <v>216</v>
      </c>
      <c r="F675" s="10" t="s">
        <v>653</v>
      </c>
      <c r="G675" s="94">
        <v>0</v>
      </c>
      <c r="H675" s="9">
        <f t="shared" si="26"/>
        <v>0</v>
      </c>
      <c r="I675" s="11">
        <f t="shared" ca="1" si="27"/>
        <v>46120</v>
      </c>
      <c r="J675" s="11">
        <f t="shared" ca="1" si="28"/>
        <v>46118</v>
      </c>
      <c r="K675" s="13"/>
    </row>
    <row r="676" spans="1:11" ht="18" x14ac:dyDescent="0.4">
      <c r="A676" s="93" t="s">
        <v>475</v>
      </c>
      <c r="B676" s="16" t="s">
        <v>644</v>
      </c>
      <c r="C676" s="8">
        <v>68265</v>
      </c>
      <c r="D676" s="9">
        <v>552180370</v>
      </c>
      <c r="E676" s="57">
        <v>39</v>
      </c>
      <c r="F676" s="10" t="s">
        <v>654</v>
      </c>
      <c r="G676" s="94">
        <v>1950</v>
      </c>
      <c r="H676" s="9">
        <f t="shared" si="26"/>
        <v>50</v>
      </c>
      <c r="I676" s="11">
        <f t="shared" ca="1" si="27"/>
        <v>46120</v>
      </c>
      <c r="J676" s="11">
        <f t="shared" ca="1" si="28"/>
        <v>46118</v>
      </c>
      <c r="K676" s="13"/>
    </row>
    <row r="677" spans="1:11" ht="18" x14ac:dyDescent="0.4">
      <c r="A677" s="93" t="s">
        <v>475</v>
      </c>
      <c r="B677" s="16" t="s">
        <v>644</v>
      </c>
      <c r="C677" s="8">
        <v>68265</v>
      </c>
      <c r="D677" s="9">
        <v>463559990</v>
      </c>
      <c r="E677" s="57">
        <v>102</v>
      </c>
      <c r="F677" s="10" t="s">
        <v>655</v>
      </c>
      <c r="G677" s="94">
        <v>5100</v>
      </c>
      <c r="H677" s="9">
        <f t="shared" si="26"/>
        <v>50</v>
      </c>
      <c r="I677" s="11">
        <f t="shared" ca="1" si="27"/>
        <v>46120</v>
      </c>
      <c r="J677" s="11">
        <f t="shared" ca="1" si="28"/>
        <v>46118</v>
      </c>
      <c r="K677" s="13"/>
    </row>
    <row r="678" spans="1:11" ht="18" x14ac:dyDescent="0.4">
      <c r="A678" s="93" t="s">
        <v>475</v>
      </c>
      <c r="B678" s="16" t="s">
        <v>656</v>
      </c>
      <c r="C678" s="8">
        <v>70930</v>
      </c>
      <c r="D678" s="9">
        <v>75095320</v>
      </c>
      <c r="E678" s="57">
        <v>600</v>
      </c>
      <c r="F678" s="10" t="s">
        <v>657</v>
      </c>
      <c r="G678" s="94">
        <v>3600</v>
      </c>
      <c r="H678" s="9">
        <f t="shared" si="26"/>
        <v>6</v>
      </c>
      <c r="I678" s="11">
        <f t="shared" ca="1" si="27"/>
        <v>46120</v>
      </c>
      <c r="J678" s="11">
        <f t="shared" ca="1" si="28"/>
        <v>46118</v>
      </c>
      <c r="K678" s="13"/>
    </row>
    <row r="679" spans="1:11" ht="18" x14ac:dyDescent="0.4">
      <c r="A679" s="93" t="s">
        <v>475</v>
      </c>
      <c r="B679" s="16" t="s">
        <v>656</v>
      </c>
      <c r="C679" s="8">
        <v>70930</v>
      </c>
      <c r="D679" s="9">
        <v>75095330</v>
      </c>
      <c r="E679" s="57">
        <v>840</v>
      </c>
      <c r="F679" s="10" t="s">
        <v>658</v>
      </c>
      <c r="G679" s="94">
        <v>3360</v>
      </c>
      <c r="H679" s="9">
        <f t="shared" si="26"/>
        <v>4</v>
      </c>
      <c r="I679" s="11">
        <f t="shared" ca="1" si="27"/>
        <v>46120</v>
      </c>
      <c r="J679" s="11">
        <f t="shared" ca="1" si="28"/>
        <v>46118</v>
      </c>
      <c r="K679" s="13"/>
    </row>
    <row r="680" spans="1:11" ht="18" x14ac:dyDescent="0.4">
      <c r="A680" s="93" t="s">
        <v>475</v>
      </c>
      <c r="B680" s="16" t="s">
        <v>656</v>
      </c>
      <c r="C680" s="8">
        <v>70931</v>
      </c>
      <c r="D680" s="9">
        <v>464752630</v>
      </c>
      <c r="E680" s="57">
        <v>3456</v>
      </c>
      <c r="F680" s="10" t="s">
        <v>659</v>
      </c>
      <c r="G680" s="94">
        <v>0</v>
      </c>
      <c r="H680" s="9">
        <f t="shared" si="26"/>
        <v>0</v>
      </c>
      <c r="I680" s="11">
        <f t="shared" ca="1" si="27"/>
        <v>46120</v>
      </c>
      <c r="J680" s="11">
        <f t="shared" ca="1" si="28"/>
        <v>46118</v>
      </c>
      <c r="K680" s="13"/>
    </row>
    <row r="681" spans="1:11" ht="18" x14ac:dyDescent="0.4">
      <c r="A681" s="93" t="s">
        <v>475</v>
      </c>
      <c r="B681" s="16" t="s">
        <v>656</v>
      </c>
      <c r="C681" s="8">
        <v>70932</v>
      </c>
      <c r="D681" s="9">
        <v>464133490</v>
      </c>
      <c r="E681" s="57">
        <v>1152</v>
      </c>
      <c r="F681" s="10" t="s">
        <v>660</v>
      </c>
      <c r="G681" s="94">
        <v>4608</v>
      </c>
      <c r="H681" s="9">
        <f t="shared" si="26"/>
        <v>4</v>
      </c>
      <c r="I681" s="11">
        <f t="shared" ca="1" si="27"/>
        <v>46120</v>
      </c>
      <c r="J681" s="11">
        <f t="shared" ca="1" si="28"/>
        <v>46118</v>
      </c>
      <c r="K681" s="13"/>
    </row>
    <row r="682" spans="1:11" ht="18" x14ac:dyDescent="0.4">
      <c r="A682" s="93" t="s">
        <v>475</v>
      </c>
      <c r="B682" s="7" t="s">
        <v>656</v>
      </c>
      <c r="C682" s="8">
        <v>70930</v>
      </c>
      <c r="D682" s="9">
        <v>552261480</v>
      </c>
      <c r="E682" s="57">
        <v>1426</v>
      </c>
      <c r="F682" s="10" t="s">
        <v>661</v>
      </c>
      <c r="G682" s="94">
        <v>0</v>
      </c>
      <c r="H682" s="9">
        <f t="shared" si="26"/>
        <v>0</v>
      </c>
      <c r="I682" s="11">
        <f ca="1">I679</f>
        <v>46120</v>
      </c>
      <c r="J682" s="11">
        <f t="shared" ca="1" si="28"/>
        <v>46118</v>
      </c>
      <c r="K682" s="13"/>
    </row>
    <row r="683" spans="1:11" ht="18" x14ac:dyDescent="0.4">
      <c r="A683" s="93" t="s">
        <v>475</v>
      </c>
      <c r="B683" s="7" t="s">
        <v>656</v>
      </c>
      <c r="C683" s="8">
        <v>70930</v>
      </c>
      <c r="D683" s="9">
        <v>552261490</v>
      </c>
      <c r="E683" s="57">
        <v>1200</v>
      </c>
      <c r="F683" s="10" t="s">
        <v>662</v>
      </c>
      <c r="G683" s="94">
        <v>0</v>
      </c>
      <c r="H683" s="9">
        <f t="shared" si="26"/>
        <v>0</v>
      </c>
      <c r="I683" s="11">
        <f t="shared" ca="1" si="27"/>
        <v>46120</v>
      </c>
      <c r="J683" s="11">
        <f t="shared" ca="1" si="28"/>
        <v>46118</v>
      </c>
      <c r="K683" s="13"/>
    </row>
    <row r="684" spans="1:11" ht="18" x14ac:dyDescent="0.4">
      <c r="A684" s="93" t="s">
        <v>475</v>
      </c>
      <c r="B684" s="7" t="s">
        <v>663</v>
      </c>
      <c r="C684" s="8">
        <v>14872</v>
      </c>
      <c r="D684" s="9">
        <v>77131980</v>
      </c>
      <c r="E684" s="57">
        <v>1000</v>
      </c>
      <c r="F684" s="10" t="s">
        <v>664</v>
      </c>
      <c r="G684" s="94">
        <v>0</v>
      </c>
      <c r="H684" s="9">
        <f t="shared" si="26"/>
        <v>0</v>
      </c>
      <c r="I684" s="11">
        <f t="shared" ca="1" si="27"/>
        <v>46120</v>
      </c>
      <c r="J684" s="11">
        <f t="shared" ca="1" si="28"/>
        <v>46118</v>
      </c>
      <c r="K684" s="13"/>
    </row>
    <row r="685" spans="1:11" ht="18" x14ac:dyDescent="0.4">
      <c r="A685" s="93" t="s">
        <v>475</v>
      </c>
      <c r="B685" s="7" t="s">
        <v>663</v>
      </c>
      <c r="C685" s="8">
        <v>14872</v>
      </c>
      <c r="D685" s="9">
        <v>552759150</v>
      </c>
      <c r="E685" s="57">
        <v>1000</v>
      </c>
      <c r="F685" s="10" t="s">
        <v>664</v>
      </c>
      <c r="G685" s="94">
        <v>0</v>
      </c>
      <c r="H685" s="9">
        <f t="shared" si="26"/>
        <v>0</v>
      </c>
      <c r="I685" s="11">
        <f t="shared" ca="1" si="27"/>
        <v>46120</v>
      </c>
      <c r="J685" s="11">
        <f t="shared" ca="1" si="28"/>
        <v>46118</v>
      </c>
      <c r="K685" s="13"/>
    </row>
    <row r="686" spans="1:11" ht="18" x14ac:dyDescent="0.4">
      <c r="A686" s="93" t="s">
        <v>475</v>
      </c>
      <c r="B686" s="7" t="s">
        <v>663</v>
      </c>
      <c r="C686" s="8">
        <v>14872</v>
      </c>
      <c r="D686" s="9">
        <v>77289810</v>
      </c>
      <c r="E686" s="57">
        <v>400</v>
      </c>
      <c r="F686" s="10" t="s">
        <v>665</v>
      </c>
      <c r="G686" s="94">
        <v>0</v>
      </c>
      <c r="H686" s="9">
        <f t="shared" si="26"/>
        <v>0</v>
      </c>
      <c r="I686" s="11">
        <f ca="1">I684</f>
        <v>46120</v>
      </c>
      <c r="J686" s="11">
        <f t="shared" ca="1" si="28"/>
        <v>46118</v>
      </c>
      <c r="K686" s="13"/>
    </row>
    <row r="687" spans="1:11" ht="18" x14ac:dyDescent="0.4">
      <c r="A687" s="93" t="s">
        <v>475</v>
      </c>
      <c r="B687" s="7" t="s">
        <v>663</v>
      </c>
      <c r="C687" s="8">
        <v>14872</v>
      </c>
      <c r="D687" s="9">
        <v>77289820</v>
      </c>
      <c r="E687" s="57">
        <v>400</v>
      </c>
      <c r="F687" s="10" t="s">
        <v>666</v>
      </c>
      <c r="G687" s="94">
        <v>0</v>
      </c>
      <c r="H687" s="9">
        <f t="shared" si="26"/>
        <v>0</v>
      </c>
      <c r="I687" s="11">
        <f t="shared" ca="1" si="27"/>
        <v>46120</v>
      </c>
      <c r="J687" s="11">
        <f t="shared" ca="1" si="28"/>
        <v>46118</v>
      </c>
      <c r="K687" s="13"/>
    </row>
    <row r="688" spans="1:11" ht="18" x14ac:dyDescent="0.4">
      <c r="A688" s="93" t="s">
        <v>475</v>
      </c>
      <c r="B688" s="7" t="s">
        <v>663</v>
      </c>
      <c r="C688" s="8">
        <v>14872</v>
      </c>
      <c r="D688" s="9">
        <v>77289830</v>
      </c>
      <c r="E688" s="57">
        <v>400</v>
      </c>
      <c r="F688" s="10" t="s">
        <v>667</v>
      </c>
      <c r="G688" s="94">
        <v>0</v>
      </c>
      <c r="H688" s="9">
        <f t="shared" si="26"/>
        <v>0</v>
      </c>
      <c r="I688" s="11">
        <f t="shared" ca="1" si="27"/>
        <v>46120</v>
      </c>
      <c r="J688" s="11">
        <f t="shared" ca="1" si="28"/>
        <v>46118</v>
      </c>
      <c r="K688" s="13"/>
    </row>
    <row r="689" spans="1:11" ht="18" x14ac:dyDescent="0.4">
      <c r="A689" s="93" t="s">
        <v>475</v>
      </c>
      <c r="B689" s="7" t="s">
        <v>663</v>
      </c>
      <c r="C689" s="8">
        <v>14872</v>
      </c>
      <c r="D689" s="9">
        <v>77289840</v>
      </c>
      <c r="E689" s="57">
        <v>200</v>
      </c>
      <c r="F689" s="10" t="s">
        <v>668</v>
      </c>
      <c r="G689" s="94">
        <v>4800</v>
      </c>
      <c r="H689" s="9">
        <f t="shared" ref="H689:H717" si="29">G689/E689</f>
        <v>24</v>
      </c>
      <c r="I689" s="11">
        <f t="shared" ca="1" si="27"/>
        <v>46120</v>
      </c>
      <c r="J689" s="11">
        <f t="shared" ca="1" si="28"/>
        <v>46118</v>
      </c>
      <c r="K689" s="13"/>
    </row>
    <row r="690" spans="1:11" ht="18" x14ac:dyDescent="0.4">
      <c r="A690" s="93" t="s">
        <v>475</v>
      </c>
      <c r="B690" s="7" t="s">
        <v>663</v>
      </c>
      <c r="C690" s="8">
        <v>14872</v>
      </c>
      <c r="D690" s="9">
        <v>77289850</v>
      </c>
      <c r="E690" s="57">
        <v>200</v>
      </c>
      <c r="F690" s="10" t="s">
        <v>669</v>
      </c>
      <c r="G690" s="94">
        <v>6200</v>
      </c>
      <c r="H690" s="9">
        <f t="shared" si="29"/>
        <v>31</v>
      </c>
      <c r="I690" s="11">
        <f t="shared" ca="1" si="27"/>
        <v>46120</v>
      </c>
      <c r="J690" s="11">
        <f t="shared" ca="1" si="28"/>
        <v>46118</v>
      </c>
      <c r="K690" s="13"/>
    </row>
    <row r="691" spans="1:11" ht="18" x14ac:dyDescent="0.4">
      <c r="A691" s="93" t="s">
        <v>475</v>
      </c>
      <c r="B691" s="7" t="s">
        <v>663</v>
      </c>
      <c r="C691" s="8">
        <v>14872</v>
      </c>
      <c r="D691" s="9">
        <v>77289860</v>
      </c>
      <c r="E691" s="57">
        <v>150</v>
      </c>
      <c r="F691" s="10" t="s">
        <v>670</v>
      </c>
      <c r="G691" s="94">
        <v>3000</v>
      </c>
      <c r="H691" s="9">
        <f t="shared" si="29"/>
        <v>20</v>
      </c>
      <c r="I691" s="11">
        <f t="shared" ca="1" si="27"/>
        <v>46120</v>
      </c>
      <c r="J691" s="11">
        <f t="shared" ca="1" si="28"/>
        <v>46118</v>
      </c>
      <c r="K691" s="13"/>
    </row>
    <row r="692" spans="1:11" ht="18" x14ac:dyDescent="0.4">
      <c r="A692" s="93" t="s">
        <v>475</v>
      </c>
      <c r="B692" s="7" t="s">
        <v>663</v>
      </c>
      <c r="C692" s="8">
        <v>14872</v>
      </c>
      <c r="D692" s="9">
        <v>77289870</v>
      </c>
      <c r="E692" s="57">
        <v>400</v>
      </c>
      <c r="F692" s="10" t="s">
        <v>671</v>
      </c>
      <c r="G692" s="94">
        <v>0</v>
      </c>
      <c r="H692" s="9">
        <f t="shared" si="29"/>
        <v>0</v>
      </c>
      <c r="I692" s="11">
        <f t="shared" ca="1" si="27"/>
        <v>46120</v>
      </c>
      <c r="J692" s="11">
        <f t="shared" ca="1" si="28"/>
        <v>46118</v>
      </c>
      <c r="K692" s="13"/>
    </row>
    <row r="693" spans="1:11" ht="18" x14ac:dyDescent="0.4">
      <c r="A693" s="93" t="s">
        <v>475</v>
      </c>
      <c r="B693" s="7" t="s">
        <v>663</v>
      </c>
      <c r="C693" s="8">
        <v>14872</v>
      </c>
      <c r="D693" s="9">
        <v>77894040</v>
      </c>
      <c r="E693" s="57">
        <v>200</v>
      </c>
      <c r="F693" s="10" t="s">
        <v>672</v>
      </c>
      <c r="G693" s="94">
        <v>5800</v>
      </c>
      <c r="H693" s="9">
        <f t="shared" si="29"/>
        <v>29</v>
      </c>
      <c r="I693" s="11">
        <f t="shared" ca="1" si="27"/>
        <v>46120</v>
      </c>
      <c r="J693" s="11">
        <f t="shared" ca="1" si="28"/>
        <v>46118</v>
      </c>
      <c r="K693" s="13"/>
    </row>
    <row r="694" spans="1:11" ht="18" x14ac:dyDescent="0.4">
      <c r="A694" s="93" t="s">
        <v>475</v>
      </c>
      <c r="B694" s="7" t="s">
        <v>663</v>
      </c>
      <c r="C694" s="8">
        <v>14872</v>
      </c>
      <c r="D694" s="9">
        <v>77894530</v>
      </c>
      <c r="E694" s="57">
        <v>400</v>
      </c>
      <c r="F694" s="10" t="s">
        <v>673</v>
      </c>
      <c r="G694" s="94">
        <v>7200</v>
      </c>
      <c r="H694" s="9">
        <f t="shared" si="29"/>
        <v>18</v>
      </c>
      <c r="I694" s="11">
        <f t="shared" ca="1" si="27"/>
        <v>46120</v>
      </c>
      <c r="J694" s="11">
        <f t="shared" ca="1" si="28"/>
        <v>46118</v>
      </c>
      <c r="K694" s="13"/>
    </row>
    <row r="695" spans="1:11" ht="18" x14ac:dyDescent="0.4">
      <c r="A695" s="93" t="s">
        <v>475</v>
      </c>
      <c r="B695" s="7" t="s">
        <v>663</v>
      </c>
      <c r="C695" s="8">
        <v>14872</v>
      </c>
      <c r="D695" s="9">
        <v>77894540</v>
      </c>
      <c r="E695" s="57">
        <v>480</v>
      </c>
      <c r="F695" s="10" t="s">
        <v>674</v>
      </c>
      <c r="G695" s="94">
        <v>10080</v>
      </c>
      <c r="H695" s="9">
        <f t="shared" si="29"/>
        <v>21</v>
      </c>
      <c r="I695" s="11">
        <f t="shared" ref="I695:I717" ca="1" si="30">I694</f>
        <v>46120</v>
      </c>
      <c r="J695" s="11">
        <f t="shared" ca="1" si="28"/>
        <v>46118</v>
      </c>
      <c r="K695" s="13"/>
    </row>
    <row r="696" spans="1:11" ht="18" x14ac:dyDescent="0.4">
      <c r="A696" s="93" t="s">
        <v>475</v>
      </c>
      <c r="B696" s="7" t="s">
        <v>663</v>
      </c>
      <c r="C696" s="8">
        <v>14872</v>
      </c>
      <c r="D696" s="9">
        <v>77894550</v>
      </c>
      <c r="E696" s="57">
        <v>400</v>
      </c>
      <c r="F696" s="10" t="s">
        <v>675</v>
      </c>
      <c r="G696" s="94">
        <v>0</v>
      </c>
      <c r="H696" s="9">
        <f t="shared" si="29"/>
        <v>0</v>
      </c>
      <c r="I696" s="11">
        <f t="shared" ca="1" si="30"/>
        <v>46120</v>
      </c>
      <c r="J696" s="11">
        <f t="shared" ca="1" si="28"/>
        <v>46118</v>
      </c>
      <c r="K696" s="13"/>
    </row>
    <row r="697" spans="1:11" ht="18" x14ac:dyDescent="0.4">
      <c r="A697" s="93" t="s">
        <v>475</v>
      </c>
      <c r="B697" s="7" t="s">
        <v>663</v>
      </c>
      <c r="C697" s="8">
        <v>14872</v>
      </c>
      <c r="D697" s="9">
        <v>77894560</v>
      </c>
      <c r="E697" s="57">
        <v>400</v>
      </c>
      <c r="F697" s="10" t="s">
        <v>676</v>
      </c>
      <c r="G697" s="94">
        <v>0</v>
      </c>
      <c r="H697" s="9">
        <f t="shared" si="29"/>
        <v>0</v>
      </c>
      <c r="I697" s="11">
        <f t="shared" ca="1" si="30"/>
        <v>46120</v>
      </c>
      <c r="J697" s="11">
        <f t="shared" ca="1" si="28"/>
        <v>46118</v>
      </c>
      <c r="K697" s="13"/>
    </row>
    <row r="698" spans="1:11" ht="18" x14ac:dyDescent="0.4">
      <c r="A698" s="93" t="s">
        <v>475</v>
      </c>
      <c r="B698" s="7" t="s">
        <v>663</v>
      </c>
      <c r="C698" s="8">
        <v>14872</v>
      </c>
      <c r="D698" s="9">
        <v>77894570</v>
      </c>
      <c r="E698" s="57">
        <v>400</v>
      </c>
      <c r="F698" s="10" t="s">
        <v>677</v>
      </c>
      <c r="G698" s="94">
        <v>1200</v>
      </c>
      <c r="H698" s="9">
        <f t="shared" si="29"/>
        <v>3</v>
      </c>
      <c r="I698" s="11">
        <f t="shared" ca="1" si="30"/>
        <v>46120</v>
      </c>
      <c r="J698" s="11">
        <f t="shared" ca="1" si="28"/>
        <v>46118</v>
      </c>
      <c r="K698" s="13"/>
    </row>
    <row r="699" spans="1:11" ht="18" x14ac:dyDescent="0.4">
      <c r="A699" s="93" t="s">
        <v>475</v>
      </c>
      <c r="B699" s="7" t="s">
        <v>663</v>
      </c>
      <c r="C699" s="8">
        <v>14872</v>
      </c>
      <c r="D699" s="9">
        <v>102980600</v>
      </c>
      <c r="E699" s="57">
        <v>2000</v>
      </c>
      <c r="F699" s="10" t="s">
        <v>678</v>
      </c>
      <c r="G699" s="94">
        <v>0</v>
      </c>
      <c r="H699" s="9">
        <f t="shared" si="29"/>
        <v>0</v>
      </c>
      <c r="I699" s="11">
        <f t="shared" ca="1" si="30"/>
        <v>46120</v>
      </c>
      <c r="J699" s="11">
        <f t="shared" ca="1" si="28"/>
        <v>46118</v>
      </c>
      <c r="K699" s="13"/>
    </row>
    <row r="700" spans="1:11" ht="18" x14ac:dyDescent="0.4">
      <c r="A700" s="93" t="s">
        <v>475</v>
      </c>
      <c r="B700" s="16" t="s">
        <v>663</v>
      </c>
      <c r="C700" s="8">
        <v>14872</v>
      </c>
      <c r="D700" s="9">
        <v>126444210</v>
      </c>
      <c r="E700" s="57">
        <v>450</v>
      </c>
      <c r="F700" s="10" t="s">
        <v>679</v>
      </c>
      <c r="G700" s="94">
        <v>0</v>
      </c>
      <c r="H700" s="9">
        <f t="shared" si="29"/>
        <v>0</v>
      </c>
      <c r="I700" s="11">
        <f t="shared" ca="1" si="30"/>
        <v>46120</v>
      </c>
      <c r="J700" s="11">
        <f t="shared" ca="1" si="28"/>
        <v>46118</v>
      </c>
      <c r="K700" s="13"/>
    </row>
    <row r="701" spans="1:11" ht="18" x14ac:dyDescent="0.4">
      <c r="A701" s="93" t="s">
        <v>475</v>
      </c>
      <c r="B701" s="16" t="s">
        <v>663</v>
      </c>
      <c r="C701" s="8">
        <v>14872</v>
      </c>
      <c r="D701" s="9">
        <v>552738480</v>
      </c>
      <c r="E701" s="57">
        <v>300</v>
      </c>
      <c r="F701" s="10" t="s">
        <v>680</v>
      </c>
      <c r="G701" s="94">
        <v>0</v>
      </c>
      <c r="H701" s="9">
        <f t="shared" si="29"/>
        <v>0</v>
      </c>
      <c r="I701" s="11">
        <f t="shared" ca="1" si="30"/>
        <v>46120</v>
      </c>
      <c r="J701" s="11">
        <f t="shared" ca="1" si="28"/>
        <v>46118</v>
      </c>
      <c r="K701" s="13"/>
    </row>
    <row r="702" spans="1:11" ht="18" x14ac:dyDescent="0.4">
      <c r="A702" s="93" t="s">
        <v>475</v>
      </c>
      <c r="B702" s="16" t="s">
        <v>681</v>
      </c>
      <c r="C702" s="8">
        <v>61950</v>
      </c>
      <c r="D702" s="9">
        <v>551942240</v>
      </c>
      <c r="E702" s="57">
        <v>100</v>
      </c>
      <c r="F702" s="10" t="s">
        <v>682</v>
      </c>
      <c r="G702" s="94">
        <v>0</v>
      </c>
      <c r="H702" s="9">
        <f t="shared" si="29"/>
        <v>0</v>
      </c>
      <c r="I702" s="11">
        <f t="shared" ca="1" si="30"/>
        <v>46120</v>
      </c>
      <c r="J702" s="11">
        <f t="shared" ca="1" si="28"/>
        <v>46118</v>
      </c>
      <c r="K702" s="13"/>
    </row>
    <row r="703" spans="1:11" ht="18" x14ac:dyDescent="0.4">
      <c r="A703" s="93" t="s">
        <v>475</v>
      </c>
      <c r="B703" s="16" t="s">
        <v>681</v>
      </c>
      <c r="C703" s="8">
        <v>61950</v>
      </c>
      <c r="D703" s="9">
        <v>552110600</v>
      </c>
      <c r="E703" s="57">
        <v>100</v>
      </c>
      <c r="F703" s="10" t="s">
        <v>682</v>
      </c>
      <c r="G703" s="94">
        <v>0</v>
      </c>
      <c r="H703" s="9">
        <f t="shared" si="29"/>
        <v>0</v>
      </c>
      <c r="I703" s="11">
        <f t="shared" ca="1" si="30"/>
        <v>46120</v>
      </c>
      <c r="J703" s="11">
        <f t="shared" ca="1" si="28"/>
        <v>46118</v>
      </c>
      <c r="K703" s="13"/>
    </row>
    <row r="704" spans="1:11" ht="18" x14ac:dyDescent="0.4">
      <c r="A704" s="93" t="s">
        <v>475</v>
      </c>
      <c r="B704" s="16" t="s">
        <v>683</v>
      </c>
      <c r="C704" s="8">
        <v>43317</v>
      </c>
      <c r="D704" s="9">
        <v>76047570</v>
      </c>
      <c r="E704" s="57">
        <v>684</v>
      </c>
      <c r="F704" s="10" t="s">
        <v>612</v>
      </c>
      <c r="G704" s="94">
        <v>0</v>
      </c>
      <c r="H704" s="9">
        <f t="shared" si="29"/>
        <v>0</v>
      </c>
      <c r="I704" s="11">
        <f t="shared" ca="1" si="30"/>
        <v>46120</v>
      </c>
      <c r="J704" s="11">
        <f t="shared" ca="1" si="28"/>
        <v>46118</v>
      </c>
      <c r="K704" s="13"/>
    </row>
    <row r="705" spans="1:11" ht="18" x14ac:dyDescent="0.4">
      <c r="A705" s="93" t="s">
        <v>475</v>
      </c>
      <c r="B705" s="7" t="s">
        <v>684</v>
      </c>
      <c r="C705" s="8">
        <v>41341</v>
      </c>
      <c r="D705" s="9">
        <v>75530320</v>
      </c>
      <c r="E705" s="57">
        <v>2500</v>
      </c>
      <c r="F705" s="10" t="s">
        <v>685</v>
      </c>
      <c r="G705" s="94">
        <v>0</v>
      </c>
      <c r="H705" s="9">
        <f t="shared" si="29"/>
        <v>0</v>
      </c>
      <c r="I705" s="11">
        <f t="shared" ca="1" si="30"/>
        <v>46120</v>
      </c>
      <c r="J705" s="11">
        <f t="shared" ca="1" si="28"/>
        <v>46118</v>
      </c>
      <c r="K705" s="13"/>
    </row>
    <row r="706" spans="1:11" ht="18" x14ac:dyDescent="0.4">
      <c r="A706" s="93" t="s">
        <v>475</v>
      </c>
      <c r="B706" s="7" t="s">
        <v>684</v>
      </c>
      <c r="C706" s="7">
        <v>41341</v>
      </c>
      <c r="D706" s="9">
        <v>464384590</v>
      </c>
      <c r="E706" s="57">
        <v>1200</v>
      </c>
      <c r="F706" s="19" t="s">
        <v>686</v>
      </c>
      <c r="G706" s="94">
        <v>0</v>
      </c>
      <c r="H706" s="9">
        <f t="shared" si="29"/>
        <v>0</v>
      </c>
      <c r="I706" s="11">
        <f t="shared" ca="1" si="30"/>
        <v>46120</v>
      </c>
      <c r="J706" s="11">
        <f t="shared" ca="1" si="28"/>
        <v>46118</v>
      </c>
      <c r="K706" s="8"/>
    </row>
    <row r="707" spans="1:11" ht="18" x14ac:dyDescent="0.4">
      <c r="A707" s="93" t="s">
        <v>475</v>
      </c>
      <c r="B707" s="7" t="s">
        <v>684</v>
      </c>
      <c r="C707" s="7">
        <v>41341</v>
      </c>
      <c r="D707" s="9">
        <v>552153790</v>
      </c>
      <c r="E707" s="57">
        <v>150</v>
      </c>
      <c r="F707" s="19" t="s">
        <v>687</v>
      </c>
      <c r="G707" s="94">
        <v>0</v>
      </c>
      <c r="H707" s="9">
        <f t="shared" si="29"/>
        <v>0</v>
      </c>
      <c r="I707" s="36">
        <f t="shared" ca="1" si="30"/>
        <v>46120</v>
      </c>
      <c r="J707" s="36">
        <f t="shared" ca="1" si="28"/>
        <v>46118</v>
      </c>
      <c r="K707" s="8"/>
    </row>
    <row r="708" spans="1:11" ht="18" x14ac:dyDescent="0.4">
      <c r="A708" s="27" t="s">
        <v>475</v>
      </c>
      <c r="B708" s="28" t="s">
        <v>200</v>
      </c>
      <c r="C708" s="28">
        <v>1073</v>
      </c>
      <c r="D708" s="29">
        <v>552795241</v>
      </c>
      <c r="E708" s="68">
        <v>28</v>
      </c>
      <c r="F708" s="30" t="s">
        <v>688</v>
      </c>
      <c r="G708" s="9">
        <v>0</v>
      </c>
      <c r="H708" s="29">
        <f t="shared" si="29"/>
        <v>0</v>
      </c>
      <c r="I708" s="11">
        <f t="shared" ca="1" si="30"/>
        <v>46120</v>
      </c>
      <c r="J708" s="11">
        <f t="shared" ca="1" si="28"/>
        <v>46118</v>
      </c>
      <c r="K708" s="31"/>
    </row>
    <row r="709" spans="1:11" ht="18" x14ac:dyDescent="0.4">
      <c r="A709" s="7" t="s">
        <v>475</v>
      </c>
      <c r="B709" s="7" t="s">
        <v>200</v>
      </c>
      <c r="C709" s="7">
        <v>1073</v>
      </c>
      <c r="D709" s="9">
        <v>552649671</v>
      </c>
      <c r="E709" s="57">
        <v>48</v>
      </c>
      <c r="F709" s="19" t="s">
        <v>689</v>
      </c>
      <c r="G709" s="9">
        <v>0</v>
      </c>
      <c r="H709" s="9">
        <f t="shared" si="29"/>
        <v>0</v>
      </c>
      <c r="I709" s="11">
        <f t="shared" ca="1" si="30"/>
        <v>46120</v>
      </c>
      <c r="J709" s="11">
        <f t="shared" ca="1" si="28"/>
        <v>46118</v>
      </c>
      <c r="K709" s="13"/>
    </row>
    <row r="710" spans="1:11" ht="18" x14ac:dyDescent="0.4">
      <c r="A710" s="7" t="s">
        <v>475</v>
      </c>
      <c r="B710" s="7" t="s">
        <v>200</v>
      </c>
      <c r="C710" s="7">
        <v>1073</v>
      </c>
      <c r="D710" s="9">
        <v>463516451</v>
      </c>
      <c r="E710" s="57">
        <v>28</v>
      </c>
      <c r="F710" s="96" t="s">
        <v>690</v>
      </c>
      <c r="G710" s="9">
        <v>588</v>
      </c>
      <c r="H710" s="9">
        <f t="shared" si="29"/>
        <v>21</v>
      </c>
      <c r="I710" s="11">
        <f t="shared" ca="1" si="30"/>
        <v>46120</v>
      </c>
      <c r="J710" s="11">
        <f t="shared" ca="1" si="28"/>
        <v>46118</v>
      </c>
      <c r="K710" s="13"/>
    </row>
    <row r="711" spans="1:11" ht="18" x14ac:dyDescent="0.4">
      <c r="A711" s="7" t="s">
        <v>475</v>
      </c>
      <c r="B711" s="7" t="s">
        <v>200</v>
      </c>
      <c r="C711" s="7">
        <v>1073</v>
      </c>
      <c r="D711" s="9">
        <v>552649651</v>
      </c>
      <c r="E711" s="57">
        <v>24</v>
      </c>
      <c r="F711" s="19" t="s">
        <v>691</v>
      </c>
      <c r="G711" s="9">
        <v>0</v>
      </c>
      <c r="H711" s="9">
        <f t="shared" si="29"/>
        <v>0</v>
      </c>
      <c r="I711" s="11">
        <f t="shared" ca="1" si="30"/>
        <v>46120</v>
      </c>
      <c r="J711" s="11">
        <f t="shared" ca="1" si="28"/>
        <v>46118</v>
      </c>
      <c r="K711" s="8"/>
    </row>
    <row r="712" spans="1:11" ht="18" x14ac:dyDescent="0.4">
      <c r="A712" s="7" t="s">
        <v>475</v>
      </c>
      <c r="B712" s="7" t="s">
        <v>200</v>
      </c>
      <c r="C712" s="7">
        <v>1073</v>
      </c>
      <c r="D712" s="9">
        <v>463471951</v>
      </c>
      <c r="E712" s="57">
        <v>48</v>
      </c>
      <c r="F712" s="19" t="s">
        <v>692</v>
      </c>
      <c r="G712" s="9">
        <v>0</v>
      </c>
      <c r="H712" s="9">
        <f t="shared" si="29"/>
        <v>0</v>
      </c>
      <c r="I712" s="11">
        <f t="shared" ca="1" si="30"/>
        <v>46120</v>
      </c>
      <c r="J712" s="11">
        <f t="shared" ca="1" si="28"/>
        <v>46118</v>
      </c>
      <c r="K712" s="8"/>
    </row>
    <row r="713" spans="1:11" ht="18" x14ac:dyDescent="0.4">
      <c r="A713" s="7" t="s">
        <v>475</v>
      </c>
      <c r="B713" s="7" t="s">
        <v>452</v>
      </c>
      <c r="C713" s="7">
        <v>56589</v>
      </c>
      <c r="D713" s="9">
        <v>976510460</v>
      </c>
      <c r="E713" s="57">
        <v>30</v>
      </c>
      <c r="F713" s="19" t="s">
        <v>693</v>
      </c>
      <c r="G713" s="9">
        <v>0</v>
      </c>
      <c r="H713" s="9">
        <f t="shared" si="29"/>
        <v>0</v>
      </c>
      <c r="I713" s="11">
        <f t="shared" ca="1" si="30"/>
        <v>46120</v>
      </c>
      <c r="J713" s="11">
        <f t="shared" ca="1" si="28"/>
        <v>46118</v>
      </c>
      <c r="K713" s="8"/>
    </row>
    <row r="714" spans="1:11" ht="18" x14ac:dyDescent="0.4">
      <c r="A714" s="7" t="s">
        <v>475</v>
      </c>
      <c r="B714" s="7" t="s">
        <v>452</v>
      </c>
      <c r="C714" s="7">
        <v>56589</v>
      </c>
      <c r="D714" s="9">
        <v>976510450</v>
      </c>
      <c r="E714" s="57">
        <v>50</v>
      </c>
      <c r="F714" s="19" t="s">
        <v>694</v>
      </c>
      <c r="G714" s="9">
        <v>0</v>
      </c>
      <c r="H714" s="9">
        <f t="shared" si="29"/>
        <v>0</v>
      </c>
      <c r="I714" s="11">
        <f t="shared" ca="1" si="30"/>
        <v>46120</v>
      </c>
      <c r="J714" s="11">
        <f t="shared" ca="1" si="28"/>
        <v>46118</v>
      </c>
      <c r="K714" s="8"/>
    </row>
    <row r="715" spans="1:11" ht="18" x14ac:dyDescent="0.4">
      <c r="A715" s="7" t="s">
        <v>475</v>
      </c>
      <c r="B715" s="7" t="s">
        <v>452</v>
      </c>
      <c r="C715" s="7">
        <v>56589</v>
      </c>
      <c r="D715" s="9">
        <v>463528128</v>
      </c>
      <c r="E715" s="57">
        <v>50</v>
      </c>
      <c r="F715" s="96" t="s">
        <v>695</v>
      </c>
      <c r="G715" s="9">
        <v>1500</v>
      </c>
      <c r="H715" s="9">
        <f t="shared" si="29"/>
        <v>30</v>
      </c>
      <c r="I715" s="11">
        <f t="shared" ca="1" si="30"/>
        <v>46120</v>
      </c>
      <c r="J715" s="11">
        <f t="shared" ref="J715:J717" ca="1" si="31">TODAY()</f>
        <v>46118</v>
      </c>
      <c r="K715" s="8"/>
    </row>
    <row r="716" spans="1:11" ht="18" x14ac:dyDescent="0.4">
      <c r="A716" s="7" t="s">
        <v>475</v>
      </c>
      <c r="B716" s="7" t="s">
        <v>452</v>
      </c>
      <c r="C716" s="7">
        <v>56589</v>
      </c>
      <c r="D716" s="9">
        <v>552553318</v>
      </c>
      <c r="E716" s="57">
        <v>30</v>
      </c>
      <c r="F716" s="19" t="s">
        <v>688</v>
      </c>
      <c r="G716" s="9">
        <v>0</v>
      </c>
      <c r="H716" s="9">
        <f t="shared" si="29"/>
        <v>0</v>
      </c>
      <c r="I716" s="11">
        <f t="shared" ca="1" si="30"/>
        <v>46120</v>
      </c>
      <c r="J716" s="11">
        <f t="shared" ca="1" si="31"/>
        <v>46118</v>
      </c>
      <c r="K716" s="8"/>
    </row>
    <row r="717" spans="1:11" ht="18" x14ac:dyDescent="0.4">
      <c r="A717" s="7" t="s">
        <v>475</v>
      </c>
      <c r="B717" s="7" t="s">
        <v>452</v>
      </c>
      <c r="C717" s="7">
        <v>56589</v>
      </c>
      <c r="D717" s="9">
        <v>463530718</v>
      </c>
      <c r="E717" s="57">
        <v>30</v>
      </c>
      <c r="F717" s="96" t="s">
        <v>696</v>
      </c>
      <c r="G717" s="9">
        <v>1500</v>
      </c>
      <c r="H717" s="9">
        <f t="shared" si="29"/>
        <v>50</v>
      </c>
      <c r="I717" s="11">
        <f t="shared" ca="1" si="30"/>
        <v>46120</v>
      </c>
      <c r="J717" s="11">
        <f t="shared" ca="1" si="31"/>
        <v>46118</v>
      </c>
      <c r="K717" s="8"/>
    </row>
    <row r="718" spans="1:11" ht="18" x14ac:dyDescent="0.4">
      <c r="A718" s="20"/>
      <c r="B718" s="16"/>
      <c r="C718" s="16"/>
      <c r="D718" s="9"/>
      <c r="E718" s="63"/>
      <c r="F718" s="16"/>
      <c r="G718" s="16"/>
      <c r="H718" s="16"/>
      <c r="I718" s="11"/>
      <c r="J718" s="16"/>
      <c r="K718" s="21"/>
    </row>
    <row r="719" spans="1:11" ht="18" x14ac:dyDescent="0.4">
      <c r="A719" s="20"/>
      <c r="B719" s="16"/>
      <c r="C719" s="16"/>
      <c r="D719" s="9"/>
      <c r="E719" s="63"/>
      <c r="F719" s="16"/>
      <c r="G719" s="16"/>
      <c r="H719" s="16"/>
      <c r="I719" s="16"/>
      <c r="J719" s="16"/>
      <c r="K719" s="21"/>
    </row>
    <row r="720" spans="1:11" ht="18" x14ac:dyDescent="0.4">
      <c r="A720" s="20"/>
      <c r="B720" s="16"/>
      <c r="C720" s="16"/>
      <c r="D720" s="9"/>
      <c r="E720" s="63"/>
      <c r="F720" s="16"/>
      <c r="G720" s="16"/>
      <c r="H720" s="16"/>
      <c r="I720" s="16"/>
      <c r="J720" s="16"/>
      <c r="K720" s="21"/>
    </row>
    <row r="721" spans="1:11" ht="18" x14ac:dyDescent="0.4">
      <c r="A721" s="20"/>
      <c r="B721" s="16"/>
      <c r="C721" s="16"/>
      <c r="D721" s="9"/>
      <c r="E721" s="63"/>
      <c r="F721" s="16"/>
      <c r="G721" s="16"/>
      <c r="H721" s="16"/>
      <c r="I721" s="16"/>
      <c r="J721" s="16"/>
      <c r="K721" s="21"/>
    </row>
    <row r="722" spans="1:11" ht="18" x14ac:dyDescent="0.4">
      <c r="A722" s="20"/>
      <c r="B722" s="16"/>
      <c r="C722" s="16"/>
      <c r="D722" s="9"/>
      <c r="E722" s="63"/>
      <c r="F722" s="16"/>
      <c r="G722" s="16"/>
      <c r="H722" s="16"/>
      <c r="I722" s="16"/>
      <c r="J722" s="16"/>
      <c r="K722" s="21"/>
    </row>
    <row r="723" spans="1:11" ht="18" x14ac:dyDescent="0.4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1" ht="18" x14ac:dyDescent="0.4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1" ht="18" x14ac:dyDescent="0.4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1" ht="18" x14ac:dyDescent="0.4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1" ht="18" x14ac:dyDescent="0.4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1" ht="18" x14ac:dyDescent="0.4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1" ht="18" x14ac:dyDescent="0.4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1" ht="18" x14ac:dyDescent="0.4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1" ht="18" x14ac:dyDescent="0.4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1" ht="18" x14ac:dyDescent="0.4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1" ht="18" x14ac:dyDescent="0.4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1" ht="18" x14ac:dyDescent="0.4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1" ht="18" x14ac:dyDescent="0.4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1" ht="18" x14ac:dyDescent="0.4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 x14ac:dyDescent="0.4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 x14ac:dyDescent="0.4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 x14ac:dyDescent="0.4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 x14ac:dyDescent="0.4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 x14ac:dyDescent="0.4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 x14ac:dyDescent="0.4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 x14ac:dyDescent="0.4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 x14ac:dyDescent="0.4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 x14ac:dyDescent="0.4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 x14ac:dyDescent="0.4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 x14ac:dyDescent="0.4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 x14ac:dyDescent="0.4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 x14ac:dyDescent="0.4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 x14ac:dyDescent="0.4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 x14ac:dyDescent="0.4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 x14ac:dyDescent="0.4">
      <c r="A752" s="20"/>
      <c r="B752" s="16"/>
      <c r="C752" s="16"/>
      <c r="D752" s="9"/>
      <c r="E752" s="63"/>
      <c r="F752" s="16"/>
      <c r="G752" s="16"/>
      <c r="H752" s="16"/>
      <c r="I752" s="16"/>
      <c r="J752" s="16"/>
      <c r="K752" s="21"/>
    </row>
    <row r="753" spans="1:11" ht="18" x14ac:dyDescent="0.4">
      <c r="A753" s="20"/>
      <c r="B753" s="16"/>
      <c r="C753" s="16"/>
      <c r="D753" s="9"/>
      <c r="E753" s="63"/>
      <c r="F753" s="16"/>
      <c r="G753" s="16"/>
      <c r="H753" s="16"/>
      <c r="I753" s="16"/>
      <c r="J753" s="16"/>
      <c r="K753" s="21"/>
    </row>
    <row r="754" spans="1:11" ht="18" x14ac:dyDescent="0.4">
      <c r="A754" s="20"/>
      <c r="B754" s="16"/>
      <c r="C754" s="16"/>
      <c r="D754" s="7"/>
      <c r="E754" s="63"/>
      <c r="F754" s="16"/>
      <c r="G754" s="16"/>
      <c r="H754" s="16"/>
      <c r="I754" s="16"/>
      <c r="J754" s="16"/>
      <c r="K754" s="21"/>
    </row>
    <row r="755" spans="1:11" ht="18" x14ac:dyDescent="0.4">
      <c r="A755" s="20"/>
      <c r="B755" s="16"/>
      <c r="C755" s="16"/>
      <c r="D755" s="7"/>
      <c r="E755" s="63"/>
      <c r="F755" s="16"/>
      <c r="G755" s="16"/>
      <c r="H755" s="16"/>
      <c r="I755" s="16"/>
      <c r="J755" s="16"/>
      <c r="K755" s="21"/>
    </row>
    <row r="756" spans="1:11" ht="18" x14ac:dyDescent="0.4">
      <c r="A756" s="20"/>
      <c r="B756" s="16"/>
      <c r="C756" s="16"/>
      <c r="D756" s="7"/>
      <c r="E756" s="63"/>
      <c r="F756" s="16"/>
      <c r="G756" s="16"/>
      <c r="H756" s="16"/>
      <c r="I756" s="16"/>
      <c r="J756" s="16"/>
      <c r="K756" s="21"/>
    </row>
    <row r="757" spans="1:11" ht="18" x14ac:dyDescent="0.4">
      <c r="A757" s="20"/>
      <c r="B757" s="16"/>
      <c r="C757" s="16"/>
      <c r="D757" s="7"/>
      <c r="E757" s="63"/>
      <c r="F757" s="16"/>
      <c r="G757" s="16"/>
      <c r="H757" s="16"/>
      <c r="I757" s="16"/>
      <c r="J757" s="16"/>
      <c r="K757" s="21"/>
    </row>
    <row r="758" spans="1:11" ht="18" x14ac:dyDescent="0.4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 x14ac:dyDescent="0.4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 x14ac:dyDescent="0.4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 x14ac:dyDescent="0.4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 x14ac:dyDescent="0.4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 x14ac:dyDescent="0.4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 x14ac:dyDescent="0.4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 x14ac:dyDescent="0.4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 x14ac:dyDescent="0.4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 x14ac:dyDescent="0.4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 x14ac:dyDescent="0.4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 x14ac:dyDescent="0.4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 x14ac:dyDescent="0.4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 x14ac:dyDescent="0.4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 x14ac:dyDescent="0.4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 x14ac:dyDescent="0.4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 x14ac:dyDescent="0.4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 x14ac:dyDescent="0.4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 x14ac:dyDescent="0.4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 x14ac:dyDescent="0.4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 x14ac:dyDescent="0.4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 x14ac:dyDescent="0.4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 x14ac:dyDescent="0.4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 x14ac:dyDescent="0.4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 x14ac:dyDescent="0.4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 x14ac:dyDescent="0.4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 x14ac:dyDescent="0.4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 x14ac:dyDescent="0.4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 x14ac:dyDescent="0.4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 x14ac:dyDescent="0.4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 x14ac:dyDescent="0.4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 x14ac:dyDescent="0.4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 x14ac:dyDescent="0.4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 x14ac:dyDescent="0.4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 x14ac:dyDescent="0.4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 x14ac:dyDescent="0.4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 x14ac:dyDescent="0.4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 x14ac:dyDescent="0.4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 x14ac:dyDescent="0.4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 x14ac:dyDescent="0.4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 x14ac:dyDescent="0.4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 x14ac:dyDescent="0.4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 x14ac:dyDescent="0.4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 x14ac:dyDescent="0.4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 x14ac:dyDescent="0.4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 x14ac:dyDescent="0.4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 x14ac:dyDescent="0.4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 x14ac:dyDescent="0.4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 x14ac:dyDescent="0.4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 x14ac:dyDescent="0.4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 x14ac:dyDescent="0.4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 x14ac:dyDescent="0.4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 x14ac:dyDescent="0.4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 x14ac:dyDescent="0.4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 x14ac:dyDescent="0.4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 x14ac:dyDescent="0.4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 x14ac:dyDescent="0.4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 x14ac:dyDescent="0.4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 x14ac:dyDescent="0.4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 x14ac:dyDescent="0.4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 x14ac:dyDescent="0.4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 x14ac:dyDescent="0.4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 x14ac:dyDescent="0.4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 x14ac:dyDescent="0.4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 x14ac:dyDescent="0.4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 x14ac:dyDescent="0.4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 x14ac:dyDescent="0.4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 x14ac:dyDescent="0.4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 x14ac:dyDescent="0.4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 x14ac:dyDescent="0.4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 x14ac:dyDescent="0.4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 x14ac:dyDescent="0.4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 x14ac:dyDescent="0.4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 x14ac:dyDescent="0.4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 x14ac:dyDescent="0.4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 x14ac:dyDescent="0.4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 x14ac:dyDescent="0.4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 x14ac:dyDescent="0.4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 x14ac:dyDescent="0.4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 x14ac:dyDescent="0.4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 x14ac:dyDescent="0.4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 x14ac:dyDescent="0.4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 x14ac:dyDescent="0.4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 x14ac:dyDescent="0.4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 x14ac:dyDescent="0.4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 x14ac:dyDescent="0.4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 x14ac:dyDescent="0.4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 x14ac:dyDescent="0.4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 x14ac:dyDescent="0.4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 x14ac:dyDescent="0.4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 x14ac:dyDescent="0.4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 x14ac:dyDescent="0.4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 x14ac:dyDescent="0.4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 x14ac:dyDescent="0.4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 x14ac:dyDescent="0.4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 x14ac:dyDescent="0.4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 x14ac:dyDescent="0.4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 x14ac:dyDescent="0.4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 x14ac:dyDescent="0.4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 x14ac:dyDescent="0.4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 x14ac:dyDescent="0.4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 x14ac:dyDescent="0.4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 x14ac:dyDescent="0.4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 x14ac:dyDescent="0.4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 x14ac:dyDescent="0.4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 x14ac:dyDescent="0.4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 x14ac:dyDescent="0.4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 x14ac:dyDescent="0.4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 x14ac:dyDescent="0.4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 x14ac:dyDescent="0.4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 x14ac:dyDescent="0.4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 x14ac:dyDescent="0.4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 x14ac:dyDescent="0.4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 x14ac:dyDescent="0.4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 x14ac:dyDescent="0.4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 x14ac:dyDescent="0.4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 x14ac:dyDescent="0.4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 x14ac:dyDescent="0.4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 x14ac:dyDescent="0.4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 x14ac:dyDescent="0.4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 x14ac:dyDescent="0.4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 x14ac:dyDescent="0.4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 x14ac:dyDescent="0.4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 x14ac:dyDescent="0.4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 x14ac:dyDescent="0.4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 x14ac:dyDescent="0.4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 x14ac:dyDescent="0.4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 x14ac:dyDescent="0.4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 x14ac:dyDescent="0.4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 x14ac:dyDescent="0.4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 x14ac:dyDescent="0.4">
      <c r="A888" s="20"/>
      <c r="B888" s="16"/>
      <c r="C888" s="16"/>
      <c r="D888" s="7"/>
      <c r="E888" s="63"/>
      <c r="F888" s="16"/>
      <c r="G888" s="16"/>
      <c r="H888" s="16"/>
      <c r="I888" s="16"/>
      <c r="J888" s="16"/>
      <c r="K888" s="21"/>
    </row>
    <row r="889" spans="1:11" ht="18" x14ac:dyDescent="0.4">
      <c r="A889" s="20"/>
      <c r="B889" s="16"/>
      <c r="C889" s="16"/>
      <c r="D889" s="7"/>
      <c r="E889" s="63"/>
      <c r="F889" s="16"/>
      <c r="G889" s="16"/>
      <c r="H889" s="16"/>
      <c r="I889" s="16"/>
      <c r="J889" s="16"/>
      <c r="K889" s="21"/>
    </row>
    <row r="890" spans="1:11" ht="18" x14ac:dyDescent="0.4">
      <c r="A890" s="20"/>
      <c r="B890" s="16"/>
      <c r="C890" s="16"/>
      <c r="D890" s="16"/>
      <c r="E890" s="63"/>
      <c r="F890" s="16"/>
      <c r="G890" s="16"/>
      <c r="H890" s="16"/>
      <c r="I890" s="16"/>
      <c r="J890" s="16"/>
      <c r="K890" s="21"/>
    </row>
    <row r="891" spans="1:11" ht="18" x14ac:dyDescent="0.4">
      <c r="A891" s="20"/>
      <c r="B891" s="16"/>
      <c r="C891" s="16"/>
      <c r="D891" s="16"/>
      <c r="E891" s="63"/>
      <c r="F891" s="16"/>
      <c r="G891" s="16"/>
      <c r="H891" s="16"/>
      <c r="I891" s="16"/>
      <c r="J891" s="16"/>
      <c r="K891" s="21"/>
    </row>
    <row r="892" spans="1:11" ht="18" x14ac:dyDescent="0.4">
      <c r="A892" s="20"/>
      <c r="B892" s="16"/>
      <c r="C892" s="16"/>
      <c r="D892" s="16"/>
      <c r="E892" s="63"/>
      <c r="F892" s="16"/>
      <c r="G892" s="16"/>
      <c r="H892" s="16"/>
      <c r="I892" s="16"/>
      <c r="J892" s="16"/>
      <c r="K892" s="21"/>
    </row>
    <row r="893" spans="1:11" ht="18" x14ac:dyDescent="0.4">
      <c r="A893" s="20"/>
      <c r="B893" s="16"/>
      <c r="C893" s="16"/>
      <c r="D893" s="16"/>
      <c r="E893" s="63"/>
      <c r="F893" s="16"/>
      <c r="G893" s="16"/>
      <c r="H893" s="16"/>
      <c r="I893" s="16"/>
      <c r="J893" s="16"/>
      <c r="K893" s="21"/>
    </row>
    <row r="894" spans="1:11" ht="18" x14ac:dyDescent="0.4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 x14ac:dyDescent="0.4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 x14ac:dyDescent="0.4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 x14ac:dyDescent="0.4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 x14ac:dyDescent="0.4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 x14ac:dyDescent="0.4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 x14ac:dyDescent="0.4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 x14ac:dyDescent="0.4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 x14ac:dyDescent="0.4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 x14ac:dyDescent="0.4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 x14ac:dyDescent="0.4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 x14ac:dyDescent="0.4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 x14ac:dyDescent="0.4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 x14ac:dyDescent="0.4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 x14ac:dyDescent="0.4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 x14ac:dyDescent="0.4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 x14ac:dyDescent="0.4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 x14ac:dyDescent="0.4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 x14ac:dyDescent="0.4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 x14ac:dyDescent="0.4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 x14ac:dyDescent="0.4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 x14ac:dyDescent="0.4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 x14ac:dyDescent="0.4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 x14ac:dyDescent="0.4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 x14ac:dyDescent="0.4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 x14ac:dyDescent="0.4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 x14ac:dyDescent="0.4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 x14ac:dyDescent="0.4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 x14ac:dyDescent="0.4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 x14ac:dyDescent="0.4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 x14ac:dyDescent="0.4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 x14ac:dyDescent="0.4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 x14ac:dyDescent="0.4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 x14ac:dyDescent="0.4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 x14ac:dyDescent="0.4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 x14ac:dyDescent="0.4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 x14ac:dyDescent="0.4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 x14ac:dyDescent="0.4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 x14ac:dyDescent="0.4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 x14ac:dyDescent="0.4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 x14ac:dyDescent="0.4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 x14ac:dyDescent="0.4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 x14ac:dyDescent="0.4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 x14ac:dyDescent="0.4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 x14ac:dyDescent="0.4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 x14ac:dyDescent="0.4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 x14ac:dyDescent="0.4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 x14ac:dyDescent="0.4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 x14ac:dyDescent="0.4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 x14ac:dyDescent="0.4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 x14ac:dyDescent="0.4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 x14ac:dyDescent="0.4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 x14ac:dyDescent="0.4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 x14ac:dyDescent="0.4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 x14ac:dyDescent="0.4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 x14ac:dyDescent="0.4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 x14ac:dyDescent="0.4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 x14ac:dyDescent="0.4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 x14ac:dyDescent="0.4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 x14ac:dyDescent="0.4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 x14ac:dyDescent="0.4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 x14ac:dyDescent="0.4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 x14ac:dyDescent="0.4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 x14ac:dyDescent="0.4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 x14ac:dyDescent="0.4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 x14ac:dyDescent="0.4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 x14ac:dyDescent="0.4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 x14ac:dyDescent="0.4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 x14ac:dyDescent="0.4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 x14ac:dyDescent="0.4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 x14ac:dyDescent="0.4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 x14ac:dyDescent="0.4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 x14ac:dyDescent="0.4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 x14ac:dyDescent="0.4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 x14ac:dyDescent="0.4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 x14ac:dyDescent="0.4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 x14ac:dyDescent="0.4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 x14ac:dyDescent="0.4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 x14ac:dyDescent="0.4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 x14ac:dyDescent="0.4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 x14ac:dyDescent="0.4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 x14ac:dyDescent="0.4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 x14ac:dyDescent="0.4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 x14ac:dyDescent="0.4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 x14ac:dyDescent="0.4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 x14ac:dyDescent="0.4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 x14ac:dyDescent="0.4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 x14ac:dyDescent="0.4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 x14ac:dyDescent="0.4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 x14ac:dyDescent="0.4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 x14ac:dyDescent="0.4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 x14ac:dyDescent="0.4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 x14ac:dyDescent="0.4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 x14ac:dyDescent="0.4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 x14ac:dyDescent="0.4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 x14ac:dyDescent="0.4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 x14ac:dyDescent="0.4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 x14ac:dyDescent="0.4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 x14ac:dyDescent="0.4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 x14ac:dyDescent="0.4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 x14ac:dyDescent="0.4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 x14ac:dyDescent="0.4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 x14ac:dyDescent="0.4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 x14ac:dyDescent="0.4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 x14ac:dyDescent="0.4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 x14ac:dyDescent="0.4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 x14ac:dyDescent="0.4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 x14ac:dyDescent="0.4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 x14ac:dyDescent="0.4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 x14ac:dyDescent="0.4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 x14ac:dyDescent="0.4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 x14ac:dyDescent="0.4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 x14ac:dyDescent="0.4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 x14ac:dyDescent="0.4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  <row r="1008" spans="1:11" ht="18" x14ac:dyDescent="0.4">
      <c r="A1008" s="20"/>
      <c r="B1008" s="16"/>
      <c r="C1008" s="16"/>
      <c r="D1008" s="16"/>
      <c r="E1008" s="63"/>
      <c r="F1008" s="16"/>
      <c r="G1008" s="16"/>
      <c r="H1008" s="16"/>
      <c r="I1008" s="16"/>
      <c r="J1008" s="16"/>
      <c r="K1008" s="21"/>
    </row>
    <row r="1009" spans="1:11" ht="18" x14ac:dyDescent="0.4">
      <c r="A1009" s="20"/>
      <c r="B1009" s="16"/>
      <c r="C1009" s="16"/>
      <c r="D1009" s="16"/>
      <c r="E1009" s="63"/>
      <c r="F1009" s="16"/>
      <c r="G1009" s="16"/>
      <c r="H1009" s="16"/>
      <c r="I1009" s="16"/>
      <c r="J1009" s="16"/>
      <c r="K1009" s="21"/>
    </row>
  </sheetData>
  <mergeCells count="1">
    <mergeCell ref="A2:J2"/>
  </mergeCells>
  <conditionalFormatting sqref="A4:K553 A554:H568 A569:E570 A571:H684 A685:J717 A718:K1009 G569:H570 K554:K642 I554:J684 K653:K658 K661:K717">
    <cfRule type="expression" dxfId="72" priority="7">
      <formula>RegExMatch(($D4),"Done")</formula>
    </cfRule>
  </conditionalFormatting>
  <conditionalFormatting sqref="D4:D1009">
    <cfRule type="cellIs" dxfId="71" priority="5" operator="equal">
      <formula>"Not started"</formula>
    </cfRule>
    <cfRule type="cellIs" dxfId="70" priority="6" operator="equal">
      <formula>"In progress"</formula>
    </cfRule>
  </conditionalFormatting>
  <conditionalFormatting sqref="F4:F568 F571:F1009">
    <cfRule type="timePeriod" dxfId="69" priority="8" timePeriod="today">
      <formula>FLOOR(F4,1)=TODAY()</formula>
    </cfRule>
    <cfRule type="expression" dxfId="68" priority="9">
      <formula>AND($F4&lt;TODAY(), OR($D4="In progress", $D4="Not started"))</formula>
    </cfRule>
  </conditionalFormatting>
  <conditionalFormatting sqref="G4:G1009">
    <cfRule type="expression" dxfId="67" priority="4">
      <formula>AND(OR($D4="In progress",$D4="Not started" ),OR($G4=TODAY(), $G4=TODAY()+1))</formula>
    </cfRule>
  </conditionalFormatting>
  <conditionalFormatting sqref="H84">
    <cfRule type="expression" dxfId="66" priority="2">
      <formula>AND(OR($D84="In progress",$D84="Not started" ),OR($G84=TODAY(), $G84=TODAY()+1))</formula>
    </cfRule>
  </conditionalFormatting>
  <conditionalFormatting sqref="H245">
    <cfRule type="expression" dxfId="65" priority="1">
      <formula>AND(OR($D245="In progress",$D245="Not started" ),OR($G245=TODAY(), $G245=TODAY()+1))</formula>
    </cfRule>
  </conditionalFormatting>
  <conditionalFormatting sqref="H368">
    <cfRule type="expression" dxfId="64" priority="3">
      <formula>AND(OR($D368="In progress",$D368="Not started" ),OR($G368=TODAY(), $G368=TODAY()+1))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03F3-B2C1-4BAC-8F29-EA17CB77BBEF}">
  <sheetPr>
    <tabColor rgb="FFFFC000"/>
    <outlinePr summaryBelow="0" summaryRight="0"/>
    <pageSetUpPr fitToPage="1"/>
  </sheetPr>
  <dimension ref="A1:N1012"/>
  <sheetViews>
    <sheetView showGridLines="0" zoomScale="85" zoomScaleNormal="85" workbookViewId="0">
      <pane ySplit="3" topLeftCell="A370" activePane="bottomLeft" state="frozen"/>
      <selection activeCell="B1" sqref="B1"/>
      <selection pane="bottomLeft" activeCell="B1" sqref="B1"/>
    </sheetView>
  </sheetViews>
  <sheetFormatPr defaultColWidth="12.54296875" defaultRowHeight="15.75" customHeight="1" x14ac:dyDescent="0.4"/>
  <cols>
    <col min="1" max="1" width="12" style="3" customWidth="1"/>
    <col min="2" max="2" width="49.81640625" style="3" bestFit="1" customWidth="1"/>
    <col min="3" max="3" width="12.54296875" style="3" customWidth="1"/>
    <col min="4" max="4" width="19.453125" style="3" customWidth="1"/>
    <col min="5" max="5" width="12" style="69" customWidth="1"/>
    <col min="6" max="6" width="62" style="3" customWidth="1"/>
    <col min="7" max="7" width="20.7265625" style="3" customWidth="1"/>
    <col min="8" max="11" width="19.26953125" style="3" customWidth="1"/>
    <col min="12" max="13" width="12.81640625" style="3" bestFit="1" customWidth="1"/>
    <col min="14" max="14" width="34" style="3" customWidth="1"/>
    <col min="15" max="16384" width="12.54296875" style="3"/>
  </cols>
  <sheetData>
    <row r="1" spans="1:11" ht="12" customHeight="1" x14ac:dyDescent="0.4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1" ht="53.25" customHeight="1" x14ac:dyDescent="0.4">
      <c r="A2" s="114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4"/>
    </row>
    <row r="3" spans="1:11" ht="36" x14ac:dyDescent="0.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</row>
    <row r="4" spans="1:11" ht="18" x14ac:dyDescent="0.4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v>46071</v>
      </c>
      <c r="J4" s="11">
        <v>46070</v>
      </c>
      <c r="K4" s="13"/>
    </row>
    <row r="5" spans="1:11" ht="18" x14ac:dyDescent="0.4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v>46071</v>
      </c>
      <c r="J5" s="11">
        <v>46070</v>
      </c>
      <c r="K5" s="13"/>
    </row>
    <row r="6" spans="1:11" ht="18" x14ac:dyDescent="0.4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v>46071</v>
      </c>
      <c r="J6" s="11">
        <v>46070</v>
      </c>
      <c r="K6" s="13"/>
    </row>
    <row r="7" spans="1:11" ht="18" x14ac:dyDescent="0.4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v>46071</v>
      </c>
      <c r="J7" s="11">
        <v>46070</v>
      </c>
      <c r="K7" s="13"/>
    </row>
    <row r="8" spans="1:11" ht="18" x14ac:dyDescent="0.4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v>46071</v>
      </c>
      <c r="J8" s="11">
        <v>46070</v>
      </c>
      <c r="K8" s="13"/>
    </row>
    <row r="9" spans="1:11" ht="18" x14ac:dyDescent="0.4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v>46071</v>
      </c>
      <c r="J9" s="11">
        <v>46070</v>
      </c>
      <c r="K9" s="13"/>
    </row>
    <row r="10" spans="1:11" ht="18" x14ac:dyDescent="0.4">
      <c r="A10" s="57" t="s">
        <v>0</v>
      </c>
      <c r="B10" s="57" t="s">
        <v>697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v>46071</v>
      </c>
      <c r="J10" s="11">
        <v>46070</v>
      </c>
      <c r="K10" s="13"/>
    </row>
    <row r="11" spans="1:11" ht="18" x14ac:dyDescent="0.4">
      <c r="A11" s="57" t="s">
        <v>0</v>
      </c>
      <c r="B11" s="57" t="s">
        <v>697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v>46071</v>
      </c>
      <c r="J11" s="11">
        <v>46070</v>
      </c>
      <c r="K11" s="13"/>
    </row>
    <row r="12" spans="1:11" ht="18" x14ac:dyDescent="0.4">
      <c r="A12" s="57" t="s">
        <v>0</v>
      </c>
      <c r="B12" s="57" t="s">
        <v>697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v>46071</v>
      </c>
      <c r="J12" s="11">
        <v>46070</v>
      </c>
      <c r="K12" s="13"/>
    </row>
    <row r="13" spans="1:11" ht="18" x14ac:dyDescent="0.4">
      <c r="A13" s="57" t="s">
        <v>0</v>
      </c>
      <c r="B13" s="57" t="s">
        <v>697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v>46071</v>
      </c>
      <c r="J13" s="11">
        <v>46070</v>
      </c>
      <c r="K13" s="13"/>
    </row>
    <row r="14" spans="1:11" ht="18" x14ac:dyDescent="0.4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v>46071</v>
      </c>
      <c r="J14" s="11">
        <v>46070</v>
      </c>
      <c r="K14" s="13"/>
    </row>
    <row r="15" spans="1:11" ht="18" x14ac:dyDescent="0.4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v>46071</v>
      </c>
      <c r="J15" s="11">
        <v>46070</v>
      </c>
      <c r="K15" s="13"/>
    </row>
    <row r="16" spans="1:11" ht="18" x14ac:dyDescent="0.4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v>46071</v>
      </c>
      <c r="J16" s="11">
        <v>46070</v>
      </c>
      <c r="K16" s="13"/>
    </row>
    <row r="17" spans="1:11" ht="18" x14ac:dyDescent="0.4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v>46071</v>
      </c>
      <c r="J17" s="53">
        <v>46070</v>
      </c>
      <c r="K17" s="21"/>
    </row>
    <row r="18" spans="1:11" ht="18" x14ac:dyDescent="0.4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v>46071</v>
      </c>
      <c r="J18" s="53">
        <v>46070</v>
      </c>
      <c r="K18" s="21"/>
    </row>
    <row r="19" spans="1:11" ht="18" x14ac:dyDescent="0.4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v>46071</v>
      </c>
      <c r="J19" s="53">
        <v>46070</v>
      </c>
      <c r="K19" s="21"/>
    </row>
    <row r="20" spans="1:11" ht="18" x14ac:dyDescent="0.4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v>46071</v>
      </c>
      <c r="J20" s="53">
        <v>46070</v>
      </c>
      <c r="K20" s="21"/>
    </row>
    <row r="21" spans="1:11" ht="18" x14ac:dyDescent="0.4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v>46071</v>
      </c>
      <c r="J21" s="53">
        <v>46070</v>
      </c>
      <c r="K21" s="21"/>
    </row>
    <row r="22" spans="1:11" ht="18" x14ac:dyDescent="0.4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v>46071</v>
      </c>
      <c r="J22" s="53">
        <v>46070</v>
      </c>
      <c r="K22" s="21"/>
    </row>
    <row r="23" spans="1:11" ht="18" x14ac:dyDescent="0.4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v>46071</v>
      </c>
      <c r="J23" s="53">
        <v>46070</v>
      </c>
      <c r="K23" s="21"/>
    </row>
    <row r="24" spans="1:11" ht="18" x14ac:dyDescent="0.4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v>46071</v>
      </c>
      <c r="J24" s="53">
        <v>46070</v>
      </c>
      <c r="K24" s="21"/>
    </row>
    <row r="25" spans="1:11" ht="18" x14ac:dyDescent="0.4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v>46071</v>
      </c>
      <c r="J25" s="53">
        <v>46070</v>
      </c>
      <c r="K25" s="7"/>
    </row>
    <row r="26" spans="1:11" ht="18" x14ac:dyDescent="0.4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v>46071</v>
      </c>
      <c r="J26" s="53">
        <v>46070</v>
      </c>
      <c r="K26" s="21"/>
    </row>
    <row r="27" spans="1:11" ht="18" x14ac:dyDescent="0.4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v>46071</v>
      </c>
      <c r="J27" s="53">
        <v>46070</v>
      </c>
      <c r="K27" s="21"/>
    </row>
    <row r="28" spans="1:11" ht="18" x14ac:dyDescent="0.4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v>46071</v>
      </c>
      <c r="J28" s="53">
        <v>46070</v>
      </c>
      <c r="K28" s="21"/>
    </row>
    <row r="29" spans="1:11" ht="18" x14ac:dyDescent="0.4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v>46071</v>
      </c>
      <c r="J29" s="53">
        <v>46070</v>
      </c>
      <c r="K29" s="21"/>
    </row>
    <row r="30" spans="1:11" ht="18" x14ac:dyDescent="0.4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v>46071</v>
      </c>
      <c r="J30" s="53">
        <v>46070</v>
      </c>
      <c r="K30" s="21"/>
    </row>
    <row r="31" spans="1:11" ht="18" x14ac:dyDescent="0.4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v>46071</v>
      </c>
      <c r="J31" s="11">
        <v>46070</v>
      </c>
      <c r="K31" s="13"/>
    </row>
    <row r="32" spans="1:11" ht="18" x14ac:dyDescent="0.4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v>46071</v>
      </c>
      <c r="J32" s="11">
        <v>46070</v>
      </c>
      <c r="K32" s="13"/>
    </row>
    <row r="33" spans="1:11" ht="18" x14ac:dyDescent="0.4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v>46071</v>
      </c>
      <c r="J33" s="11">
        <v>46070</v>
      </c>
      <c r="K33" s="13"/>
    </row>
    <row r="34" spans="1:11" ht="18" x14ac:dyDescent="0.4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v>46071</v>
      </c>
      <c r="J34" s="53">
        <v>46070</v>
      </c>
      <c r="K34" s="21"/>
    </row>
    <row r="35" spans="1:11" ht="18" x14ac:dyDescent="0.4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v>46071</v>
      </c>
      <c r="J35" s="53">
        <v>46070</v>
      </c>
      <c r="K35" s="21"/>
    </row>
    <row r="36" spans="1:11" ht="18" x14ac:dyDescent="0.4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v>46071</v>
      </c>
      <c r="J36" s="53">
        <v>46070</v>
      </c>
      <c r="K36" s="21"/>
    </row>
    <row r="37" spans="1:11" ht="15.75" customHeight="1" x14ac:dyDescent="0.4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v>46071</v>
      </c>
      <c r="J37" s="53">
        <v>46070</v>
      </c>
      <c r="K37" s="21"/>
    </row>
    <row r="38" spans="1:11" ht="18" x14ac:dyDescent="0.4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v>46071</v>
      </c>
      <c r="J38" s="53">
        <v>46070</v>
      </c>
      <c r="K38" s="7"/>
    </row>
    <row r="39" spans="1:11" ht="18" x14ac:dyDescent="0.4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v>46071</v>
      </c>
      <c r="J39" s="53">
        <v>46070</v>
      </c>
      <c r="K39" s="21"/>
    </row>
    <row r="40" spans="1:11" ht="18" x14ac:dyDescent="0.4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v>46071</v>
      </c>
      <c r="J40" s="53">
        <v>46070</v>
      </c>
      <c r="K40" s="21"/>
    </row>
    <row r="41" spans="1:11" ht="18" x14ac:dyDescent="0.4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v>46071</v>
      </c>
      <c r="J41" s="53">
        <v>46070</v>
      </c>
      <c r="K41" s="21"/>
    </row>
    <row r="42" spans="1:11" ht="18" x14ac:dyDescent="0.4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v>46071</v>
      </c>
      <c r="J42" s="53">
        <v>46070</v>
      </c>
      <c r="K42" s="21"/>
    </row>
    <row r="43" spans="1:11" ht="18" x14ac:dyDescent="0.4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v>46071</v>
      </c>
      <c r="J43" s="53">
        <v>46070</v>
      </c>
      <c r="K43" s="21"/>
    </row>
    <row r="44" spans="1:11" ht="18" x14ac:dyDescent="0.4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v>46071</v>
      </c>
      <c r="J44" s="11">
        <v>46070</v>
      </c>
      <c r="K44" s="13"/>
    </row>
    <row r="45" spans="1:11" ht="18" x14ac:dyDescent="0.4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v>46071</v>
      </c>
      <c r="J45" s="11">
        <v>46070</v>
      </c>
      <c r="K45" s="13"/>
    </row>
    <row r="46" spans="1:11" ht="18" x14ac:dyDescent="0.4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v>46071</v>
      </c>
      <c r="J46" s="11">
        <v>46070</v>
      </c>
      <c r="K46" s="13"/>
    </row>
    <row r="47" spans="1:11" ht="18" x14ac:dyDescent="0.4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v>46071</v>
      </c>
      <c r="J47" s="11">
        <v>46070</v>
      </c>
      <c r="K47" s="13"/>
    </row>
    <row r="48" spans="1:11" ht="18" x14ac:dyDescent="0.4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v>46071</v>
      </c>
      <c r="J48" s="53">
        <v>46070</v>
      </c>
      <c r="K48" s="54"/>
    </row>
    <row r="49" spans="1:11" ht="18" x14ac:dyDescent="0.4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v>46071</v>
      </c>
      <c r="J49" s="53">
        <v>46070</v>
      </c>
      <c r="K49" s="21"/>
    </row>
    <row r="50" spans="1:11" ht="18" x14ac:dyDescent="0.4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v>46071</v>
      </c>
      <c r="J50" s="53">
        <v>46070</v>
      </c>
      <c r="K50" s="21"/>
    </row>
    <row r="51" spans="1:11" ht="18" x14ac:dyDescent="0.4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v>46071</v>
      </c>
      <c r="J51" s="53">
        <v>46070</v>
      </c>
      <c r="K51" s="7"/>
    </row>
    <row r="52" spans="1:11" ht="18" x14ac:dyDescent="0.4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v>46071</v>
      </c>
      <c r="J52" s="11">
        <v>46070</v>
      </c>
      <c r="K52" s="13"/>
    </row>
    <row r="53" spans="1:11" ht="18" x14ac:dyDescent="0.4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v>46071</v>
      </c>
      <c r="J53" s="11">
        <v>46070</v>
      </c>
      <c r="K53" s="13"/>
    </row>
    <row r="54" spans="1:11" ht="18" x14ac:dyDescent="0.4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v>46071</v>
      </c>
      <c r="J54" s="11">
        <v>46070</v>
      </c>
      <c r="K54" s="13"/>
    </row>
    <row r="55" spans="1:11" ht="18" x14ac:dyDescent="0.4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v>46071</v>
      </c>
      <c r="J55" s="11">
        <v>46070</v>
      </c>
      <c r="K55" s="13"/>
    </row>
    <row r="56" spans="1:11" ht="18" x14ac:dyDescent="0.4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v>46071</v>
      </c>
      <c r="J56" s="11">
        <v>46070</v>
      </c>
      <c r="K56" s="13"/>
    </row>
    <row r="57" spans="1:11" ht="18" x14ac:dyDescent="0.4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v>46071</v>
      </c>
      <c r="J57" s="53">
        <v>46070</v>
      </c>
      <c r="K57" s="21"/>
    </row>
    <row r="58" spans="1:11" ht="18" x14ac:dyDescent="0.4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v>46071</v>
      </c>
      <c r="J58" s="53">
        <v>46070</v>
      </c>
      <c r="K58" s="21"/>
    </row>
    <row r="59" spans="1:11" ht="18" x14ac:dyDescent="0.4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v>46071</v>
      </c>
      <c r="J59" s="53">
        <v>46070</v>
      </c>
      <c r="K59" s="7"/>
    </row>
    <row r="60" spans="1:11" ht="18" x14ac:dyDescent="0.4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v>46071</v>
      </c>
      <c r="J60" s="11">
        <v>46070</v>
      </c>
      <c r="K60" s="13"/>
    </row>
    <row r="61" spans="1:11" ht="18" x14ac:dyDescent="0.4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v>46071</v>
      </c>
      <c r="J61" s="11">
        <v>46070</v>
      </c>
      <c r="K61" s="13"/>
    </row>
    <row r="62" spans="1:11" ht="18" x14ac:dyDescent="0.4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v>46071</v>
      </c>
      <c r="J62" s="11">
        <v>46070</v>
      </c>
      <c r="K62" s="13"/>
    </row>
    <row r="63" spans="1:11" ht="18" x14ac:dyDescent="0.4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v>46071</v>
      </c>
      <c r="J63" s="53">
        <v>46070</v>
      </c>
      <c r="K63" s="21"/>
    </row>
    <row r="64" spans="1:11" ht="18" x14ac:dyDescent="0.4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v>46071</v>
      </c>
      <c r="J64" s="53">
        <v>46070</v>
      </c>
      <c r="K64" s="21"/>
    </row>
    <row r="65" spans="1:11" ht="18" x14ac:dyDescent="0.4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v>46071</v>
      </c>
      <c r="J65" s="53">
        <v>46070</v>
      </c>
      <c r="K65" s="21"/>
    </row>
    <row r="66" spans="1:11" ht="18" x14ac:dyDescent="0.4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v>46071</v>
      </c>
      <c r="J66" s="53">
        <v>46070</v>
      </c>
      <c r="K66" s="21"/>
    </row>
    <row r="67" spans="1:11" ht="18" x14ac:dyDescent="0.4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v>46071</v>
      </c>
      <c r="J67" s="11">
        <v>46070</v>
      </c>
      <c r="K67" s="13"/>
    </row>
    <row r="68" spans="1:11" ht="18" x14ac:dyDescent="0.4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1" si="1">+G68/E68</f>
        <v>0</v>
      </c>
      <c r="I68" s="53">
        <v>46071</v>
      </c>
      <c r="J68" s="53">
        <v>46070</v>
      </c>
      <c r="K68" s="21"/>
    </row>
    <row r="69" spans="1:11" ht="18" x14ac:dyDescent="0.4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1"/>
        <v>0</v>
      </c>
      <c r="I69" s="53">
        <v>46071</v>
      </c>
      <c r="J69" s="53">
        <v>46070</v>
      </c>
      <c r="K69" s="21"/>
    </row>
    <row r="70" spans="1:11" ht="18" x14ac:dyDescent="0.4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1"/>
        <v>0</v>
      </c>
      <c r="I70" s="53">
        <v>46071</v>
      </c>
      <c r="J70" s="53">
        <v>46070</v>
      </c>
      <c r="K70" s="21"/>
    </row>
    <row r="71" spans="1:11" ht="18" x14ac:dyDescent="0.4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1"/>
        <v>0</v>
      </c>
      <c r="I71" s="53">
        <v>46071</v>
      </c>
      <c r="J71" s="53">
        <v>46070</v>
      </c>
      <c r="K71" s="21"/>
    </row>
    <row r="72" spans="1:11" ht="18" x14ac:dyDescent="0.4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1"/>
        <v>0</v>
      </c>
      <c r="I72" s="53">
        <v>46071</v>
      </c>
      <c r="J72" s="53">
        <v>46070</v>
      </c>
      <c r="K72" s="21"/>
    </row>
    <row r="73" spans="1:11" ht="18" x14ac:dyDescent="0.4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1"/>
        <v>0</v>
      </c>
      <c r="I73" s="53">
        <v>46071</v>
      </c>
      <c r="J73" s="53">
        <v>46070</v>
      </c>
      <c r="K73" s="21"/>
    </row>
    <row r="74" spans="1:11" ht="18" x14ac:dyDescent="0.4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1"/>
        <v>0</v>
      </c>
      <c r="I74" s="53">
        <v>46071</v>
      </c>
      <c r="J74" s="53">
        <v>46070</v>
      </c>
      <c r="K74" s="21"/>
    </row>
    <row r="75" spans="1:11" ht="18" x14ac:dyDescent="0.4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1"/>
        <v>0</v>
      </c>
      <c r="I75" s="53">
        <v>46071</v>
      </c>
      <c r="J75" s="53">
        <v>46070</v>
      </c>
      <c r="K75" s="21"/>
    </row>
    <row r="76" spans="1:11" ht="18" x14ac:dyDescent="0.4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1"/>
        <v>0</v>
      </c>
      <c r="I76" s="53">
        <v>46071</v>
      </c>
      <c r="J76" s="53">
        <v>46070</v>
      </c>
      <c r="K76" s="21"/>
    </row>
    <row r="77" spans="1:11" ht="18" x14ac:dyDescent="0.4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0</v>
      </c>
      <c r="H77" s="70">
        <f t="shared" si="1"/>
        <v>0</v>
      </c>
      <c r="I77" s="53">
        <v>46071</v>
      </c>
      <c r="J77" s="53">
        <v>46070</v>
      </c>
      <c r="K77" s="21"/>
    </row>
    <row r="78" spans="1:11" ht="18" x14ac:dyDescent="0.4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1"/>
        <v>0</v>
      </c>
      <c r="I78" s="53">
        <v>46071</v>
      </c>
      <c r="J78" s="53">
        <v>46070</v>
      </c>
      <c r="K78" s="21"/>
    </row>
    <row r="79" spans="1:11" ht="18" x14ac:dyDescent="0.4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1"/>
        <v>0</v>
      </c>
      <c r="I79" s="53">
        <v>46071</v>
      </c>
      <c r="J79" s="53">
        <v>46070</v>
      </c>
      <c r="K79" s="21"/>
    </row>
    <row r="80" spans="1:11" ht="18" x14ac:dyDescent="0.4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1"/>
        <v>0</v>
      </c>
      <c r="I80" s="53">
        <v>46071</v>
      </c>
      <c r="J80" s="53">
        <v>46070</v>
      </c>
      <c r="K80" s="21"/>
    </row>
    <row r="81" spans="1:11" ht="18" x14ac:dyDescent="0.4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1"/>
        <v>0</v>
      </c>
      <c r="I81" s="53">
        <v>46071</v>
      </c>
      <c r="J81" s="53">
        <v>46070</v>
      </c>
      <c r="K81" s="21"/>
    </row>
    <row r="82" spans="1:11" ht="18" x14ac:dyDescent="0.4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1"/>
        <v>0</v>
      </c>
      <c r="I82" s="53">
        <v>46071</v>
      </c>
      <c r="J82" s="53">
        <v>46070</v>
      </c>
      <c r="K82" s="21"/>
    </row>
    <row r="83" spans="1:11" ht="18" x14ac:dyDescent="0.4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1"/>
        <v>0</v>
      </c>
      <c r="I83" s="53">
        <v>46071</v>
      </c>
      <c r="J83" s="53">
        <v>46070</v>
      </c>
      <c r="K83" s="21"/>
    </row>
    <row r="84" spans="1:11" ht="18" x14ac:dyDescent="0.4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1"/>
        <v>0</v>
      </c>
      <c r="I84" s="55">
        <v>46071</v>
      </c>
      <c r="J84" s="55">
        <v>46070</v>
      </c>
      <c r="K84" s="56"/>
    </row>
    <row r="85" spans="1:11" ht="18" x14ac:dyDescent="0.4">
      <c r="A85" s="7" t="s">
        <v>98</v>
      </c>
      <c r="B85" s="85" t="s">
        <v>99</v>
      </c>
      <c r="C85" s="8">
        <v>1097</v>
      </c>
      <c r="D85" s="9">
        <v>463606330</v>
      </c>
      <c r="E85" s="57">
        <v>32</v>
      </c>
      <c r="F85" s="10" t="s">
        <v>698</v>
      </c>
      <c r="G85" s="88">
        <v>0</v>
      </c>
      <c r="H85" s="70">
        <f t="shared" si="1"/>
        <v>0</v>
      </c>
      <c r="I85" s="11">
        <v>46071</v>
      </c>
      <c r="J85" s="11">
        <v>46070</v>
      </c>
      <c r="K85" s="13"/>
    </row>
    <row r="86" spans="1:11" ht="18" x14ac:dyDescent="0.4">
      <c r="A86" s="7" t="s">
        <v>98</v>
      </c>
      <c r="B86" s="86" t="s">
        <v>99</v>
      </c>
      <c r="C86" s="8">
        <v>1097</v>
      </c>
      <c r="D86" s="9">
        <v>463606290</v>
      </c>
      <c r="E86" s="57">
        <v>32</v>
      </c>
      <c r="F86" s="10" t="s">
        <v>698</v>
      </c>
      <c r="G86" s="88">
        <v>0</v>
      </c>
      <c r="H86" s="70">
        <f t="shared" si="1"/>
        <v>0</v>
      </c>
      <c r="I86" s="11">
        <v>46071</v>
      </c>
      <c r="J86" s="11">
        <v>46070</v>
      </c>
      <c r="K86" s="13"/>
    </row>
    <row r="87" spans="1:11" ht="18" x14ac:dyDescent="0.4">
      <c r="A87" s="7" t="s">
        <v>98</v>
      </c>
      <c r="B87" s="86" t="s">
        <v>99</v>
      </c>
      <c r="C87" s="8">
        <v>1097</v>
      </c>
      <c r="D87" s="9">
        <v>463563840</v>
      </c>
      <c r="E87" s="57">
        <v>24</v>
      </c>
      <c r="F87" s="10" t="s">
        <v>699</v>
      </c>
      <c r="G87" s="88">
        <v>360</v>
      </c>
      <c r="H87" s="70">
        <f t="shared" si="1"/>
        <v>15</v>
      </c>
      <c r="I87" s="11">
        <v>46071</v>
      </c>
      <c r="J87" s="11">
        <v>46070</v>
      </c>
      <c r="K87" s="13"/>
    </row>
    <row r="88" spans="1:11" ht="18" x14ac:dyDescent="0.4">
      <c r="A88" s="7" t="s">
        <v>98</v>
      </c>
      <c r="B88" s="85" t="s">
        <v>99</v>
      </c>
      <c r="C88" s="8">
        <v>1097</v>
      </c>
      <c r="D88" s="9">
        <v>463504300</v>
      </c>
      <c r="E88" s="57">
        <v>24</v>
      </c>
      <c r="F88" s="10" t="s">
        <v>699</v>
      </c>
      <c r="G88" s="88">
        <v>0</v>
      </c>
      <c r="H88" s="70">
        <f t="shared" si="1"/>
        <v>0</v>
      </c>
      <c r="I88" s="11">
        <v>46071</v>
      </c>
      <c r="J88" s="11">
        <v>46070</v>
      </c>
      <c r="K88" s="13"/>
    </row>
    <row r="89" spans="1:11" ht="18" x14ac:dyDescent="0.4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700</v>
      </c>
      <c r="G89" s="88">
        <v>360</v>
      </c>
      <c r="H89" s="70">
        <f t="shared" si="1"/>
        <v>15</v>
      </c>
      <c r="I89" s="11">
        <v>46071</v>
      </c>
      <c r="J89" s="11">
        <v>46070</v>
      </c>
      <c r="K89" s="13"/>
    </row>
    <row r="90" spans="1:11" ht="18" x14ac:dyDescent="0.4">
      <c r="A90" s="7" t="s">
        <v>98</v>
      </c>
      <c r="B90" s="85" t="s">
        <v>99</v>
      </c>
      <c r="C90" s="8">
        <v>1097</v>
      </c>
      <c r="D90" s="9">
        <v>463571360</v>
      </c>
      <c r="E90" s="57">
        <v>24</v>
      </c>
      <c r="F90" s="10" t="s">
        <v>700</v>
      </c>
      <c r="G90" s="88">
        <v>0</v>
      </c>
      <c r="H90" s="70">
        <f t="shared" si="1"/>
        <v>0</v>
      </c>
      <c r="I90" s="11">
        <v>46071</v>
      </c>
      <c r="J90" s="11">
        <v>46070</v>
      </c>
      <c r="K90" s="13"/>
    </row>
    <row r="91" spans="1:11" ht="18" x14ac:dyDescent="0.4">
      <c r="A91" s="7" t="s">
        <v>98</v>
      </c>
      <c r="B91" s="85" t="s">
        <v>99</v>
      </c>
      <c r="C91" s="8">
        <v>1097</v>
      </c>
      <c r="D91" s="9">
        <v>463602320</v>
      </c>
      <c r="E91" s="57">
        <v>500</v>
      </c>
      <c r="F91" s="10" t="s">
        <v>701</v>
      </c>
      <c r="G91" s="88">
        <v>0</v>
      </c>
      <c r="H91" s="70">
        <f t="shared" si="1"/>
        <v>0</v>
      </c>
      <c r="I91" s="11">
        <v>46071</v>
      </c>
      <c r="J91" s="11">
        <v>46070</v>
      </c>
      <c r="K91" s="13"/>
    </row>
    <row r="92" spans="1:11" ht="18" x14ac:dyDescent="0.4">
      <c r="A92" s="7" t="s">
        <v>98</v>
      </c>
      <c r="B92" s="85" t="s">
        <v>99</v>
      </c>
      <c r="C92" s="8">
        <v>1097</v>
      </c>
      <c r="D92" s="9">
        <v>463559530</v>
      </c>
      <c r="E92" s="57">
        <v>500</v>
      </c>
      <c r="F92" s="10" t="s">
        <v>702</v>
      </c>
      <c r="G92" s="88">
        <v>0</v>
      </c>
      <c r="H92" s="70">
        <f t="shared" si="1"/>
        <v>0</v>
      </c>
      <c r="I92" s="11">
        <v>46071</v>
      </c>
      <c r="J92" s="11">
        <v>46070</v>
      </c>
      <c r="K92" s="13"/>
    </row>
    <row r="93" spans="1:11" ht="18" x14ac:dyDescent="0.4">
      <c r="A93" s="7" t="s">
        <v>98</v>
      </c>
      <c r="B93" s="85" t="s">
        <v>108</v>
      </c>
      <c r="C93" s="8">
        <v>37866</v>
      </c>
      <c r="D93" s="9">
        <v>463535560</v>
      </c>
      <c r="E93" s="57">
        <v>800</v>
      </c>
      <c r="F93" s="10" t="s">
        <v>109</v>
      </c>
      <c r="G93" s="88">
        <v>0</v>
      </c>
      <c r="H93" s="70">
        <f t="shared" si="1"/>
        <v>0</v>
      </c>
      <c r="I93" s="11">
        <v>46071</v>
      </c>
      <c r="J93" s="11">
        <v>46070</v>
      </c>
      <c r="K93" s="13"/>
    </row>
    <row r="94" spans="1:11" ht="18" x14ac:dyDescent="0.4">
      <c r="A94" s="7" t="s">
        <v>98</v>
      </c>
      <c r="B94" s="85" t="s">
        <v>108</v>
      </c>
      <c r="C94" s="8">
        <v>37866</v>
      </c>
      <c r="D94" s="9">
        <v>463518180</v>
      </c>
      <c r="E94" s="57">
        <v>60</v>
      </c>
      <c r="F94" s="10" t="s">
        <v>110</v>
      </c>
      <c r="G94" s="88">
        <v>300</v>
      </c>
      <c r="H94" s="70">
        <f t="shared" si="1"/>
        <v>5</v>
      </c>
      <c r="I94" s="11">
        <v>46071</v>
      </c>
      <c r="J94" s="11">
        <v>46070</v>
      </c>
      <c r="K94" s="13"/>
    </row>
    <row r="95" spans="1:11" ht="18" x14ac:dyDescent="0.4">
      <c r="A95" s="7" t="s">
        <v>98</v>
      </c>
      <c r="B95" s="85" t="s">
        <v>108</v>
      </c>
      <c r="C95" s="8">
        <v>37866</v>
      </c>
      <c r="D95" s="9">
        <v>463480050</v>
      </c>
      <c r="E95" s="57">
        <v>800</v>
      </c>
      <c r="F95" s="10" t="s">
        <v>111</v>
      </c>
      <c r="G95" s="88">
        <v>0</v>
      </c>
      <c r="H95" s="70">
        <f t="shared" si="1"/>
        <v>0</v>
      </c>
      <c r="I95" s="11">
        <v>46071</v>
      </c>
      <c r="J95" s="11">
        <v>46070</v>
      </c>
      <c r="K95" s="13"/>
    </row>
    <row r="96" spans="1:11" ht="18" x14ac:dyDescent="0.4">
      <c r="A96" s="7" t="s">
        <v>98</v>
      </c>
      <c r="B96" s="85" t="s">
        <v>108</v>
      </c>
      <c r="C96" s="8">
        <v>37866</v>
      </c>
      <c r="D96" s="9">
        <v>463479660</v>
      </c>
      <c r="E96" s="57">
        <v>60</v>
      </c>
      <c r="F96" s="10" t="s">
        <v>110</v>
      </c>
      <c r="G96" s="88">
        <v>0</v>
      </c>
      <c r="H96" s="70">
        <f t="shared" si="1"/>
        <v>0</v>
      </c>
      <c r="I96" s="11">
        <v>46071</v>
      </c>
      <c r="J96" s="11">
        <v>46070</v>
      </c>
      <c r="K96" s="13"/>
    </row>
    <row r="97" spans="1:11" ht="18" x14ac:dyDescent="0.4">
      <c r="A97" s="7" t="s">
        <v>98</v>
      </c>
      <c r="B97" s="85" t="s">
        <v>108</v>
      </c>
      <c r="C97" s="8">
        <v>37866</v>
      </c>
      <c r="D97" s="9">
        <v>463542820</v>
      </c>
      <c r="E97" s="57">
        <v>60</v>
      </c>
      <c r="F97" s="10" t="s">
        <v>112</v>
      </c>
      <c r="G97" s="88">
        <v>0</v>
      </c>
      <c r="H97" s="70">
        <f t="shared" si="1"/>
        <v>0</v>
      </c>
      <c r="I97" s="11">
        <v>46071</v>
      </c>
      <c r="J97" s="11">
        <v>46070</v>
      </c>
      <c r="K97" s="13"/>
    </row>
    <row r="98" spans="1:11" ht="18" x14ac:dyDescent="0.4">
      <c r="A98" s="7" t="s">
        <v>98</v>
      </c>
      <c r="B98" s="85" t="s">
        <v>108</v>
      </c>
      <c r="C98" s="8">
        <v>37866</v>
      </c>
      <c r="D98" s="9">
        <v>463465610</v>
      </c>
      <c r="E98" s="57">
        <v>800</v>
      </c>
      <c r="F98" s="10" t="s">
        <v>113</v>
      </c>
      <c r="G98" s="88">
        <v>800</v>
      </c>
      <c r="H98" s="70">
        <f t="shared" si="1"/>
        <v>1</v>
      </c>
      <c r="I98" s="11">
        <v>46071</v>
      </c>
      <c r="J98" s="11">
        <v>46070</v>
      </c>
      <c r="K98" s="13"/>
    </row>
    <row r="99" spans="1:11" ht="18" x14ac:dyDescent="0.4">
      <c r="A99" s="7" t="s">
        <v>98</v>
      </c>
      <c r="B99" s="85" t="s">
        <v>108</v>
      </c>
      <c r="C99" s="8">
        <v>37866</v>
      </c>
      <c r="D99" s="9">
        <v>463599360</v>
      </c>
      <c r="E99" s="57">
        <v>60</v>
      </c>
      <c r="F99" s="10" t="s">
        <v>115</v>
      </c>
      <c r="G99" s="88">
        <v>180</v>
      </c>
      <c r="H99" s="70">
        <f t="shared" si="1"/>
        <v>3</v>
      </c>
      <c r="I99" s="11">
        <v>46071</v>
      </c>
      <c r="J99" s="11">
        <v>46070</v>
      </c>
      <c r="K99" s="13"/>
    </row>
    <row r="100" spans="1:11" ht="18" x14ac:dyDescent="0.4">
      <c r="A100" s="7" t="s">
        <v>98</v>
      </c>
      <c r="B100" s="85" t="s">
        <v>108</v>
      </c>
      <c r="C100" s="8">
        <v>37866</v>
      </c>
      <c r="D100" s="9">
        <v>463450640</v>
      </c>
      <c r="E100" s="57">
        <v>60</v>
      </c>
      <c r="F100" s="10" t="s">
        <v>116</v>
      </c>
      <c r="G100" s="88">
        <v>420</v>
      </c>
      <c r="H100" s="70">
        <f t="shared" si="1"/>
        <v>7</v>
      </c>
      <c r="I100" s="11">
        <v>46071</v>
      </c>
      <c r="J100" s="11">
        <v>46070</v>
      </c>
      <c r="K100" s="13"/>
    </row>
    <row r="101" spans="1:11" ht="18" x14ac:dyDescent="0.4">
      <c r="A101" s="7" t="s">
        <v>98</v>
      </c>
      <c r="B101" s="85" t="s">
        <v>108</v>
      </c>
      <c r="C101" s="8">
        <v>37866</v>
      </c>
      <c r="D101" s="9">
        <v>463497920</v>
      </c>
      <c r="E101" s="57">
        <v>60</v>
      </c>
      <c r="F101" s="10" t="s">
        <v>117</v>
      </c>
      <c r="G101" s="88">
        <v>60</v>
      </c>
      <c r="H101" s="70">
        <f t="shared" si="1"/>
        <v>1</v>
      </c>
      <c r="I101" s="11">
        <v>46071</v>
      </c>
      <c r="J101" s="11">
        <v>46070</v>
      </c>
      <c r="K101" s="13"/>
    </row>
    <row r="102" spans="1:11" ht="18" x14ac:dyDescent="0.4">
      <c r="A102" s="7" t="s">
        <v>98</v>
      </c>
      <c r="B102" s="85" t="s">
        <v>108</v>
      </c>
      <c r="C102" s="8">
        <v>37866</v>
      </c>
      <c r="D102" s="9">
        <v>463563850</v>
      </c>
      <c r="E102" s="57">
        <v>60</v>
      </c>
      <c r="F102" s="10" t="s">
        <v>117</v>
      </c>
      <c r="G102" s="88">
        <v>60</v>
      </c>
      <c r="H102" s="70">
        <f t="shared" si="1"/>
        <v>1</v>
      </c>
      <c r="I102" s="11">
        <v>46071</v>
      </c>
      <c r="J102" s="11">
        <v>46070</v>
      </c>
      <c r="K102" s="13"/>
    </row>
    <row r="103" spans="1:11" ht="18" x14ac:dyDescent="0.4">
      <c r="A103" s="7" t="s">
        <v>98</v>
      </c>
      <c r="B103" s="85" t="s">
        <v>108</v>
      </c>
      <c r="C103" s="8">
        <v>37866</v>
      </c>
      <c r="D103" s="9">
        <v>463564120</v>
      </c>
      <c r="E103" s="57">
        <v>60</v>
      </c>
      <c r="F103" s="10" t="s">
        <v>118</v>
      </c>
      <c r="G103" s="88">
        <v>120</v>
      </c>
      <c r="H103" s="70">
        <f t="shared" si="1"/>
        <v>2</v>
      </c>
      <c r="I103" s="11">
        <v>46071</v>
      </c>
      <c r="J103" s="11">
        <v>46070</v>
      </c>
      <c r="K103" s="13"/>
    </row>
    <row r="104" spans="1:11" ht="18" x14ac:dyDescent="0.4">
      <c r="A104" s="7" t="s">
        <v>98</v>
      </c>
      <c r="B104" s="85" t="s">
        <v>108</v>
      </c>
      <c r="C104" s="8">
        <v>37866</v>
      </c>
      <c r="D104" s="9">
        <v>463577620</v>
      </c>
      <c r="E104" s="57">
        <v>60</v>
      </c>
      <c r="F104" s="10" t="s">
        <v>119</v>
      </c>
      <c r="G104" s="88">
        <v>0</v>
      </c>
      <c r="H104" s="70">
        <f t="shared" si="1"/>
        <v>0</v>
      </c>
      <c r="I104" s="11">
        <v>46071</v>
      </c>
      <c r="J104" s="11">
        <v>46070</v>
      </c>
      <c r="K104" s="13"/>
    </row>
    <row r="105" spans="1:11" ht="18" x14ac:dyDescent="0.4">
      <c r="A105" s="7" t="s">
        <v>98</v>
      </c>
      <c r="B105" s="85" t="s">
        <v>108</v>
      </c>
      <c r="C105" s="8">
        <v>37866</v>
      </c>
      <c r="D105" s="9">
        <v>463578580</v>
      </c>
      <c r="E105" s="57">
        <v>60</v>
      </c>
      <c r="F105" s="10" t="s">
        <v>120</v>
      </c>
      <c r="G105" s="88">
        <v>0</v>
      </c>
      <c r="H105" s="70">
        <f t="shared" si="1"/>
        <v>0</v>
      </c>
      <c r="I105" s="11">
        <v>46071</v>
      </c>
      <c r="J105" s="11">
        <v>46070</v>
      </c>
      <c r="K105" s="13"/>
    </row>
    <row r="106" spans="1:11" ht="18" x14ac:dyDescent="0.4">
      <c r="A106" s="7" t="s">
        <v>98</v>
      </c>
      <c r="B106" s="85" t="s">
        <v>108</v>
      </c>
      <c r="C106" s="8">
        <v>37866</v>
      </c>
      <c r="D106" s="9">
        <v>463576540</v>
      </c>
      <c r="E106" s="57">
        <v>60</v>
      </c>
      <c r="F106" s="10" t="s">
        <v>121</v>
      </c>
      <c r="G106" s="88">
        <v>0</v>
      </c>
      <c r="H106" s="70">
        <f t="shared" si="1"/>
        <v>0</v>
      </c>
      <c r="I106" s="11">
        <v>46071</v>
      </c>
      <c r="J106" s="11">
        <v>46070</v>
      </c>
      <c r="K106" s="13"/>
    </row>
    <row r="107" spans="1:11" ht="18" x14ac:dyDescent="0.4">
      <c r="A107" s="7" t="s">
        <v>98</v>
      </c>
      <c r="B107" s="85" t="s">
        <v>108</v>
      </c>
      <c r="C107" s="8">
        <v>37866</v>
      </c>
      <c r="D107" s="9">
        <v>463571180</v>
      </c>
      <c r="E107" s="57">
        <v>60</v>
      </c>
      <c r="F107" s="10" t="s">
        <v>122</v>
      </c>
      <c r="G107" s="88">
        <v>0</v>
      </c>
      <c r="H107" s="70">
        <f t="shared" si="1"/>
        <v>0</v>
      </c>
      <c r="I107" s="11">
        <v>46071</v>
      </c>
      <c r="J107" s="11">
        <v>46070</v>
      </c>
      <c r="K107" s="13"/>
    </row>
    <row r="108" spans="1:11" ht="18" x14ac:dyDescent="0.4">
      <c r="A108" s="7" t="s">
        <v>98</v>
      </c>
      <c r="B108" s="85" t="s">
        <v>123</v>
      </c>
      <c r="C108" s="8">
        <v>27951</v>
      </c>
      <c r="D108" s="9">
        <v>463385060</v>
      </c>
      <c r="E108" s="57">
        <v>800</v>
      </c>
      <c r="F108" s="10" t="s">
        <v>124</v>
      </c>
      <c r="G108" s="88">
        <v>5000</v>
      </c>
      <c r="H108" s="70">
        <f t="shared" si="1"/>
        <v>6.25</v>
      </c>
      <c r="I108" s="11">
        <v>46071</v>
      </c>
      <c r="J108" s="11">
        <v>46070</v>
      </c>
      <c r="K108" s="13"/>
    </row>
    <row r="109" spans="1:11" ht="18" x14ac:dyDescent="0.4">
      <c r="A109" s="7" t="s">
        <v>98</v>
      </c>
      <c r="B109" s="85" t="s">
        <v>123</v>
      </c>
      <c r="C109" s="8">
        <v>27951</v>
      </c>
      <c r="D109" s="9">
        <v>552821660</v>
      </c>
      <c r="E109" s="57">
        <v>600</v>
      </c>
      <c r="F109" s="10" t="s">
        <v>125</v>
      </c>
      <c r="G109" s="88">
        <v>5000</v>
      </c>
      <c r="H109" s="70">
        <f t="shared" si="1"/>
        <v>8.3333333333333339</v>
      </c>
      <c r="I109" s="11">
        <v>46071</v>
      </c>
      <c r="J109" s="11">
        <v>46070</v>
      </c>
      <c r="K109" s="13"/>
    </row>
    <row r="110" spans="1:11" ht="18" x14ac:dyDescent="0.4">
      <c r="A110" s="7" t="s">
        <v>98</v>
      </c>
      <c r="B110" s="85" t="s">
        <v>123</v>
      </c>
      <c r="C110" s="8">
        <v>27951</v>
      </c>
      <c r="D110" s="9">
        <v>552822750</v>
      </c>
      <c r="E110" s="57">
        <v>300</v>
      </c>
      <c r="F110" s="10" t="s">
        <v>126</v>
      </c>
      <c r="G110" s="88">
        <v>5000</v>
      </c>
      <c r="H110" s="70">
        <f t="shared" si="1"/>
        <v>16.666666666666668</v>
      </c>
      <c r="I110" s="11">
        <v>46071</v>
      </c>
      <c r="J110" s="11">
        <v>46070</v>
      </c>
      <c r="K110" s="13"/>
    </row>
    <row r="111" spans="1:11" ht="18" x14ac:dyDescent="0.4">
      <c r="A111" s="7" t="s">
        <v>98</v>
      </c>
      <c r="B111" s="85" t="s">
        <v>123</v>
      </c>
      <c r="C111" s="8">
        <v>27951</v>
      </c>
      <c r="D111" s="9">
        <v>552821670</v>
      </c>
      <c r="E111" s="57">
        <v>100</v>
      </c>
      <c r="F111" s="10" t="s">
        <v>127</v>
      </c>
      <c r="G111" s="88">
        <v>5000</v>
      </c>
      <c r="H111" s="70">
        <f t="shared" si="1"/>
        <v>50</v>
      </c>
      <c r="I111" s="11">
        <v>46071</v>
      </c>
      <c r="J111" s="11">
        <v>46070</v>
      </c>
      <c r="K111" s="13"/>
    </row>
    <row r="112" spans="1:11" ht="18" x14ac:dyDescent="0.4">
      <c r="A112" s="7" t="s">
        <v>98</v>
      </c>
      <c r="B112" s="85" t="s">
        <v>123</v>
      </c>
      <c r="C112" s="8">
        <v>27951</v>
      </c>
      <c r="D112" s="9">
        <v>552845970</v>
      </c>
      <c r="E112" s="57">
        <v>600</v>
      </c>
      <c r="F112" s="10" t="s">
        <v>127</v>
      </c>
      <c r="G112" s="88">
        <v>5000</v>
      </c>
      <c r="H112" s="70">
        <f t="shared" si="1"/>
        <v>8.3333333333333339</v>
      </c>
      <c r="I112" s="11">
        <v>46071</v>
      </c>
      <c r="J112" s="11">
        <v>46070</v>
      </c>
      <c r="K112" s="13"/>
    </row>
    <row r="113" spans="1:11" ht="18" x14ac:dyDescent="0.4">
      <c r="A113" s="7" t="s">
        <v>98</v>
      </c>
      <c r="B113" s="85" t="s">
        <v>123</v>
      </c>
      <c r="C113" s="8">
        <v>27951</v>
      </c>
      <c r="D113" s="9">
        <v>552798810</v>
      </c>
      <c r="E113" s="57">
        <v>250</v>
      </c>
      <c r="F113" s="10" t="s">
        <v>127</v>
      </c>
      <c r="G113" s="88">
        <v>5000</v>
      </c>
      <c r="H113" s="70">
        <f t="shared" si="1"/>
        <v>20</v>
      </c>
      <c r="I113" s="11">
        <v>46071</v>
      </c>
      <c r="J113" s="11">
        <v>46070</v>
      </c>
      <c r="K113" s="13"/>
    </row>
    <row r="114" spans="1:11" ht="18" x14ac:dyDescent="0.4">
      <c r="A114" s="7" t="s">
        <v>98</v>
      </c>
      <c r="B114" s="85" t="s">
        <v>123</v>
      </c>
      <c r="C114" s="8">
        <v>27951</v>
      </c>
      <c r="D114" s="9">
        <v>552842340</v>
      </c>
      <c r="E114" s="57">
        <v>800</v>
      </c>
      <c r="F114" s="10" t="s">
        <v>127</v>
      </c>
      <c r="G114" s="88">
        <v>5000</v>
      </c>
      <c r="H114" s="70">
        <f t="shared" si="1"/>
        <v>6.25</v>
      </c>
      <c r="I114" s="11">
        <v>46071</v>
      </c>
      <c r="J114" s="11">
        <v>46070</v>
      </c>
      <c r="K114" s="13"/>
    </row>
    <row r="115" spans="1:11" ht="18" x14ac:dyDescent="0.4">
      <c r="A115" s="7" t="s">
        <v>98</v>
      </c>
      <c r="B115" s="85" t="s">
        <v>123</v>
      </c>
      <c r="C115" s="8">
        <v>27951</v>
      </c>
      <c r="D115" s="9">
        <v>552822630</v>
      </c>
      <c r="E115" s="57">
        <v>600</v>
      </c>
      <c r="F115" s="10" t="s">
        <v>127</v>
      </c>
      <c r="G115" s="88">
        <v>5000</v>
      </c>
      <c r="H115" s="70">
        <f t="shared" si="1"/>
        <v>8.3333333333333339</v>
      </c>
      <c r="I115" s="11">
        <v>46071</v>
      </c>
      <c r="J115" s="11">
        <v>46070</v>
      </c>
      <c r="K115" s="13"/>
    </row>
    <row r="116" spans="1:11" ht="18" x14ac:dyDescent="0.4">
      <c r="A116" s="7" t="s">
        <v>98</v>
      </c>
      <c r="B116" s="85" t="s">
        <v>123</v>
      </c>
      <c r="C116" s="8">
        <v>27951</v>
      </c>
      <c r="D116" s="9">
        <v>552799020</v>
      </c>
      <c r="E116" s="57">
        <v>200</v>
      </c>
      <c r="F116" s="10" t="s">
        <v>127</v>
      </c>
      <c r="G116" s="88">
        <v>5000</v>
      </c>
      <c r="H116" s="70">
        <f t="shared" si="1"/>
        <v>25</v>
      </c>
      <c r="I116" s="11">
        <v>46071</v>
      </c>
      <c r="J116" s="11">
        <v>46070</v>
      </c>
      <c r="K116" s="13"/>
    </row>
    <row r="117" spans="1:11" ht="18" x14ac:dyDescent="0.4">
      <c r="A117" s="7" t="s">
        <v>98</v>
      </c>
      <c r="B117" s="85" t="s">
        <v>123</v>
      </c>
      <c r="C117" s="8">
        <v>27951</v>
      </c>
      <c r="D117" s="9">
        <v>463369240</v>
      </c>
      <c r="E117" s="57">
        <v>500</v>
      </c>
      <c r="F117" s="10" t="s">
        <v>127</v>
      </c>
      <c r="G117" s="88">
        <v>5000</v>
      </c>
      <c r="H117" s="70">
        <f t="shared" si="1"/>
        <v>10</v>
      </c>
      <c r="I117" s="11">
        <v>46071</v>
      </c>
      <c r="J117" s="11">
        <v>46070</v>
      </c>
      <c r="K117" s="13"/>
    </row>
    <row r="118" spans="1:11" ht="18" x14ac:dyDescent="0.4">
      <c r="A118" s="7" t="s">
        <v>98</v>
      </c>
      <c r="B118" s="85" t="s">
        <v>123</v>
      </c>
      <c r="C118" s="8">
        <v>27951</v>
      </c>
      <c r="D118" s="9">
        <v>463398780</v>
      </c>
      <c r="E118" s="57">
        <v>400</v>
      </c>
      <c r="F118" s="10" t="s">
        <v>128</v>
      </c>
      <c r="G118" s="88">
        <v>5000</v>
      </c>
      <c r="H118" s="70">
        <f t="shared" si="1"/>
        <v>12.5</v>
      </c>
      <c r="I118" s="11">
        <v>46071</v>
      </c>
      <c r="J118" s="11">
        <v>46070</v>
      </c>
      <c r="K118" s="13"/>
    </row>
    <row r="119" spans="1:11" ht="18" x14ac:dyDescent="0.4">
      <c r="A119" s="7" t="s">
        <v>98</v>
      </c>
      <c r="B119" s="85" t="s">
        <v>123</v>
      </c>
      <c r="C119" s="8">
        <v>27951</v>
      </c>
      <c r="D119" s="9">
        <v>552822620</v>
      </c>
      <c r="E119" s="57">
        <v>800</v>
      </c>
      <c r="F119" s="10" t="s">
        <v>129</v>
      </c>
      <c r="G119" s="88">
        <v>5000</v>
      </c>
      <c r="H119" s="70">
        <f t="shared" si="1"/>
        <v>6.25</v>
      </c>
      <c r="I119" s="11">
        <v>46071</v>
      </c>
      <c r="J119" s="11">
        <v>46070</v>
      </c>
      <c r="K119" s="13"/>
    </row>
    <row r="120" spans="1:11" ht="18" x14ac:dyDescent="0.4">
      <c r="A120" s="7" t="s">
        <v>98</v>
      </c>
      <c r="B120" s="85" t="s">
        <v>123</v>
      </c>
      <c r="C120" s="8">
        <v>27951</v>
      </c>
      <c r="D120" s="9">
        <v>463473640</v>
      </c>
      <c r="E120" s="57">
        <v>500</v>
      </c>
      <c r="F120" s="10" t="s">
        <v>130</v>
      </c>
      <c r="G120" s="88">
        <v>5000</v>
      </c>
      <c r="H120" s="70">
        <f t="shared" si="1"/>
        <v>10</v>
      </c>
      <c r="I120" s="11">
        <v>46071</v>
      </c>
      <c r="J120" s="11">
        <v>46070</v>
      </c>
      <c r="K120" s="13"/>
    </row>
    <row r="121" spans="1:11" ht="18" x14ac:dyDescent="0.4">
      <c r="A121" s="7" t="s">
        <v>98</v>
      </c>
      <c r="B121" s="85" t="s">
        <v>123</v>
      </c>
      <c r="C121" s="8">
        <v>27951</v>
      </c>
      <c r="D121" s="9">
        <v>552831540</v>
      </c>
      <c r="E121" s="57">
        <v>400</v>
      </c>
      <c r="F121" s="10" t="s">
        <v>131</v>
      </c>
      <c r="G121" s="88">
        <v>5000</v>
      </c>
      <c r="H121" s="70">
        <f t="shared" si="1"/>
        <v>12.5</v>
      </c>
      <c r="I121" s="11">
        <v>46071</v>
      </c>
      <c r="J121" s="11">
        <v>46070</v>
      </c>
      <c r="K121" s="13"/>
    </row>
    <row r="122" spans="1:11" ht="18" x14ac:dyDescent="0.4">
      <c r="A122" s="7" t="s">
        <v>98</v>
      </c>
      <c r="B122" s="85" t="s">
        <v>123</v>
      </c>
      <c r="C122" s="8">
        <v>27951</v>
      </c>
      <c r="D122" s="9">
        <v>187517280</v>
      </c>
      <c r="E122" s="57">
        <v>400</v>
      </c>
      <c r="F122" s="10" t="s">
        <v>132</v>
      </c>
      <c r="G122" s="88">
        <v>5000</v>
      </c>
      <c r="H122" s="70">
        <f t="shared" si="1"/>
        <v>12.5</v>
      </c>
      <c r="I122" s="11">
        <v>46071</v>
      </c>
      <c r="J122" s="11">
        <v>46070</v>
      </c>
      <c r="K122" s="13"/>
    </row>
    <row r="123" spans="1:11" ht="18" x14ac:dyDescent="0.4">
      <c r="A123" s="7" t="s">
        <v>98</v>
      </c>
      <c r="B123" s="85" t="s">
        <v>123</v>
      </c>
      <c r="C123" s="8">
        <v>27951</v>
      </c>
      <c r="D123" s="9">
        <v>552822460</v>
      </c>
      <c r="E123" s="57">
        <v>650</v>
      </c>
      <c r="F123" s="10" t="s">
        <v>133</v>
      </c>
      <c r="G123" s="88">
        <v>5000</v>
      </c>
      <c r="H123" s="70">
        <f t="shared" si="1"/>
        <v>7.6923076923076925</v>
      </c>
      <c r="I123" s="11">
        <v>46071</v>
      </c>
      <c r="J123" s="11">
        <v>46070</v>
      </c>
      <c r="K123" s="13"/>
    </row>
    <row r="124" spans="1:11" ht="18" x14ac:dyDescent="0.4">
      <c r="A124" s="7" t="s">
        <v>98</v>
      </c>
      <c r="B124" s="85" t="s">
        <v>123</v>
      </c>
      <c r="C124" s="8">
        <v>27951</v>
      </c>
      <c r="D124" s="9">
        <v>552821610</v>
      </c>
      <c r="E124" s="57">
        <v>150</v>
      </c>
      <c r="F124" s="10" t="s">
        <v>134</v>
      </c>
      <c r="G124" s="88">
        <v>5000</v>
      </c>
      <c r="H124" s="70">
        <f t="shared" si="1"/>
        <v>33.333333333333336</v>
      </c>
      <c r="I124" s="11">
        <v>46071</v>
      </c>
      <c r="J124" s="11">
        <v>46070</v>
      </c>
      <c r="K124" s="13"/>
    </row>
    <row r="125" spans="1:11" ht="18" x14ac:dyDescent="0.4">
      <c r="A125" s="7" t="s">
        <v>98</v>
      </c>
      <c r="B125" s="85" t="s">
        <v>123</v>
      </c>
      <c r="C125" s="8">
        <v>27951</v>
      </c>
      <c r="D125" s="9">
        <v>552842370</v>
      </c>
      <c r="E125" s="57">
        <v>400</v>
      </c>
      <c r="F125" s="10" t="s">
        <v>135</v>
      </c>
      <c r="G125" s="88">
        <v>5000</v>
      </c>
      <c r="H125" s="70">
        <f t="shared" si="1"/>
        <v>12.5</v>
      </c>
      <c r="I125" s="11">
        <v>46071</v>
      </c>
      <c r="J125" s="11">
        <v>46070</v>
      </c>
      <c r="K125" s="13"/>
    </row>
    <row r="126" spans="1:11" ht="18" x14ac:dyDescent="0.4">
      <c r="A126" s="7" t="s">
        <v>98</v>
      </c>
      <c r="B126" s="86" t="s">
        <v>123</v>
      </c>
      <c r="C126" s="8">
        <v>27951</v>
      </c>
      <c r="D126" s="9">
        <v>552821600</v>
      </c>
      <c r="E126" s="57">
        <v>300</v>
      </c>
      <c r="F126" s="10" t="s">
        <v>136</v>
      </c>
      <c r="G126" s="88">
        <v>5000</v>
      </c>
      <c r="H126" s="70">
        <f t="shared" si="1"/>
        <v>16.666666666666668</v>
      </c>
      <c r="I126" s="11">
        <v>46071</v>
      </c>
      <c r="J126" s="11">
        <v>46070</v>
      </c>
      <c r="K126" s="13"/>
    </row>
    <row r="127" spans="1:11" ht="18" x14ac:dyDescent="0.4">
      <c r="A127" s="7" t="s">
        <v>98</v>
      </c>
      <c r="B127" s="86" t="s">
        <v>137</v>
      </c>
      <c r="C127" s="8">
        <v>36019</v>
      </c>
      <c r="D127" s="9">
        <v>463375300</v>
      </c>
      <c r="E127" s="57">
        <v>1000</v>
      </c>
      <c r="F127" s="10" t="s">
        <v>390</v>
      </c>
      <c r="G127" s="88">
        <v>0</v>
      </c>
      <c r="H127" s="70">
        <f t="shared" si="1"/>
        <v>0</v>
      </c>
      <c r="I127" s="11">
        <v>46071</v>
      </c>
      <c r="J127" s="11">
        <v>46070</v>
      </c>
      <c r="K127" s="13"/>
    </row>
    <row r="128" spans="1:11" ht="18" x14ac:dyDescent="0.4">
      <c r="A128" s="7" t="s">
        <v>98</v>
      </c>
      <c r="B128" s="86" t="s">
        <v>137</v>
      </c>
      <c r="C128" s="8">
        <v>36019</v>
      </c>
      <c r="D128" s="9">
        <v>463385060</v>
      </c>
      <c r="E128" s="57">
        <v>800</v>
      </c>
      <c r="F128" s="10" t="s">
        <v>124</v>
      </c>
      <c r="G128" s="88">
        <v>0</v>
      </c>
      <c r="H128" s="70">
        <f t="shared" si="1"/>
        <v>0</v>
      </c>
      <c r="I128" s="11">
        <v>46071</v>
      </c>
      <c r="J128" s="11">
        <v>46070</v>
      </c>
      <c r="K128" s="13"/>
    </row>
    <row r="129" spans="1:11" ht="18" x14ac:dyDescent="0.4">
      <c r="A129" s="7" t="s">
        <v>98</v>
      </c>
      <c r="B129" s="86" t="s">
        <v>137</v>
      </c>
      <c r="C129" s="8">
        <v>36019</v>
      </c>
      <c r="D129" s="9">
        <v>552821660</v>
      </c>
      <c r="E129" s="57">
        <v>600</v>
      </c>
      <c r="F129" s="10" t="s">
        <v>125</v>
      </c>
      <c r="G129" s="88">
        <v>0</v>
      </c>
      <c r="H129" s="70">
        <f t="shared" si="1"/>
        <v>0</v>
      </c>
      <c r="I129" s="11">
        <v>46071</v>
      </c>
      <c r="J129" s="11">
        <v>46070</v>
      </c>
      <c r="K129" s="13"/>
    </row>
    <row r="130" spans="1:11" ht="18" x14ac:dyDescent="0.4">
      <c r="A130" s="7" t="s">
        <v>98</v>
      </c>
      <c r="B130" s="86" t="s">
        <v>137</v>
      </c>
      <c r="C130" s="8">
        <v>36019</v>
      </c>
      <c r="D130" s="9">
        <v>552822750</v>
      </c>
      <c r="E130" s="57">
        <v>300</v>
      </c>
      <c r="F130" s="10" t="s">
        <v>126</v>
      </c>
      <c r="G130" s="88">
        <v>0</v>
      </c>
      <c r="H130" s="70">
        <f t="shared" si="1"/>
        <v>0</v>
      </c>
      <c r="I130" s="11">
        <v>46071</v>
      </c>
      <c r="J130" s="11">
        <v>46070</v>
      </c>
      <c r="K130" s="13"/>
    </row>
    <row r="131" spans="1:11" ht="18" x14ac:dyDescent="0.4">
      <c r="A131" s="7" t="s">
        <v>98</v>
      </c>
      <c r="B131" s="86" t="s">
        <v>137</v>
      </c>
      <c r="C131" s="8">
        <v>36019</v>
      </c>
      <c r="D131" s="9">
        <v>552821670</v>
      </c>
      <c r="E131" s="57">
        <v>100</v>
      </c>
      <c r="F131" s="10" t="s">
        <v>127</v>
      </c>
      <c r="G131" s="88">
        <v>1500</v>
      </c>
      <c r="H131" s="70">
        <f t="shared" si="1"/>
        <v>15</v>
      </c>
      <c r="I131" s="11">
        <v>46071</v>
      </c>
      <c r="J131" s="11">
        <v>46070</v>
      </c>
      <c r="K131" s="13"/>
    </row>
    <row r="132" spans="1:11" ht="18" x14ac:dyDescent="0.4">
      <c r="A132" s="7" t="s">
        <v>98</v>
      </c>
      <c r="B132" s="86" t="s">
        <v>137</v>
      </c>
      <c r="C132" s="8">
        <v>36019</v>
      </c>
      <c r="D132" s="9">
        <v>552845970</v>
      </c>
      <c r="E132" s="57">
        <v>600</v>
      </c>
      <c r="F132" s="10" t="s">
        <v>127</v>
      </c>
      <c r="G132" s="88">
        <v>6000</v>
      </c>
      <c r="H132" s="70">
        <f t="shared" ref="H132:H219" si="2">+G132/E132</f>
        <v>10</v>
      </c>
      <c r="I132" s="11">
        <v>46071</v>
      </c>
      <c r="J132" s="11">
        <v>46070</v>
      </c>
      <c r="K132" s="13"/>
    </row>
    <row r="133" spans="1:11" ht="18" x14ac:dyDescent="0.4">
      <c r="A133" s="7" t="s">
        <v>98</v>
      </c>
      <c r="B133" s="86" t="s">
        <v>137</v>
      </c>
      <c r="C133" s="8">
        <v>36019</v>
      </c>
      <c r="D133" s="9">
        <v>552798810</v>
      </c>
      <c r="E133" s="57">
        <v>250</v>
      </c>
      <c r="F133" s="10" t="s">
        <v>127</v>
      </c>
      <c r="G133" s="88">
        <v>13250</v>
      </c>
      <c r="H133" s="70">
        <f t="shared" si="2"/>
        <v>53</v>
      </c>
      <c r="I133" s="11">
        <v>46071</v>
      </c>
      <c r="J133" s="11">
        <v>46070</v>
      </c>
      <c r="K133" s="13"/>
    </row>
    <row r="134" spans="1:11" ht="18" x14ac:dyDescent="0.4">
      <c r="A134" s="7" t="s">
        <v>98</v>
      </c>
      <c r="B134" s="86" t="s">
        <v>137</v>
      </c>
      <c r="C134" s="8">
        <v>36019</v>
      </c>
      <c r="D134" s="9">
        <v>552842340</v>
      </c>
      <c r="E134" s="57">
        <v>800</v>
      </c>
      <c r="F134" s="10" t="s">
        <v>127</v>
      </c>
      <c r="G134" s="88">
        <v>0</v>
      </c>
      <c r="H134" s="70">
        <f t="shared" si="2"/>
        <v>0</v>
      </c>
      <c r="I134" s="11">
        <v>46071</v>
      </c>
      <c r="J134" s="11">
        <v>46070</v>
      </c>
      <c r="K134" s="13"/>
    </row>
    <row r="135" spans="1:11" ht="18" x14ac:dyDescent="0.4">
      <c r="A135" s="7" t="s">
        <v>98</v>
      </c>
      <c r="B135" s="86" t="s">
        <v>137</v>
      </c>
      <c r="C135" s="8">
        <v>36019</v>
      </c>
      <c r="D135" s="9">
        <v>552822630</v>
      </c>
      <c r="E135" s="57">
        <v>600</v>
      </c>
      <c r="F135" s="10" t="s">
        <v>127</v>
      </c>
      <c r="G135" s="88">
        <v>11000</v>
      </c>
      <c r="H135" s="70">
        <f t="shared" si="2"/>
        <v>18.333333333333332</v>
      </c>
      <c r="I135" s="11">
        <v>46071</v>
      </c>
      <c r="J135" s="11">
        <v>46070</v>
      </c>
      <c r="K135" s="13"/>
    </row>
    <row r="136" spans="1:11" ht="18" x14ac:dyDescent="0.4">
      <c r="A136" s="7" t="s">
        <v>98</v>
      </c>
      <c r="B136" s="86" t="s">
        <v>137</v>
      </c>
      <c r="C136" s="8">
        <v>36019</v>
      </c>
      <c r="D136" s="9">
        <v>552799020</v>
      </c>
      <c r="E136" s="57">
        <v>200</v>
      </c>
      <c r="F136" s="10" t="s">
        <v>127</v>
      </c>
      <c r="G136" s="88">
        <v>0</v>
      </c>
      <c r="H136" s="70">
        <f t="shared" si="2"/>
        <v>0</v>
      </c>
      <c r="I136" s="11">
        <v>46071</v>
      </c>
      <c r="J136" s="11">
        <v>46070</v>
      </c>
      <c r="K136" s="13"/>
    </row>
    <row r="137" spans="1:11" ht="18" x14ac:dyDescent="0.4">
      <c r="A137" s="7" t="s">
        <v>98</v>
      </c>
      <c r="B137" s="86" t="s">
        <v>137</v>
      </c>
      <c r="C137" s="8">
        <v>36019</v>
      </c>
      <c r="D137" s="9">
        <v>463369240</v>
      </c>
      <c r="E137" s="57">
        <v>500</v>
      </c>
      <c r="F137" s="10" t="s">
        <v>127</v>
      </c>
      <c r="G137" s="88">
        <v>0</v>
      </c>
      <c r="H137" s="70">
        <f t="shared" si="2"/>
        <v>0</v>
      </c>
      <c r="I137" s="11">
        <v>46071</v>
      </c>
      <c r="J137" s="11">
        <v>46070</v>
      </c>
      <c r="K137" s="13"/>
    </row>
    <row r="138" spans="1:11" ht="18" x14ac:dyDescent="0.4">
      <c r="A138" s="7" t="s">
        <v>98</v>
      </c>
      <c r="B138" s="86" t="s">
        <v>137</v>
      </c>
      <c r="C138" s="8">
        <v>36019</v>
      </c>
      <c r="D138" s="9">
        <v>463398780</v>
      </c>
      <c r="E138" s="57">
        <v>400</v>
      </c>
      <c r="F138" s="10" t="s">
        <v>128</v>
      </c>
      <c r="G138" s="88">
        <v>0</v>
      </c>
      <c r="H138" s="70">
        <f t="shared" si="2"/>
        <v>0</v>
      </c>
      <c r="I138" s="11">
        <v>46071</v>
      </c>
      <c r="J138" s="11">
        <v>46070</v>
      </c>
      <c r="K138" s="13"/>
    </row>
    <row r="139" spans="1:11" ht="18" x14ac:dyDescent="0.4">
      <c r="A139" s="7" t="s">
        <v>98</v>
      </c>
      <c r="B139" s="86" t="s">
        <v>137</v>
      </c>
      <c r="C139" s="8">
        <v>36019</v>
      </c>
      <c r="D139" s="9">
        <v>552822620</v>
      </c>
      <c r="E139" s="57">
        <v>800</v>
      </c>
      <c r="F139" s="10" t="s">
        <v>129</v>
      </c>
      <c r="G139" s="88">
        <v>0</v>
      </c>
      <c r="H139" s="70">
        <f t="shared" si="2"/>
        <v>0</v>
      </c>
      <c r="I139" s="11">
        <v>46071</v>
      </c>
      <c r="J139" s="11">
        <v>46070</v>
      </c>
      <c r="K139" s="13"/>
    </row>
    <row r="140" spans="1:11" ht="18" x14ac:dyDescent="0.4">
      <c r="A140" s="7" t="s">
        <v>98</v>
      </c>
      <c r="B140" s="86" t="s">
        <v>137</v>
      </c>
      <c r="C140" s="8">
        <v>36019</v>
      </c>
      <c r="D140" s="9">
        <v>463473640</v>
      </c>
      <c r="E140" s="57">
        <v>500</v>
      </c>
      <c r="F140" s="10" t="s">
        <v>130</v>
      </c>
      <c r="G140" s="88">
        <v>0</v>
      </c>
      <c r="H140" s="70">
        <f t="shared" si="2"/>
        <v>0</v>
      </c>
      <c r="I140" s="11">
        <v>46071</v>
      </c>
      <c r="J140" s="11">
        <v>46070</v>
      </c>
      <c r="K140" s="13"/>
    </row>
    <row r="141" spans="1:11" ht="18" x14ac:dyDescent="0.4">
      <c r="A141" s="7" t="s">
        <v>98</v>
      </c>
      <c r="B141" s="86" t="s">
        <v>137</v>
      </c>
      <c r="C141" s="8">
        <v>36019</v>
      </c>
      <c r="D141" s="9">
        <v>552831540</v>
      </c>
      <c r="E141" s="57">
        <v>400</v>
      </c>
      <c r="F141" s="10" t="s">
        <v>131</v>
      </c>
      <c r="G141" s="88">
        <v>4000</v>
      </c>
      <c r="H141" s="70">
        <f t="shared" si="2"/>
        <v>10</v>
      </c>
      <c r="I141" s="11">
        <v>46071</v>
      </c>
      <c r="J141" s="11">
        <v>46070</v>
      </c>
      <c r="K141" s="13"/>
    </row>
    <row r="142" spans="1:11" ht="18" x14ac:dyDescent="0.4">
      <c r="A142" s="7" t="s">
        <v>98</v>
      </c>
      <c r="B142" s="86" t="s">
        <v>137</v>
      </c>
      <c r="C142" s="8">
        <v>36019</v>
      </c>
      <c r="D142" s="9">
        <v>187517280</v>
      </c>
      <c r="E142" s="57">
        <v>400</v>
      </c>
      <c r="F142" s="10" t="s">
        <v>132</v>
      </c>
      <c r="G142" s="88">
        <v>4800</v>
      </c>
      <c r="H142" s="70">
        <f t="shared" si="2"/>
        <v>12</v>
      </c>
      <c r="I142" s="11">
        <v>46071</v>
      </c>
      <c r="J142" s="11">
        <v>46070</v>
      </c>
      <c r="K142" s="13"/>
    </row>
    <row r="143" spans="1:11" ht="18" x14ac:dyDescent="0.4">
      <c r="A143" s="7" t="s">
        <v>98</v>
      </c>
      <c r="B143" s="86" t="s">
        <v>137</v>
      </c>
      <c r="C143" s="8">
        <v>36019</v>
      </c>
      <c r="D143" s="9">
        <v>552822460</v>
      </c>
      <c r="E143" s="57">
        <v>650</v>
      </c>
      <c r="F143" s="10" t="s">
        <v>133</v>
      </c>
      <c r="G143" s="88">
        <v>12800</v>
      </c>
      <c r="H143" s="70">
        <f t="shared" si="2"/>
        <v>19.692307692307693</v>
      </c>
      <c r="I143" s="11">
        <v>46071</v>
      </c>
      <c r="J143" s="11">
        <v>46070</v>
      </c>
      <c r="K143" s="13"/>
    </row>
    <row r="144" spans="1:11" ht="18" x14ac:dyDescent="0.4">
      <c r="A144" s="7" t="s">
        <v>98</v>
      </c>
      <c r="B144" s="86" t="s">
        <v>137</v>
      </c>
      <c r="C144" s="8">
        <v>36019</v>
      </c>
      <c r="D144" s="9">
        <v>552821610</v>
      </c>
      <c r="E144" s="57">
        <v>150</v>
      </c>
      <c r="F144" s="10" t="s">
        <v>134</v>
      </c>
      <c r="G144" s="88">
        <v>8850</v>
      </c>
      <c r="H144" s="70">
        <f t="shared" si="2"/>
        <v>59</v>
      </c>
      <c r="I144" s="11">
        <v>46071</v>
      </c>
      <c r="J144" s="11">
        <v>46070</v>
      </c>
      <c r="K144" s="13"/>
    </row>
    <row r="145" spans="1:11" ht="18" x14ac:dyDescent="0.4">
      <c r="A145" s="7" t="s">
        <v>98</v>
      </c>
      <c r="B145" s="86" t="s">
        <v>137</v>
      </c>
      <c r="C145" s="8">
        <v>36019</v>
      </c>
      <c r="D145" s="9">
        <v>552842370</v>
      </c>
      <c r="E145" s="57">
        <v>400</v>
      </c>
      <c r="F145" s="10" t="s">
        <v>135</v>
      </c>
      <c r="G145" s="88">
        <v>6800</v>
      </c>
      <c r="H145" s="70">
        <f t="shared" si="2"/>
        <v>17</v>
      </c>
      <c r="I145" s="11">
        <v>46071</v>
      </c>
      <c r="J145" s="11">
        <v>46070</v>
      </c>
      <c r="K145" s="13"/>
    </row>
    <row r="146" spans="1:11" ht="18" x14ac:dyDescent="0.4">
      <c r="A146" s="7" t="s">
        <v>98</v>
      </c>
      <c r="B146" s="86" t="s">
        <v>137</v>
      </c>
      <c r="C146" s="8">
        <v>36019</v>
      </c>
      <c r="D146" s="9">
        <v>552821600</v>
      </c>
      <c r="E146" s="57">
        <v>300</v>
      </c>
      <c r="F146" s="10" t="s">
        <v>136</v>
      </c>
      <c r="G146" s="88">
        <v>3900</v>
      </c>
      <c r="H146" s="70">
        <f t="shared" si="2"/>
        <v>13</v>
      </c>
      <c r="I146" s="11">
        <v>46071</v>
      </c>
      <c r="J146" s="11">
        <v>46070</v>
      </c>
      <c r="K146" s="13"/>
    </row>
    <row r="147" spans="1:11" ht="18" x14ac:dyDescent="0.4">
      <c r="A147" s="7" t="s">
        <v>98</v>
      </c>
      <c r="B147" s="86" t="s">
        <v>137</v>
      </c>
      <c r="C147" s="8">
        <v>36019</v>
      </c>
      <c r="D147" s="9">
        <v>463532640</v>
      </c>
      <c r="E147" s="57">
        <v>1100</v>
      </c>
      <c r="F147" s="10" t="s">
        <v>194</v>
      </c>
      <c r="G147" s="88">
        <v>0</v>
      </c>
      <c r="H147" s="70">
        <f t="shared" si="2"/>
        <v>0</v>
      </c>
      <c r="I147" s="11">
        <v>46071</v>
      </c>
      <c r="J147" s="11">
        <v>46070</v>
      </c>
      <c r="K147" s="13"/>
    </row>
    <row r="148" spans="1:11" ht="18" x14ac:dyDescent="0.4">
      <c r="A148" s="7" t="s">
        <v>98</v>
      </c>
      <c r="B148" s="86" t="s">
        <v>137</v>
      </c>
      <c r="C148" s="8">
        <v>36019</v>
      </c>
      <c r="D148" s="9">
        <v>463532650</v>
      </c>
      <c r="E148" s="57">
        <v>800</v>
      </c>
      <c r="F148" s="10" t="s">
        <v>195</v>
      </c>
      <c r="G148" s="88">
        <v>13000</v>
      </c>
      <c r="H148" s="70">
        <f t="shared" si="2"/>
        <v>16.25</v>
      </c>
      <c r="I148" s="11">
        <v>46071</v>
      </c>
      <c r="J148" s="11">
        <v>46070</v>
      </c>
      <c r="K148" s="13"/>
    </row>
    <row r="149" spans="1:11" ht="18" x14ac:dyDescent="0.4">
      <c r="A149" s="7" t="s">
        <v>98</v>
      </c>
      <c r="B149" s="86" t="s">
        <v>703</v>
      </c>
      <c r="C149" s="8">
        <v>51658</v>
      </c>
      <c r="D149" s="9">
        <v>463485610</v>
      </c>
      <c r="E149" s="57">
        <v>600</v>
      </c>
      <c r="F149" s="10" t="s">
        <v>404</v>
      </c>
      <c r="G149" s="88">
        <v>0</v>
      </c>
      <c r="H149" s="70">
        <f t="shared" si="2"/>
        <v>0</v>
      </c>
      <c r="I149" s="11">
        <v>46071</v>
      </c>
      <c r="J149" s="11">
        <v>46070</v>
      </c>
      <c r="K149" s="13"/>
    </row>
    <row r="150" spans="1:11" ht="18" x14ac:dyDescent="0.4">
      <c r="A150" s="7" t="s">
        <v>98</v>
      </c>
      <c r="B150" s="86" t="s">
        <v>703</v>
      </c>
      <c r="C150" s="8">
        <v>51658</v>
      </c>
      <c r="D150" s="9">
        <v>463485620</v>
      </c>
      <c r="E150" s="57">
        <v>600</v>
      </c>
      <c r="F150" s="10" t="s">
        <v>405</v>
      </c>
      <c r="G150" s="88">
        <v>0</v>
      </c>
      <c r="H150" s="70">
        <f t="shared" si="2"/>
        <v>0</v>
      </c>
      <c r="I150" s="11">
        <v>46071</v>
      </c>
      <c r="J150" s="11">
        <v>46070</v>
      </c>
      <c r="K150" s="13"/>
    </row>
    <row r="151" spans="1:11" ht="18" x14ac:dyDescent="0.4">
      <c r="A151" s="7" t="s">
        <v>98</v>
      </c>
      <c r="B151" s="86" t="s">
        <v>703</v>
      </c>
      <c r="C151" s="8">
        <v>51658</v>
      </c>
      <c r="D151" s="9">
        <v>463485630</v>
      </c>
      <c r="E151" s="57">
        <v>600</v>
      </c>
      <c r="F151" s="10" t="s">
        <v>406</v>
      </c>
      <c r="G151" s="88">
        <v>0</v>
      </c>
      <c r="H151" s="70">
        <f t="shared" si="2"/>
        <v>0</v>
      </c>
      <c r="I151" s="11">
        <v>46071</v>
      </c>
      <c r="J151" s="11">
        <v>46070</v>
      </c>
      <c r="K151" s="13"/>
    </row>
    <row r="152" spans="1:11" ht="18" x14ac:dyDescent="0.4">
      <c r="A152" s="7" t="s">
        <v>98</v>
      </c>
      <c r="B152" s="86" t="s">
        <v>703</v>
      </c>
      <c r="C152" s="8">
        <v>51658</v>
      </c>
      <c r="D152" s="9">
        <v>463485640</v>
      </c>
      <c r="E152" s="57">
        <v>600</v>
      </c>
      <c r="F152" s="10" t="s">
        <v>704</v>
      </c>
      <c r="G152" s="88">
        <v>0</v>
      </c>
      <c r="H152" s="70">
        <f t="shared" si="2"/>
        <v>0</v>
      </c>
      <c r="I152" s="11">
        <v>46071</v>
      </c>
      <c r="J152" s="11">
        <v>46070</v>
      </c>
      <c r="K152" s="13"/>
    </row>
    <row r="153" spans="1:11" ht="18" x14ac:dyDescent="0.4">
      <c r="A153" s="7" t="s">
        <v>98</v>
      </c>
      <c r="B153" s="86" t="s">
        <v>703</v>
      </c>
      <c r="C153" s="8">
        <v>51658</v>
      </c>
      <c r="D153" s="9">
        <v>463485650</v>
      </c>
      <c r="E153" s="57">
        <v>600</v>
      </c>
      <c r="F153" s="10" t="s">
        <v>704</v>
      </c>
      <c r="G153" s="88">
        <v>0</v>
      </c>
      <c r="H153" s="70">
        <f t="shared" si="2"/>
        <v>0</v>
      </c>
      <c r="I153" s="11">
        <v>46071</v>
      </c>
      <c r="J153" s="11">
        <v>46070</v>
      </c>
      <c r="K153" s="13"/>
    </row>
    <row r="154" spans="1:11" ht="18" x14ac:dyDescent="0.4">
      <c r="A154" s="7" t="s">
        <v>98</v>
      </c>
      <c r="B154" s="86" t="s">
        <v>703</v>
      </c>
      <c r="C154" s="8">
        <v>51658</v>
      </c>
      <c r="D154" s="9">
        <v>463485660</v>
      </c>
      <c r="E154" s="57">
        <v>600</v>
      </c>
      <c r="F154" s="10" t="s">
        <v>704</v>
      </c>
      <c r="G154" s="88">
        <v>0</v>
      </c>
      <c r="H154" s="70">
        <f t="shared" si="2"/>
        <v>0</v>
      </c>
      <c r="I154" s="11">
        <v>46071</v>
      </c>
      <c r="J154" s="11">
        <v>46070</v>
      </c>
      <c r="K154" s="13"/>
    </row>
    <row r="155" spans="1:11" ht="18" x14ac:dyDescent="0.4">
      <c r="A155" s="7" t="s">
        <v>98</v>
      </c>
      <c r="B155" s="86" t="s">
        <v>703</v>
      </c>
      <c r="C155" s="8">
        <v>51658</v>
      </c>
      <c r="D155" s="9">
        <v>463485380</v>
      </c>
      <c r="E155" s="57">
        <v>400</v>
      </c>
      <c r="F155" s="10" t="s">
        <v>144</v>
      </c>
      <c r="G155" s="88">
        <v>0</v>
      </c>
      <c r="H155" s="70">
        <f t="shared" si="2"/>
        <v>0</v>
      </c>
      <c r="I155" s="11">
        <v>46071</v>
      </c>
      <c r="J155" s="11">
        <v>46070</v>
      </c>
      <c r="K155" s="13"/>
    </row>
    <row r="156" spans="1:11" ht="18" x14ac:dyDescent="0.4">
      <c r="A156" s="7" t="s">
        <v>98</v>
      </c>
      <c r="B156" s="86" t="s">
        <v>703</v>
      </c>
      <c r="C156" s="8">
        <v>51658</v>
      </c>
      <c r="D156" s="9">
        <v>463485390</v>
      </c>
      <c r="E156" s="57">
        <v>400</v>
      </c>
      <c r="F156" s="10" t="s">
        <v>145</v>
      </c>
      <c r="G156" s="88">
        <v>8000</v>
      </c>
      <c r="H156" s="70">
        <f t="shared" si="2"/>
        <v>20</v>
      </c>
      <c r="I156" s="11">
        <v>46071</v>
      </c>
      <c r="J156" s="11">
        <v>46070</v>
      </c>
      <c r="K156" s="13"/>
    </row>
    <row r="157" spans="1:11" ht="18" x14ac:dyDescent="0.4">
      <c r="A157" s="7" t="s">
        <v>98</v>
      </c>
      <c r="B157" s="86" t="s">
        <v>703</v>
      </c>
      <c r="C157" s="8">
        <v>51658</v>
      </c>
      <c r="D157" s="9">
        <v>463485400</v>
      </c>
      <c r="E157" s="57">
        <v>400</v>
      </c>
      <c r="F157" s="10" t="s">
        <v>146</v>
      </c>
      <c r="G157" s="88">
        <v>0</v>
      </c>
      <c r="H157" s="70">
        <f t="shared" si="2"/>
        <v>0</v>
      </c>
      <c r="I157" s="11">
        <v>46071</v>
      </c>
      <c r="J157" s="11">
        <v>46070</v>
      </c>
      <c r="K157" s="13"/>
    </row>
    <row r="158" spans="1:11" ht="18" x14ac:dyDescent="0.4">
      <c r="A158" s="7" t="s">
        <v>98</v>
      </c>
      <c r="B158" s="86" t="s">
        <v>703</v>
      </c>
      <c r="C158" s="8">
        <v>51658</v>
      </c>
      <c r="D158" s="9">
        <v>463485440</v>
      </c>
      <c r="E158" s="57">
        <v>400</v>
      </c>
      <c r="F158" s="10" t="s">
        <v>147</v>
      </c>
      <c r="G158" s="88">
        <v>0</v>
      </c>
      <c r="H158" s="70">
        <f t="shared" si="2"/>
        <v>0</v>
      </c>
      <c r="I158" s="11">
        <v>46071</v>
      </c>
      <c r="J158" s="11">
        <v>46070</v>
      </c>
      <c r="K158" s="13"/>
    </row>
    <row r="159" spans="1:11" ht="18" x14ac:dyDescent="0.4">
      <c r="A159" s="7" t="s">
        <v>98</v>
      </c>
      <c r="B159" s="86" t="s">
        <v>703</v>
      </c>
      <c r="C159" s="8">
        <v>51658</v>
      </c>
      <c r="D159" s="9">
        <v>463485450</v>
      </c>
      <c r="E159" s="57">
        <v>400</v>
      </c>
      <c r="F159" s="10" t="s">
        <v>148</v>
      </c>
      <c r="G159" s="88">
        <v>8000</v>
      </c>
      <c r="H159" s="70">
        <f t="shared" si="2"/>
        <v>20</v>
      </c>
      <c r="I159" s="11">
        <v>46071</v>
      </c>
      <c r="J159" s="11">
        <v>46070</v>
      </c>
      <c r="K159" s="13"/>
    </row>
    <row r="160" spans="1:11" ht="18" x14ac:dyDescent="0.4">
      <c r="A160" s="7" t="s">
        <v>98</v>
      </c>
      <c r="B160" s="86" t="s">
        <v>703</v>
      </c>
      <c r="C160" s="8">
        <v>51658</v>
      </c>
      <c r="D160" s="9">
        <v>463485460</v>
      </c>
      <c r="E160" s="57">
        <v>400</v>
      </c>
      <c r="F160" s="10" t="s">
        <v>149</v>
      </c>
      <c r="G160" s="88">
        <v>0</v>
      </c>
      <c r="H160" s="70">
        <f t="shared" si="2"/>
        <v>0</v>
      </c>
      <c r="I160" s="11">
        <v>46071</v>
      </c>
      <c r="J160" s="11">
        <v>46070</v>
      </c>
      <c r="K160" s="13"/>
    </row>
    <row r="161" spans="1:11" ht="18" x14ac:dyDescent="0.4">
      <c r="A161" s="7" t="s">
        <v>98</v>
      </c>
      <c r="B161" s="86" t="s">
        <v>703</v>
      </c>
      <c r="C161" s="8">
        <v>51658</v>
      </c>
      <c r="D161" s="9">
        <v>463563890</v>
      </c>
      <c r="E161" s="57">
        <v>400</v>
      </c>
      <c r="F161" s="10" t="s">
        <v>149</v>
      </c>
      <c r="G161" s="88">
        <v>0</v>
      </c>
      <c r="H161" s="70">
        <f t="shared" si="2"/>
        <v>0</v>
      </c>
      <c r="I161" s="11">
        <v>46071</v>
      </c>
      <c r="J161" s="11">
        <v>46070</v>
      </c>
      <c r="K161" s="13"/>
    </row>
    <row r="162" spans="1:11" ht="18" x14ac:dyDescent="0.4">
      <c r="A162" s="7" t="s">
        <v>98</v>
      </c>
      <c r="B162" s="86" t="s">
        <v>703</v>
      </c>
      <c r="C162" s="8">
        <v>51658</v>
      </c>
      <c r="D162" s="9">
        <v>463563900</v>
      </c>
      <c r="E162" s="57">
        <v>400</v>
      </c>
      <c r="F162" s="10" t="s">
        <v>149</v>
      </c>
      <c r="G162" s="88">
        <v>0</v>
      </c>
      <c r="H162" s="70">
        <f t="shared" si="2"/>
        <v>0</v>
      </c>
      <c r="I162" s="11">
        <v>46071</v>
      </c>
      <c r="J162" s="11">
        <v>46070</v>
      </c>
      <c r="K162" s="13"/>
    </row>
    <row r="163" spans="1:11" ht="18" x14ac:dyDescent="0.4">
      <c r="A163" s="7" t="s">
        <v>98</v>
      </c>
      <c r="B163" s="86" t="s">
        <v>703</v>
      </c>
      <c r="C163" s="8">
        <v>51658</v>
      </c>
      <c r="D163" s="9">
        <v>463563910</v>
      </c>
      <c r="E163" s="57">
        <v>400</v>
      </c>
      <c r="F163" s="10" t="s">
        <v>149</v>
      </c>
      <c r="G163" s="88">
        <v>0</v>
      </c>
      <c r="H163" s="70">
        <f t="shared" si="2"/>
        <v>0</v>
      </c>
      <c r="I163" s="11">
        <v>46071</v>
      </c>
      <c r="J163" s="11">
        <v>46070</v>
      </c>
      <c r="K163" s="13"/>
    </row>
    <row r="164" spans="1:11" ht="18" x14ac:dyDescent="0.4">
      <c r="A164" s="7" t="s">
        <v>98</v>
      </c>
      <c r="B164" s="85" t="s">
        <v>703</v>
      </c>
      <c r="C164" s="8">
        <v>51658</v>
      </c>
      <c r="D164" s="9">
        <v>463563950</v>
      </c>
      <c r="E164" s="57">
        <v>400</v>
      </c>
      <c r="F164" s="10" t="s">
        <v>149</v>
      </c>
      <c r="G164" s="88">
        <v>0</v>
      </c>
      <c r="H164" s="70">
        <f t="shared" si="2"/>
        <v>0</v>
      </c>
      <c r="I164" s="11">
        <v>46071</v>
      </c>
      <c r="J164" s="11">
        <v>46070</v>
      </c>
      <c r="K164" s="13"/>
    </row>
    <row r="165" spans="1:11" ht="18" x14ac:dyDescent="0.4">
      <c r="A165" s="7" t="s">
        <v>98</v>
      </c>
      <c r="B165" s="85" t="s">
        <v>703</v>
      </c>
      <c r="C165" s="8">
        <v>51658</v>
      </c>
      <c r="D165" s="9">
        <v>463563960</v>
      </c>
      <c r="E165" s="57">
        <v>400</v>
      </c>
      <c r="F165" s="10" t="s">
        <v>149</v>
      </c>
      <c r="G165" s="88">
        <v>0</v>
      </c>
      <c r="H165" s="70">
        <f t="shared" si="2"/>
        <v>0</v>
      </c>
      <c r="I165" s="11">
        <v>46071</v>
      </c>
      <c r="J165" s="11">
        <v>46070</v>
      </c>
      <c r="K165" s="13"/>
    </row>
    <row r="166" spans="1:11" ht="18" x14ac:dyDescent="0.4">
      <c r="A166" s="7" t="s">
        <v>98</v>
      </c>
      <c r="B166" s="85" t="s">
        <v>703</v>
      </c>
      <c r="C166" s="8">
        <v>51658</v>
      </c>
      <c r="D166" s="9">
        <v>463563970</v>
      </c>
      <c r="E166" s="57">
        <v>400</v>
      </c>
      <c r="F166" s="10" t="s">
        <v>149</v>
      </c>
      <c r="G166" s="88">
        <v>0</v>
      </c>
      <c r="H166" s="70">
        <f t="shared" si="2"/>
        <v>0</v>
      </c>
      <c r="I166" s="11">
        <v>46071</v>
      </c>
      <c r="J166" s="11">
        <v>46070</v>
      </c>
      <c r="K166" s="13"/>
    </row>
    <row r="167" spans="1:11" ht="18" x14ac:dyDescent="0.4">
      <c r="A167" s="7" t="s">
        <v>98</v>
      </c>
      <c r="B167" s="85" t="s">
        <v>703</v>
      </c>
      <c r="C167" s="8">
        <v>51620</v>
      </c>
      <c r="D167" s="9">
        <v>463485280</v>
      </c>
      <c r="E167" s="57">
        <v>840</v>
      </c>
      <c r="F167" s="10" t="s">
        <v>150</v>
      </c>
      <c r="G167" s="88">
        <v>1680</v>
      </c>
      <c r="H167" s="70">
        <f t="shared" si="2"/>
        <v>2</v>
      </c>
      <c r="I167" s="11">
        <v>46071</v>
      </c>
      <c r="J167" s="11">
        <v>46070</v>
      </c>
      <c r="K167" s="13"/>
    </row>
    <row r="168" spans="1:11" ht="18" x14ac:dyDescent="0.4">
      <c r="A168" s="7" t="s">
        <v>98</v>
      </c>
      <c r="B168" s="85" t="s">
        <v>703</v>
      </c>
      <c r="C168" s="8">
        <v>51620</v>
      </c>
      <c r="D168" s="9">
        <v>463485300</v>
      </c>
      <c r="E168" s="57">
        <v>840</v>
      </c>
      <c r="F168" s="10" t="s">
        <v>151</v>
      </c>
      <c r="G168" s="88">
        <v>5040</v>
      </c>
      <c r="H168" s="70">
        <f t="shared" si="2"/>
        <v>6</v>
      </c>
      <c r="I168" s="11">
        <v>46071</v>
      </c>
      <c r="J168" s="11">
        <v>46070</v>
      </c>
      <c r="K168" s="13"/>
    </row>
    <row r="169" spans="1:11" ht="18" x14ac:dyDescent="0.4">
      <c r="A169" s="7" t="s">
        <v>98</v>
      </c>
      <c r="B169" s="85" t="s">
        <v>703</v>
      </c>
      <c r="C169" s="8">
        <v>51620</v>
      </c>
      <c r="D169" s="9">
        <v>463485320</v>
      </c>
      <c r="E169" s="57">
        <v>840</v>
      </c>
      <c r="F169" s="10" t="s">
        <v>152</v>
      </c>
      <c r="G169" s="88">
        <v>0</v>
      </c>
      <c r="H169" s="70">
        <f t="shared" si="2"/>
        <v>0</v>
      </c>
      <c r="I169" s="11">
        <v>46071</v>
      </c>
      <c r="J169" s="11">
        <v>46070</v>
      </c>
      <c r="K169" s="13"/>
    </row>
    <row r="170" spans="1:11" ht="18" x14ac:dyDescent="0.4">
      <c r="A170" s="7" t="s">
        <v>98</v>
      </c>
      <c r="B170" s="85" t="s">
        <v>705</v>
      </c>
      <c r="C170" s="8">
        <v>73860</v>
      </c>
      <c r="D170" s="9">
        <v>463592990</v>
      </c>
      <c r="E170" s="57">
        <v>500</v>
      </c>
      <c r="F170" s="10" t="s">
        <v>706</v>
      </c>
      <c r="G170" s="88">
        <v>0</v>
      </c>
      <c r="H170" s="70">
        <f t="shared" si="2"/>
        <v>0</v>
      </c>
      <c r="I170" s="11">
        <v>46071</v>
      </c>
      <c r="J170" s="11">
        <v>46070</v>
      </c>
      <c r="K170" s="13"/>
    </row>
    <row r="171" spans="1:11" ht="18" x14ac:dyDescent="0.4">
      <c r="A171" s="7" t="s">
        <v>98</v>
      </c>
      <c r="B171" s="85" t="s">
        <v>705</v>
      </c>
      <c r="C171" s="8">
        <v>73860</v>
      </c>
      <c r="D171" s="9">
        <v>463593000</v>
      </c>
      <c r="E171" s="57">
        <v>500</v>
      </c>
      <c r="F171" s="10" t="s">
        <v>706</v>
      </c>
      <c r="G171" s="88">
        <v>0</v>
      </c>
      <c r="H171" s="70">
        <f t="shared" si="2"/>
        <v>0</v>
      </c>
      <c r="I171" s="11">
        <v>46071</v>
      </c>
      <c r="J171" s="11">
        <v>46070</v>
      </c>
      <c r="K171" s="13"/>
    </row>
    <row r="172" spans="1:11" ht="18" x14ac:dyDescent="0.4">
      <c r="A172" s="7" t="s">
        <v>98</v>
      </c>
      <c r="B172" s="85" t="s">
        <v>707</v>
      </c>
      <c r="C172" s="8">
        <v>49630</v>
      </c>
      <c r="D172" s="9">
        <v>463476050</v>
      </c>
      <c r="E172" s="57">
        <v>720</v>
      </c>
      <c r="F172" s="10" t="s">
        <v>157</v>
      </c>
      <c r="G172" s="88">
        <v>720</v>
      </c>
      <c r="H172" s="70">
        <f t="shared" si="2"/>
        <v>1</v>
      </c>
      <c r="I172" s="11">
        <v>46071</v>
      </c>
      <c r="J172" s="11">
        <v>46070</v>
      </c>
      <c r="K172" s="8"/>
    </row>
    <row r="173" spans="1:11" ht="18" x14ac:dyDescent="0.4">
      <c r="A173" s="7" t="s">
        <v>98</v>
      </c>
      <c r="B173" s="85" t="s">
        <v>708</v>
      </c>
      <c r="C173" s="8">
        <v>73850</v>
      </c>
      <c r="D173" s="9">
        <v>463491430</v>
      </c>
      <c r="E173" s="57">
        <v>600</v>
      </c>
      <c r="F173" s="10" t="s">
        <v>159</v>
      </c>
      <c r="G173" s="88">
        <v>2400</v>
      </c>
      <c r="H173" s="70">
        <f t="shared" si="2"/>
        <v>4</v>
      </c>
      <c r="I173" s="11">
        <v>46071</v>
      </c>
      <c r="J173" s="11">
        <v>46070</v>
      </c>
      <c r="K173" s="8"/>
    </row>
    <row r="174" spans="1:11" ht="18" x14ac:dyDescent="0.4">
      <c r="A174" s="7" t="s">
        <v>98</v>
      </c>
      <c r="B174" s="85" t="s">
        <v>708</v>
      </c>
      <c r="C174" s="8">
        <v>73850</v>
      </c>
      <c r="D174" s="9">
        <v>552822510</v>
      </c>
      <c r="E174" s="57">
        <v>1500</v>
      </c>
      <c r="F174" s="10" t="s">
        <v>709</v>
      </c>
      <c r="G174" s="88">
        <v>0</v>
      </c>
      <c r="H174" s="70">
        <f t="shared" si="2"/>
        <v>0</v>
      </c>
      <c r="I174" s="11">
        <v>46071</v>
      </c>
      <c r="J174" s="11">
        <v>46070</v>
      </c>
      <c r="K174" s="8"/>
    </row>
    <row r="175" spans="1:11" ht="18" x14ac:dyDescent="0.4">
      <c r="A175" s="7" t="s">
        <v>98</v>
      </c>
      <c r="B175" s="85" t="s">
        <v>708</v>
      </c>
      <c r="C175" s="8">
        <v>73850</v>
      </c>
      <c r="D175" s="9">
        <v>552823610</v>
      </c>
      <c r="E175" s="57">
        <v>1500</v>
      </c>
      <c r="F175" s="10" t="s">
        <v>710</v>
      </c>
      <c r="G175" s="88">
        <v>0</v>
      </c>
      <c r="H175" s="70">
        <f t="shared" si="2"/>
        <v>0</v>
      </c>
      <c r="I175" s="11">
        <v>46071</v>
      </c>
      <c r="J175" s="11">
        <v>46070</v>
      </c>
      <c r="K175" s="8"/>
    </row>
    <row r="176" spans="1:11" ht="18" x14ac:dyDescent="0.4">
      <c r="A176" s="7" t="s">
        <v>98</v>
      </c>
      <c r="B176" s="85" t="s">
        <v>233</v>
      </c>
      <c r="C176" s="8">
        <v>33132</v>
      </c>
      <c r="D176" s="9">
        <v>552823610</v>
      </c>
      <c r="E176" s="57">
        <v>900</v>
      </c>
      <c r="F176" s="10" t="s">
        <v>234</v>
      </c>
      <c r="G176" s="88">
        <v>1800</v>
      </c>
      <c r="H176" s="70">
        <f t="shared" si="2"/>
        <v>2</v>
      </c>
      <c r="I176" s="11">
        <v>46071</v>
      </c>
      <c r="J176" s="11">
        <v>46070</v>
      </c>
      <c r="K176" s="8"/>
    </row>
    <row r="177" spans="1:11" ht="18" x14ac:dyDescent="0.4">
      <c r="A177" s="7" t="s">
        <v>98</v>
      </c>
      <c r="B177" s="85" t="s">
        <v>160</v>
      </c>
      <c r="C177" s="8">
        <v>40870</v>
      </c>
      <c r="D177" s="9">
        <v>463479340</v>
      </c>
      <c r="E177" s="57">
        <v>100</v>
      </c>
      <c r="F177" s="10" t="s">
        <v>161</v>
      </c>
      <c r="G177" s="88">
        <v>0</v>
      </c>
      <c r="H177" s="70">
        <f t="shared" si="2"/>
        <v>0</v>
      </c>
      <c r="I177" s="11">
        <v>46071</v>
      </c>
      <c r="J177" s="11">
        <v>46070</v>
      </c>
      <c r="K177" s="8"/>
    </row>
    <row r="178" spans="1:11" ht="18" x14ac:dyDescent="0.4">
      <c r="A178" s="7" t="s">
        <v>98</v>
      </c>
      <c r="B178" s="85" t="s">
        <v>160</v>
      </c>
      <c r="C178" s="8">
        <v>40870</v>
      </c>
      <c r="D178" s="9">
        <v>463479350</v>
      </c>
      <c r="E178" s="57">
        <v>100</v>
      </c>
      <c r="F178" s="10" t="s">
        <v>162</v>
      </c>
      <c r="G178" s="88">
        <v>0</v>
      </c>
      <c r="H178" s="70">
        <f t="shared" si="2"/>
        <v>0</v>
      </c>
      <c r="I178" s="11">
        <v>46071</v>
      </c>
      <c r="J178" s="11">
        <v>46070</v>
      </c>
      <c r="K178" s="8"/>
    </row>
    <row r="179" spans="1:11" ht="18" x14ac:dyDescent="0.4">
      <c r="A179" s="7" t="s">
        <v>98</v>
      </c>
      <c r="B179" s="85" t="s">
        <v>163</v>
      </c>
      <c r="C179" s="8">
        <v>10675</v>
      </c>
      <c r="D179" s="9">
        <v>552822300</v>
      </c>
      <c r="E179" s="57">
        <v>4320</v>
      </c>
      <c r="F179" s="10" t="s">
        <v>164</v>
      </c>
      <c r="G179" s="88">
        <v>14400</v>
      </c>
      <c r="H179" s="70">
        <f t="shared" si="2"/>
        <v>3.3333333333333335</v>
      </c>
      <c r="I179" s="11">
        <v>46071</v>
      </c>
      <c r="J179" s="11">
        <v>46070</v>
      </c>
      <c r="K179" s="8"/>
    </row>
    <row r="180" spans="1:11" ht="18" x14ac:dyDescent="0.4">
      <c r="A180" s="7" t="s">
        <v>98</v>
      </c>
      <c r="B180" s="85" t="s">
        <v>163</v>
      </c>
      <c r="C180" s="8">
        <v>10675</v>
      </c>
      <c r="D180" s="9">
        <v>552822310</v>
      </c>
      <c r="E180" s="57">
        <v>4320</v>
      </c>
      <c r="F180" s="10" t="s">
        <v>165</v>
      </c>
      <c r="G180" s="88">
        <v>7200</v>
      </c>
      <c r="H180" s="70">
        <f t="shared" si="2"/>
        <v>1.6666666666666667</v>
      </c>
      <c r="I180" s="11">
        <v>46071</v>
      </c>
      <c r="J180" s="11">
        <v>46070</v>
      </c>
      <c r="K180" s="8"/>
    </row>
    <row r="181" spans="1:11" ht="18" x14ac:dyDescent="0.4">
      <c r="A181" s="7" t="s">
        <v>98</v>
      </c>
      <c r="B181" s="85" t="s">
        <v>167</v>
      </c>
      <c r="C181" s="8">
        <v>64641</v>
      </c>
      <c r="D181" s="9">
        <v>463543900</v>
      </c>
      <c r="E181" s="57">
        <v>20000</v>
      </c>
      <c r="F181" s="10" t="s">
        <v>168</v>
      </c>
      <c r="G181" s="88">
        <v>0</v>
      </c>
      <c r="H181" s="70">
        <f t="shared" si="2"/>
        <v>0</v>
      </c>
      <c r="I181" s="11">
        <v>46071</v>
      </c>
      <c r="J181" s="11">
        <v>46070</v>
      </c>
      <c r="K181" s="13"/>
    </row>
    <row r="182" spans="1:11" ht="18" x14ac:dyDescent="0.4">
      <c r="A182" s="7" t="s">
        <v>98</v>
      </c>
      <c r="B182" s="85" t="s">
        <v>703</v>
      </c>
      <c r="C182" s="8">
        <v>15565</v>
      </c>
      <c r="D182" s="9">
        <v>463526200</v>
      </c>
      <c r="E182" s="57">
        <v>30</v>
      </c>
      <c r="F182" s="10" t="s">
        <v>155</v>
      </c>
      <c r="G182" s="88">
        <v>240</v>
      </c>
      <c r="H182" s="70">
        <f t="shared" si="2"/>
        <v>8</v>
      </c>
      <c r="I182" s="11">
        <v>46071</v>
      </c>
      <c r="J182" s="11">
        <v>46070</v>
      </c>
      <c r="K182" s="13"/>
    </row>
    <row r="183" spans="1:11" ht="18" x14ac:dyDescent="0.4">
      <c r="A183" s="7" t="s">
        <v>98</v>
      </c>
      <c r="B183" s="85" t="s">
        <v>703</v>
      </c>
      <c r="C183" s="8">
        <v>15565</v>
      </c>
      <c r="D183" s="9">
        <v>463548380</v>
      </c>
      <c r="E183" s="57">
        <v>30</v>
      </c>
      <c r="F183" s="10" t="s">
        <v>155</v>
      </c>
      <c r="G183" s="88">
        <v>900</v>
      </c>
      <c r="H183" s="70">
        <f t="shared" si="2"/>
        <v>30</v>
      </c>
      <c r="I183" s="11">
        <v>46071</v>
      </c>
      <c r="J183" s="11">
        <v>46070</v>
      </c>
      <c r="K183" s="8"/>
    </row>
    <row r="184" spans="1:11" ht="18" x14ac:dyDescent="0.4">
      <c r="A184" s="7" t="s">
        <v>98</v>
      </c>
      <c r="B184" s="85" t="s">
        <v>703</v>
      </c>
      <c r="C184" s="8">
        <v>15565</v>
      </c>
      <c r="D184" s="9">
        <v>463496640</v>
      </c>
      <c r="E184" s="57">
        <v>30</v>
      </c>
      <c r="F184" s="10" t="s">
        <v>155</v>
      </c>
      <c r="G184" s="88">
        <v>0</v>
      </c>
      <c r="H184" s="70">
        <f t="shared" si="2"/>
        <v>0</v>
      </c>
      <c r="I184" s="11">
        <v>46071</v>
      </c>
      <c r="J184" s="11">
        <v>46070</v>
      </c>
      <c r="K184" s="13"/>
    </row>
    <row r="185" spans="1:11" ht="18" x14ac:dyDescent="0.4">
      <c r="A185" s="7" t="s">
        <v>98</v>
      </c>
      <c r="B185" s="85" t="s">
        <v>169</v>
      </c>
      <c r="C185" s="8">
        <v>31610</v>
      </c>
      <c r="D185" s="9">
        <v>463595330</v>
      </c>
      <c r="E185" s="57">
        <v>40</v>
      </c>
      <c r="F185" s="10" t="s">
        <v>711</v>
      </c>
      <c r="G185" s="88">
        <v>0</v>
      </c>
      <c r="H185" s="70">
        <v>0</v>
      </c>
      <c r="I185" s="11">
        <v>46071</v>
      </c>
      <c r="J185" s="11">
        <v>46070</v>
      </c>
      <c r="K185" s="8"/>
    </row>
    <row r="186" spans="1:11" ht="18" x14ac:dyDescent="0.4">
      <c r="A186" s="7" t="s">
        <v>98</v>
      </c>
      <c r="B186" s="85" t="s">
        <v>169</v>
      </c>
      <c r="C186" s="8">
        <v>31610</v>
      </c>
      <c r="D186" s="9">
        <v>552822380</v>
      </c>
      <c r="E186" s="57">
        <v>600</v>
      </c>
      <c r="F186" s="10" t="s">
        <v>170</v>
      </c>
      <c r="G186" s="88">
        <v>0</v>
      </c>
      <c r="H186" s="70">
        <f t="shared" si="2"/>
        <v>0</v>
      </c>
      <c r="I186" s="11">
        <v>46071</v>
      </c>
      <c r="J186" s="11">
        <v>46070</v>
      </c>
      <c r="K186" s="13"/>
    </row>
    <row r="187" spans="1:11" ht="18" x14ac:dyDescent="0.4">
      <c r="A187" s="7" t="s">
        <v>98</v>
      </c>
      <c r="B187" s="85" t="s">
        <v>169</v>
      </c>
      <c r="C187" s="8">
        <v>31610</v>
      </c>
      <c r="D187" s="9">
        <v>463572030</v>
      </c>
      <c r="E187" s="57">
        <v>600</v>
      </c>
      <c r="F187" s="10" t="s">
        <v>171</v>
      </c>
      <c r="G187" s="88">
        <v>0</v>
      </c>
      <c r="H187" s="70">
        <f t="shared" si="2"/>
        <v>0</v>
      </c>
      <c r="I187" s="11">
        <v>46071</v>
      </c>
      <c r="J187" s="11">
        <v>46070</v>
      </c>
      <c r="K187" s="13"/>
    </row>
    <row r="188" spans="1:11" ht="18" x14ac:dyDescent="0.4">
      <c r="A188" s="7" t="s">
        <v>98</v>
      </c>
      <c r="B188" s="85" t="s">
        <v>169</v>
      </c>
      <c r="C188" s="8">
        <v>31610</v>
      </c>
      <c r="D188" s="9">
        <v>463572050</v>
      </c>
      <c r="E188" s="57">
        <v>600</v>
      </c>
      <c r="F188" s="10" t="s">
        <v>172</v>
      </c>
      <c r="G188" s="88">
        <v>0</v>
      </c>
      <c r="H188" s="70">
        <f t="shared" si="2"/>
        <v>0</v>
      </c>
      <c r="I188" s="11">
        <v>46071</v>
      </c>
      <c r="J188" s="11">
        <v>46070</v>
      </c>
      <c r="K188" s="13"/>
    </row>
    <row r="189" spans="1:11" ht="18" x14ac:dyDescent="0.4">
      <c r="A189" s="7" t="s">
        <v>98</v>
      </c>
      <c r="B189" s="85" t="s">
        <v>169</v>
      </c>
      <c r="C189" s="8">
        <v>31610</v>
      </c>
      <c r="D189" s="9">
        <v>552823560</v>
      </c>
      <c r="E189" s="57">
        <v>600</v>
      </c>
      <c r="F189" s="10" t="s">
        <v>173</v>
      </c>
      <c r="G189" s="88">
        <v>1200</v>
      </c>
      <c r="H189" s="70">
        <f t="shared" si="2"/>
        <v>2</v>
      </c>
      <c r="I189" s="11">
        <v>46071</v>
      </c>
      <c r="J189" s="11">
        <v>46070</v>
      </c>
      <c r="K189" s="13"/>
    </row>
    <row r="190" spans="1:11" ht="18" x14ac:dyDescent="0.4">
      <c r="A190" s="7" t="s">
        <v>98</v>
      </c>
      <c r="B190" s="85" t="s">
        <v>169</v>
      </c>
      <c r="C190" s="8">
        <v>31610</v>
      </c>
      <c r="D190" s="9">
        <v>463572040</v>
      </c>
      <c r="E190" s="57">
        <v>600</v>
      </c>
      <c r="F190" s="10" t="s">
        <v>174</v>
      </c>
      <c r="G190" s="88">
        <v>1680</v>
      </c>
      <c r="H190" s="70">
        <f t="shared" si="2"/>
        <v>2.8</v>
      </c>
      <c r="I190" s="11">
        <v>46071</v>
      </c>
      <c r="J190" s="11">
        <v>46070</v>
      </c>
      <c r="K190" s="13"/>
    </row>
    <row r="191" spans="1:11" ht="18" x14ac:dyDescent="0.4">
      <c r="A191" s="7" t="s">
        <v>98</v>
      </c>
      <c r="B191" s="85" t="s">
        <v>169</v>
      </c>
      <c r="C191" s="8">
        <v>31610</v>
      </c>
      <c r="D191" s="9">
        <v>463595330</v>
      </c>
      <c r="E191" s="57">
        <v>600</v>
      </c>
      <c r="F191" s="10" t="s">
        <v>175</v>
      </c>
      <c r="G191" s="88">
        <v>0</v>
      </c>
      <c r="H191" s="70">
        <f t="shared" si="2"/>
        <v>0</v>
      </c>
      <c r="I191" s="11">
        <v>46071</v>
      </c>
      <c r="J191" s="11">
        <v>46070</v>
      </c>
      <c r="K191" s="13"/>
    </row>
    <row r="192" spans="1:11" ht="18" x14ac:dyDescent="0.4">
      <c r="A192" s="7" t="s">
        <v>98</v>
      </c>
      <c r="B192" s="85" t="s">
        <v>176</v>
      </c>
      <c r="C192" s="8">
        <v>50111</v>
      </c>
      <c r="D192" s="9">
        <v>552833910</v>
      </c>
      <c r="E192" s="57">
        <v>9000</v>
      </c>
      <c r="F192" s="10" t="s">
        <v>177</v>
      </c>
      <c r="G192" s="88">
        <v>0</v>
      </c>
      <c r="H192" s="70">
        <f t="shared" si="2"/>
        <v>0</v>
      </c>
      <c r="I192" s="11">
        <v>46071</v>
      </c>
      <c r="J192" s="11">
        <v>46070</v>
      </c>
      <c r="K192" s="13"/>
    </row>
    <row r="193" spans="1:11" ht="18" x14ac:dyDescent="0.4">
      <c r="A193" s="7" t="s">
        <v>98</v>
      </c>
      <c r="B193" s="85" t="s">
        <v>178</v>
      </c>
      <c r="C193" s="8">
        <v>56589</v>
      </c>
      <c r="D193" s="9">
        <v>463384907</v>
      </c>
      <c r="E193" s="57">
        <v>30</v>
      </c>
      <c r="F193" s="10" t="s">
        <v>179</v>
      </c>
      <c r="G193" s="88">
        <v>900</v>
      </c>
      <c r="H193" s="70">
        <f t="shared" si="2"/>
        <v>30</v>
      </c>
      <c r="I193" s="11">
        <v>46071</v>
      </c>
      <c r="J193" s="11">
        <v>46070</v>
      </c>
      <c r="K193" s="13"/>
    </row>
    <row r="194" spans="1:11" ht="18" x14ac:dyDescent="0.4">
      <c r="A194" s="7" t="s">
        <v>98</v>
      </c>
      <c r="B194" s="85" t="s">
        <v>178</v>
      </c>
      <c r="C194" s="8">
        <v>56589</v>
      </c>
      <c r="D194" s="9">
        <v>463384997</v>
      </c>
      <c r="E194" s="57">
        <v>30</v>
      </c>
      <c r="F194" s="10" t="s">
        <v>180</v>
      </c>
      <c r="G194" s="88">
        <v>0</v>
      </c>
      <c r="H194" s="70">
        <f t="shared" si="2"/>
        <v>0</v>
      </c>
      <c r="I194" s="11">
        <v>46071</v>
      </c>
      <c r="J194" s="11">
        <v>46070</v>
      </c>
      <c r="K194" s="13"/>
    </row>
    <row r="195" spans="1:11" ht="18" x14ac:dyDescent="0.4">
      <c r="A195" s="7" t="s">
        <v>98</v>
      </c>
      <c r="B195" s="85" t="s">
        <v>181</v>
      </c>
      <c r="C195" s="8">
        <v>50050</v>
      </c>
      <c r="D195" s="9">
        <v>463529270</v>
      </c>
      <c r="E195" s="57">
        <v>432</v>
      </c>
      <c r="F195" s="10" t="s">
        <v>182</v>
      </c>
      <c r="G195" s="88">
        <v>0</v>
      </c>
      <c r="H195" s="70">
        <f t="shared" si="2"/>
        <v>0</v>
      </c>
      <c r="I195" s="11">
        <v>46071</v>
      </c>
      <c r="J195" s="11">
        <v>46070</v>
      </c>
      <c r="K195" s="13"/>
    </row>
    <row r="196" spans="1:11" ht="18" x14ac:dyDescent="0.4">
      <c r="A196" s="7" t="s">
        <v>98</v>
      </c>
      <c r="B196" s="85" t="s">
        <v>183</v>
      </c>
      <c r="C196" s="8">
        <v>30467</v>
      </c>
      <c r="D196" s="9">
        <v>552806540</v>
      </c>
      <c r="E196" s="57">
        <v>1200</v>
      </c>
      <c r="F196" s="10" t="s">
        <v>184</v>
      </c>
      <c r="G196" s="88">
        <v>0</v>
      </c>
      <c r="H196" s="70">
        <f t="shared" si="2"/>
        <v>0</v>
      </c>
      <c r="I196" s="11">
        <v>46071</v>
      </c>
      <c r="J196" s="11">
        <v>46070</v>
      </c>
      <c r="K196" s="13"/>
    </row>
    <row r="197" spans="1:11" ht="18" x14ac:dyDescent="0.4">
      <c r="A197" s="7" t="s">
        <v>98</v>
      </c>
      <c r="B197" s="85" t="s">
        <v>183</v>
      </c>
      <c r="C197" s="8">
        <v>30467</v>
      </c>
      <c r="D197" s="9">
        <v>463389730</v>
      </c>
      <c r="E197" s="57">
        <v>400</v>
      </c>
      <c r="F197" s="10" t="s">
        <v>185</v>
      </c>
      <c r="G197" s="88">
        <v>0</v>
      </c>
      <c r="H197" s="70">
        <f t="shared" si="2"/>
        <v>0</v>
      </c>
      <c r="I197" s="11">
        <v>46071</v>
      </c>
      <c r="J197" s="11">
        <v>46070</v>
      </c>
      <c r="K197" s="13"/>
    </row>
    <row r="198" spans="1:11" ht="18" x14ac:dyDescent="0.4">
      <c r="A198" s="7" t="s">
        <v>98</v>
      </c>
      <c r="B198" s="85" t="s">
        <v>183</v>
      </c>
      <c r="C198" s="8">
        <v>30467</v>
      </c>
      <c r="D198" s="9">
        <v>463532630</v>
      </c>
      <c r="E198" s="57">
        <v>250</v>
      </c>
      <c r="F198" s="10" t="s">
        <v>187</v>
      </c>
      <c r="G198" s="88">
        <v>0</v>
      </c>
      <c r="H198" s="70">
        <f t="shared" si="2"/>
        <v>0</v>
      </c>
      <c r="I198" s="11">
        <v>46071</v>
      </c>
      <c r="J198" s="11">
        <v>46070</v>
      </c>
      <c r="K198" s="13"/>
    </row>
    <row r="199" spans="1:11" ht="18" x14ac:dyDescent="0.4">
      <c r="A199" s="7" t="s">
        <v>98</v>
      </c>
      <c r="B199" s="85" t="s">
        <v>183</v>
      </c>
      <c r="C199" s="8">
        <v>30467</v>
      </c>
      <c r="D199" s="9">
        <v>552821810</v>
      </c>
      <c r="E199" s="57">
        <v>350</v>
      </c>
      <c r="F199" s="10" t="s">
        <v>188</v>
      </c>
      <c r="G199" s="88">
        <v>7000</v>
      </c>
      <c r="H199" s="70">
        <f t="shared" si="2"/>
        <v>20</v>
      </c>
      <c r="I199" s="11">
        <v>46071</v>
      </c>
      <c r="J199" s="11">
        <v>46070</v>
      </c>
      <c r="K199" s="13"/>
    </row>
    <row r="200" spans="1:11" ht="18" x14ac:dyDescent="0.4">
      <c r="A200" s="7" t="s">
        <v>98</v>
      </c>
      <c r="B200" s="52" t="s">
        <v>189</v>
      </c>
      <c r="C200" s="49">
        <v>5934</v>
      </c>
      <c r="D200" s="50">
        <v>463384870</v>
      </c>
      <c r="E200" s="49">
        <v>1000</v>
      </c>
      <c r="F200" s="51" t="s">
        <v>190</v>
      </c>
      <c r="G200" s="88">
        <v>0</v>
      </c>
      <c r="H200" s="70">
        <f t="shared" si="2"/>
        <v>0</v>
      </c>
      <c r="I200" s="11">
        <v>46071</v>
      </c>
      <c r="J200" s="11">
        <v>46070</v>
      </c>
      <c r="K200" s="13"/>
    </row>
    <row r="201" spans="1:11" ht="18" x14ac:dyDescent="0.4">
      <c r="A201" s="7" t="s">
        <v>98</v>
      </c>
      <c r="B201" s="52" t="s">
        <v>189</v>
      </c>
      <c r="C201" s="49">
        <v>5934</v>
      </c>
      <c r="D201" s="50">
        <v>463516230</v>
      </c>
      <c r="E201" s="49">
        <v>80</v>
      </c>
      <c r="F201" s="51" t="s">
        <v>191</v>
      </c>
      <c r="G201" s="88">
        <v>0</v>
      </c>
      <c r="H201" s="70">
        <f t="shared" si="2"/>
        <v>0</v>
      </c>
      <c r="I201" s="11">
        <v>46071</v>
      </c>
      <c r="J201" s="11">
        <v>46070</v>
      </c>
      <c r="K201" s="13"/>
    </row>
    <row r="202" spans="1:11" ht="18" x14ac:dyDescent="0.4">
      <c r="A202" s="7" t="s">
        <v>98</v>
      </c>
      <c r="B202" s="85" t="s">
        <v>189</v>
      </c>
      <c r="C202" s="8">
        <v>5934</v>
      </c>
      <c r="D202" s="9">
        <v>552841160</v>
      </c>
      <c r="E202" s="57">
        <v>1000</v>
      </c>
      <c r="F202" s="10" t="s">
        <v>192</v>
      </c>
      <c r="G202" s="88">
        <v>0</v>
      </c>
      <c r="H202" s="70">
        <f t="shared" si="2"/>
        <v>0</v>
      </c>
      <c r="I202" s="11">
        <v>46071</v>
      </c>
      <c r="J202" s="11">
        <v>46070</v>
      </c>
      <c r="K202" s="13"/>
    </row>
    <row r="203" spans="1:11" ht="18" x14ac:dyDescent="0.4">
      <c r="A203" s="7" t="s">
        <v>98</v>
      </c>
      <c r="B203" s="85" t="s">
        <v>193</v>
      </c>
      <c r="C203" s="8">
        <v>19414</v>
      </c>
      <c r="D203" s="9">
        <v>463532640</v>
      </c>
      <c r="E203" s="57">
        <v>1100</v>
      </c>
      <c r="F203" s="10" t="s">
        <v>194</v>
      </c>
      <c r="G203" s="88">
        <v>1100</v>
      </c>
      <c r="H203" s="70">
        <f t="shared" si="2"/>
        <v>1</v>
      </c>
      <c r="I203" s="11">
        <v>46071</v>
      </c>
      <c r="J203" s="11">
        <v>46070</v>
      </c>
      <c r="K203" s="13"/>
    </row>
    <row r="204" spans="1:11" ht="18" x14ac:dyDescent="0.4">
      <c r="A204" s="7" t="s">
        <v>98</v>
      </c>
      <c r="B204" s="85" t="s">
        <v>193</v>
      </c>
      <c r="C204" s="8">
        <v>19414</v>
      </c>
      <c r="D204" s="9">
        <v>463532650</v>
      </c>
      <c r="E204" s="57">
        <v>800</v>
      </c>
      <c r="F204" s="10" t="s">
        <v>195</v>
      </c>
      <c r="G204" s="88">
        <v>8000</v>
      </c>
      <c r="H204" s="70">
        <f t="shared" si="2"/>
        <v>10</v>
      </c>
      <c r="I204" s="11">
        <v>46071</v>
      </c>
      <c r="J204" s="11">
        <v>46070</v>
      </c>
      <c r="K204" s="13"/>
    </row>
    <row r="205" spans="1:11" ht="18" x14ac:dyDescent="0.4">
      <c r="A205" s="7" t="s">
        <v>98</v>
      </c>
      <c r="B205" s="85" t="s">
        <v>193</v>
      </c>
      <c r="C205" s="8">
        <v>19414</v>
      </c>
      <c r="D205" s="9">
        <v>162970240</v>
      </c>
      <c r="E205" s="57">
        <v>500</v>
      </c>
      <c r="F205" s="10" t="s">
        <v>196</v>
      </c>
      <c r="G205" s="88">
        <v>8000</v>
      </c>
      <c r="H205" s="70">
        <f t="shared" si="2"/>
        <v>16</v>
      </c>
      <c r="I205" s="11">
        <v>46071</v>
      </c>
      <c r="J205" s="11">
        <v>46070</v>
      </c>
      <c r="K205" s="13"/>
    </row>
    <row r="206" spans="1:11" ht="18" x14ac:dyDescent="0.4">
      <c r="A206" s="7" t="s">
        <v>98</v>
      </c>
      <c r="B206" s="85" t="s">
        <v>197</v>
      </c>
      <c r="C206" s="8">
        <v>1020</v>
      </c>
      <c r="D206" s="9">
        <v>463379748</v>
      </c>
      <c r="E206" s="57">
        <v>18</v>
      </c>
      <c r="F206" s="10" t="s">
        <v>198</v>
      </c>
      <c r="G206" s="88">
        <v>400</v>
      </c>
      <c r="H206" s="70">
        <f t="shared" si="2"/>
        <v>22.222222222222221</v>
      </c>
      <c r="I206" s="11">
        <v>46071</v>
      </c>
      <c r="J206" s="11">
        <v>46070</v>
      </c>
      <c r="K206" s="13"/>
    </row>
    <row r="207" spans="1:11" ht="18" x14ac:dyDescent="0.4">
      <c r="A207" s="7" t="s">
        <v>98</v>
      </c>
      <c r="B207" s="85" t="s">
        <v>197</v>
      </c>
      <c r="C207" s="8">
        <v>1020</v>
      </c>
      <c r="D207" s="9">
        <v>463379778</v>
      </c>
      <c r="E207" s="57">
        <v>18</v>
      </c>
      <c r="F207" s="10" t="s">
        <v>199</v>
      </c>
      <c r="G207" s="88">
        <v>700</v>
      </c>
      <c r="H207" s="70">
        <f t="shared" si="2"/>
        <v>38.888888888888886</v>
      </c>
      <c r="I207" s="11">
        <v>46071</v>
      </c>
      <c r="J207" s="11">
        <v>46070</v>
      </c>
      <c r="K207" s="13"/>
    </row>
    <row r="208" spans="1:11" ht="18" x14ac:dyDescent="0.4">
      <c r="A208" s="7" t="s">
        <v>98</v>
      </c>
      <c r="B208" s="85" t="s">
        <v>200</v>
      </c>
      <c r="C208" s="8">
        <v>1073</v>
      </c>
      <c r="D208" s="9">
        <v>463576288</v>
      </c>
      <c r="E208" s="57">
        <v>27</v>
      </c>
      <c r="F208" s="10" t="s">
        <v>201</v>
      </c>
      <c r="G208" s="88">
        <v>400</v>
      </c>
      <c r="H208" s="70">
        <f t="shared" si="2"/>
        <v>14.814814814814815</v>
      </c>
      <c r="I208" s="11">
        <v>46071</v>
      </c>
      <c r="J208" s="11">
        <v>46070</v>
      </c>
      <c r="K208" s="13"/>
    </row>
    <row r="209" spans="1:11" ht="18" x14ac:dyDescent="0.4">
      <c r="A209" s="7" t="s">
        <v>98</v>
      </c>
      <c r="B209" s="85" t="s">
        <v>200</v>
      </c>
      <c r="C209" s="8">
        <v>1073</v>
      </c>
      <c r="D209" s="9">
        <v>463576277</v>
      </c>
      <c r="E209" s="57">
        <v>36</v>
      </c>
      <c r="F209" s="10" t="s">
        <v>202</v>
      </c>
      <c r="G209" s="88">
        <v>400</v>
      </c>
      <c r="H209" s="70">
        <f t="shared" si="2"/>
        <v>11.111111111111111</v>
      </c>
      <c r="I209" s="11">
        <v>46071</v>
      </c>
      <c r="J209" s="11">
        <v>46070</v>
      </c>
      <c r="K209" s="13"/>
    </row>
    <row r="210" spans="1:11" ht="18" x14ac:dyDescent="0.4">
      <c r="A210" s="7" t="s">
        <v>98</v>
      </c>
      <c r="B210" s="85" t="s">
        <v>197</v>
      </c>
      <c r="C210" s="8">
        <v>1020</v>
      </c>
      <c r="D210" s="9">
        <v>463384927</v>
      </c>
      <c r="E210" s="57">
        <v>32</v>
      </c>
      <c r="F210" s="10" t="s">
        <v>203</v>
      </c>
      <c r="G210" s="88">
        <v>400</v>
      </c>
      <c r="H210" s="70">
        <f t="shared" si="2"/>
        <v>12.5</v>
      </c>
      <c r="I210" s="11">
        <v>46071</v>
      </c>
      <c r="J210" s="11">
        <v>46070</v>
      </c>
      <c r="K210" s="13"/>
    </row>
    <row r="211" spans="1:11" ht="18" x14ac:dyDescent="0.4">
      <c r="A211" s="7" t="s">
        <v>98</v>
      </c>
      <c r="B211" s="85" t="s">
        <v>197</v>
      </c>
      <c r="C211" s="8">
        <v>1020</v>
      </c>
      <c r="D211" s="9">
        <v>463489077</v>
      </c>
      <c r="E211" s="57">
        <v>32</v>
      </c>
      <c r="F211" s="10" t="s">
        <v>204</v>
      </c>
      <c r="G211" s="88">
        <v>700</v>
      </c>
      <c r="H211" s="70">
        <f t="shared" si="2"/>
        <v>21.875</v>
      </c>
      <c r="I211" s="11">
        <v>46071</v>
      </c>
      <c r="J211" s="11">
        <v>46070</v>
      </c>
      <c r="K211" s="13"/>
    </row>
    <row r="212" spans="1:11" ht="18" x14ac:dyDescent="0.4">
      <c r="A212" s="7" t="s">
        <v>98</v>
      </c>
      <c r="B212" s="85" t="s">
        <v>205</v>
      </c>
      <c r="C212" s="8">
        <v>11431</v>
      </c>
      <c r="D212" s="9">
        <v>463526240</v>
      </c>
      <c r="E212" s="57">
        <v>800</v>
      </c>
      <c r="F212" s="10" t="s">
        <v>206</v>
      </c>
      <c r="G212" s="88">
        <v>0</v>
      </c>
      <c r="H212" s="70">
        <f t="shared" si="2"/>
        <v>0</v>
      </c>
      <c r="I212" s="11">
        <v>46071</v>
      </c>
      <c r="J212" s="11">
        <v>46070</v>
      </c>
      <c r="K212" s="13"/>
    </row>
    <row r="213" spans="1:11" ht="18" x14ac:dyDescent="0.4">
      <c r="A213" s="7" t="s">
        <v>98</v>
      </c>
      <c r="B213" s="85" t="s">
        <v>205</v>
      </c>
      <c r="C213" s="8">
        <v>11431</v>
      </c>
      <c r="D213" s="9">
        <v>463496660</v>
      </c>
      <c r="E213" s="57">
        <v>800</v>
      </c>
      <c r="F213" s="10" t="s">
        <v>206</v>
      </c>
      <c r="G213" s="88">
        <v>0</v>
      </c>
      <c r="H213" s="70">
        <f t="shared" si="2"/>
        <v>0</v>
      </c>
      <c r="I213" s="11">
        <v>46071</v>
      </c>
      <c r="J213" s="11">
        <v>46070</v>
      </c>
      <c r="K213" s="13"/>
    </row>
    <row r="214" spans="1:11" ht="18" x14ac:dyDescent="0.4">
      <c r="A214" s="7" t="s">
        <v>98</v>
      </c>
      <c r="B214" s="85" t="s">
        <v>205</v>
      </c>
      <c r="C214" s="8">
        <v>11431</v>
      </c>
      <c r="D214" s="9">
        <v>463492670</v>
      </c>
      <c r="E214" s="57">
        <v>800</v>
      </c>
      <c r="F214" s="10" t="s">
        <v>206</v>
      </c>
      <c r="G214" s="88">
        <v>800</v>
      </c>
      <c r="H214" s="70">
        <f t="shared" si="2"/>
        <v>1</v>
      </c>
      <c r="I214" s="11">
        <v>46071</v>
      </c>
      <c r="J214" s="11">
        <v>46070</v>
      </c>
      <c r="K214" s="13"/>
    </row>
    <row r="215" spans="1:11" ht="18" x14ac:dyDescent="0.4">
      <c r="A215" s="7" t="s">
        <v>98</v>
      </c>
      <c r="B215" s="85" t="s">
        <v>207</v>
      </c>
      <c r="C215" s="8">
        <v>14928</v>
      </c>
      <c r="D215" s="9">
        <v>463556950</v>
      </c>
      <c r="E215" s="57">
        <v>40</v>
      </c>
      <c r="F215" s="10" t="s">
        <v>208</v>
      </c>
      <c r="G215" s="88">
        <v>0</v>
      </c>
      <c r="H215" s="70">
        <f t="shared" si="2"/>
        <v>0</v>
      </c>
      <c r="I215" s="11">
        <v>46071</v>
      </c>
      <c r="J215" s="11">
        <v>46070</v>
      </c>
      <c r="K215" s="13"/>
    </row>
    <row r="216" spans="1:11" ht="18" x14ac:dyDescent="0.4">
      <c r="A216" s="7" t="s">
        <v>98</v>
      </c>
      <c r="B216" s="85" t="s">
        <v>207</v>
      </c>
      <c r="C216" s="8">
        <v>14928</v>
      </c>
      <c r="D216" s="9">
        <v>463526220</v>
      </c>
      <c r="E216" s="57">
        <v>40</v>
      </c>
      <c r="F216" s="10" t="s">
        <v>209</v>
      </c>
      <c r="G216" s="88">
        <v>120</v>
      </c>
      <c r="H216" s="70">
        <f t="shared" si="2"/>
        <v>3</v>
      </c>
      <c r="I216" s="11">
        <v>46071</v>
      </c>
      <c r="J216" s="11">
        <v>46070</v>
      </c>
      <c r="K216" s="13"/>
    </row>
    <row r="217" spans="1:11" ht="18" x14ac:dyDescent="0.4">
      <c r="A217" s="7" t="s">
        <v>98</v>
      </c>
      <c r="B217" s="85" t="s">
        <v>207</v>
      </c>
      <c r="C217" s="8">
        <v>14928</v>
      </c>
      <c r="D217" s="9">
        <v>463496630</v>
      </c>
      <c r="E217" s="57">
        <v>40</v>
      </c>
      <c r="F217" s="10" t="s">
        <v>210</v>
      </c>
      <c r="G217" s="88">
        <v>320</v>
      </c>
      <c r="H217" s="70">
        <f t="shared" si="2"/>
        <v>8</v>
      </c>
      <c r="I217" s="11">
        <v>46071</v>
      </c>
      <c r="J217" s="11">
        <v>46070</v>
      </c>
      <c r="K217" s="13"/>
    </row>
    <row r="218" spans="1:11" ht="18" x14ac:dyDescent="0.4">
      <c r="A218" s="7" t="s">
        <v>98</v>
      </c>
      <c r="B218" s="85" t="s">
        <v>207</v>
      </c>
      <c r="C218" s="8">
        <v>14928</v>
      </c>
      <c r="D218" s="9">
        <v>463358702</v>
      </c>
      <c r="E218" s="57">
        <v>100</v>
      </c>
      <c r="F218" s="10" t="s">
        <v>211</v>
      </c>
      <c r="G218" s="88">
        <v>0</v>
      </c>
      <c r="H218" s="70">
        <f t="shared" si="2"/>
        <v>0</v>
      </c>
      <c r="I218" s="11">
        <v>46071</v>
      </c>
      <c r="J218" s="11">
        <v>46070</v>
      </c>
      <c r="K218" s="13"/>
    </row>
    <row r="219" spans="1:11" ht="18" x14ac:dyDescent="0.4">
      <c r="A219" s="7" t="s">
        <v>98</v>
      </c>
      <c r="B219" s="85" t="s">
        <v>207</v>
      </c>
      <c r="C219" s="8">
        <v>14928</v>
      </c>
      <c r="D219" s="9">
        <v>463564010</v>
      </c>
      <c r="E219" s="57">
        <v>100</v>
      </c>
      <c r="F219" s="10" t="s">
        <v>212</v>
      </c>
      <c r="G219" s="88">
        <v>500</v>
      </c>
      <c r="H219" s="70">
        <f t="shared" si="2"/>
        <v>5</v>
      </c>
      <c r="I219" s="11">
        <v>46071</v>
      </c>
      <c r="J219" s="11">
        <v>46070</v>
      </c>
      <c r="K219" s="13"/>
    </row>
    <row r="220" spans="1:11" ht="18" x14ac:dyDescent="0.4">
      <c r="A220" s="7" t="s">
        <v>98</v>
      </c>
      <c r="B220" s="85" t="s">
        <v>207</v>
      </c>
      <c r="C220" s="8">
        <v>14928</v>
      </c>
      <c r="D220" s="9">
        <v>463383610</v>
      </c>
      <c r="E220" s="57">
        <v>40</v>
      </c>
      <c r="F220" s="10" t="s">
        <v>213</v>
      </c>
      <c r="G220" s="88">
        <v>560</v>
      </c>
      <c r="H220" s="70">
        <f t="shared" ref="H220:H287" si="3">+G220/E220</f>
        <v>14</v>
      </c>
      <c r="I220" s="11">
        <v>46071</v>
      </c>
      <c r="J220" s="11">
        <v>46070</v>
      </c>
      <c r="K220" s="13"/>
    </row>
    <row r="221" spans="1:11" ht="18" x14ac:dyDescent="0.4">
      <c r="A221" s="7" t="s">
        <v>98</v>
      </c>
      <c r="B221" s="85" t="s">
        <v>214</v>
      </c>
      <c r="C221" s="8">
        <v>21342</v>
      </c>
      <c r="D221" s="9">
        <v>463485520</v>
      </c>
      <c r="E221" s="57">
        <v>480</v>
      </c>
      <c r="F221" s="10" t="s">
        <v>215</v>
      </c>
      <c r="G221" s="88">
        <v>1920</v>
      </c>
      <c r="H221" s="70">
        <f t="shared" si="3"/>
        <v>4</v>
      </c>
      <c r="I221" s="11">
        <v>46071</v>
      </c>
      <c r="J221" s="11">
        <v>46070</v>
      </c>
      <c r="K221" s="13"/>
    </row>
    <row r="222" spans="1:11" ht="18" x14ac:dyDescent="0.4">
      <c r="A222" s="7" t="s">
        <v>98</v>
      </c>
      <c r="B222" s="85" t="s">
        <v>214</v>
      </c>
      <c r="C222" s="8">
        <v>21342</v>
      </c>
      <c r="D222" s="9">
        <v>463496650</v>
      </c>
      <c r="E222" s="57">
        <v>25</v>
      </c>
      <c r="F222" s="10" t="s">
        <v>216</v>
      </c>
      <c r="G222" s="88">
        <v>0</v>
      </c>
      <c r="H222" s="70">
        <f t="shared" si="3"/>
        <v>0</v>
      </c>
      <c r="I222" s="11">
        <v>46071</v>
      </c>
      <c r="J222" s="11">
        <v>46070</v>
      </c>
      <c r="K222" s="13"/>
    </row>
    <row r="223" spans="1:11" ht="18" x14ac:dyDescent="0.4">
      <c r="A223" s="7" t="s">
        <v>98</v>
      </c>
      <c r="B223" s="85" t="s">
        <v>214</v>
      </c>
      <c r="C223" s="8">
        <v>21342</v>
      </c>
      <c r="D223" s="9">
        <v>463581750</v>
      </c>
      <c r="E223" s="57">
        <v>25</v>
      </c>
      <c r="F223" s="10" t="s">
        <v>216</v>
      </c>
      <c r="G223" s="88">
        <v>0</v>
      </c>
      <c r="H223" s="70">
        <f t="shared" si="3"/>
        <v>0</v>
      </c>
      <c r="I223" s="11">
        <v>46071</v>
      </c>
      <c r="J223" s="11">
        <v>46070</v>
      </c>
      <c r="K223" s="13"/>
    </row>
    <row r="224" spans="1:11" ht="18" x14ac:dyDescent="0.4">
      <c r="A224" s="7" t="s">
        <v>98</v>
      </c>
      <c r="B224" s="85" t="s">
        <v>214</v>
      </c>
      <c r="C224" s="8">
        <v>21342</v>
      </c>
      <c r="D224" s="9">
        <v>463491660</v>
      </c>
      <c r="E224" s="57">
        <v>300</v>
      </c>
      <c r="F224" s="10" t="s">
        <v>217</v>
      </c>
      <c r="G224" s="88">
        <v>0</v>
      </c>
      <c r="H224" s="70">
        <f t="shared" si="3"/>
        <v>0</v>
      </c>
      <c r="I224" s="11">
        <v>46071</v>
      </c>
      <c r="J224" s="11">
        <v>46070</v>
      </c>
      <c r="K224" s="13"/>
    </row>
    <row r="225" spans="1:11" ht="18" x14ac:dyDescent="0.4">
      <c r="A225" s="7" t="s">
        <v>98</v>
      </c>
      <c r="B225" s="85" t="s">
        <v>218</v>
      </c>
      <c r="C225" s="8">
        <v>23480</v>
      </c>
      <c r="D225" s="9">
        <v>552849890</v>
      </c>
      <c r="E225" s="57">
        <v>180</v>
      </c>
      <c r="F225" s="10" t="s">
        <v>219</v>
      </c>
      <c r="G225" s="88">
        <v>1620</v>
      </c>
      <c r="H225" s="70">
        <f t="shared" si="3"/>
        <v>9</v>
      </c>
      <c r="I225" s="11">
        <v>46071</v>
      </c>
      <c r="J225" s="11">
        <v>46070</v>
      </c>
      <c r="K225" s="13"/>
    </row>
    <row r="226" spans="1:11" ht="18" x14ac:dyDescent="0.4">
      <c r="A226" s="7" t="s">
        <v>98</v>
      </c>
      <c r="B226" s="85" t="s">
        <v>218</v>
      </c>
      <c r="C226" s="8">
        <v>23480</v>
      </c>
      <c r="D226" s="9">
        <v>463357980</v>
      </c>
      <c r="E226" s="57">
        <v>1000</v>
      </c>
      <c r="F226" s="10" t="s">
        <v>712</v>
      </c>
      <c r="G226" s="88">
        <v>4000</v>
      </c>
      <c r="H226" s="70">
        <f t="shared" si="3"/>
        <v>4</v>
      </c>
      <c r="I226" s="11">
        <v>46071</v>
      </c>
      <c r="J226" s="11">
        <v>46070</v>
      </c>
      <c r="K226" s="13"/>
    </row>
    <row r="227" spans="1:11" ht="18" x14ac:dyDescent="0.4">
      <c r="A227" s="7" t="s">
        <v>98</v>
      </c>
      <c r="B227" s="85" t="s">
        <v>218</v>
      </c>
      <c r="C227" s="8">
        <v>23480</v>
      </c>
      <c r="D227" s="9">
        <v>463482030</v>
      </c>
      <c r="E227" s="57">
        <v>200</v>
      </c>
      <c r="F227" s="10" t="s">
        <v>221</v>
      </c>
      <c r="G227" s="88">
        <v>1500</v>
      </c>
      <c r="H227" s="70">
        <f t="shared" si="3"/>
        <v>7.5</v>
      </c>
      <c r="I227" s="11">
        <v>46071</v>
      </c>
      <c r="J227" s="11">
        <v>46070</v>
      </c>
      <c r="K227" s="13"/>
    </row>
    <row r="228" spans="1:11" ht="18" x14ac:dyDescent="0.4">
      <c r="A228" s="7" t="s">
        <v>98</v>
      </c>
      <c r="B228" s="85" t="s">
        <v>218</v>
      </c>
      <c r="C228" s="8">
        <v>23480</v>
      </c>
      <c r="D228" s="9">
        <v>144576860</v>
      </c>
      <c r="E228" s="57">
        <v>1500</v>
      </c>
      <c r="F228" s="10" t="s">
        <v>713</v>
      </c>
      <c r="G228" s="88">
        <v>0</v>
      </c>
      <c r="H228" s="70">
        <f t="shared" si="3"/>
        <v>0</v>
      </c>
      <c r="I228" s="11">
        <v>46071</v>
      </c>
      <c r="J228" s="11">
        <v>46070</v>
      </c>
      <c r="K228" s="13"/>
    </row>
    <row r="229" spans="1:11" ht="18" x14ac:dyDescent="0.4">
      <c r="A229" s="7" t="s">
        <v>98</v>
      </c>
      <c r="B229" s="85" t="s">
        <v>218</v>
      </c>
      <c r="C229" s="8">
        <v>23481</v>
      </c>
      <c r="D229" s="9">
        <v>463526250</v>
      </c>
      <c r="E229" s="57">
        <v>500</v>
      </c>
      <c r="F229" s="10" t="s">
        <v>224</v>
      </c>
      <c r="G229" s="88">
        <v>0</v>
      </c>
      <c r="H229" s="70">
        <f t="shared" si="3"/>
        <v>0</v>
      </c>
      <c r="I229" s="11">
        <v>46071</v>
      </c>
      <c r="J229" s="11">
        <v>46070</v>
      </c>
      <c r="K229" s="13"/>
    </row>
    <row r="230" spans="1:11" ht="18" x14ac:dyDescent="0.4">
      <c r="A230" s="7" t="s">
        <v>98</v>
      </c>
      <c r="B230" s="85" t="s">
        <v>218</v>
      </c>
      <c r="C230" s="8">
        <v>23481</v>
      </c>
      <c r="D230" s="9">
        <v>463399250</v>
      </c>
      <c r="E230" s="57">
        <v>500</v>
      </c>
      <c r="F230" s="10" t="s">
        <v>224</v>
      </c>
      <c r="G230" s="88">
        <v>2500</v>
      </c>
      <c r="H230" s="70">
        <f t="shared" si="3"/>
        <v>5</v>
      </c>
      <c r="I230" s="11">
        <v>46071</v>
      </c>
      <c r="J230" s="11">
        <v>46070</v>
      </c>
      <c r="K230" s="13"/>
    </row>
    <row r="231" spans="1:11" ht="18" x14ac:dyDescent="0.4">
      <c r="A231" s="7" t="s">
        <v>98</v>
      </c>
      <c r="B231" s="85" t="s">
        <v>225</v>
      </c>
      <c r="C231" s="8">
        <v>27986</v>
      </c>
      <c r="D231" s="9">
        <v>463526190</v>
      </c>
      <c r="E231" s="57">
        <v>400</v>
      </c>
      <c r="F231" s="10" t="s">
        <v>226</v>
      </c>
      <c r="G231" s="88">
        <v>0</v>
      </c>
      <c r="H231" s="70">
        <f t="shared" si="3"/>
        <v>0</v>
      </c>
      <c r="I231" s="11">
        <v>46071</v>
      </c>
      <c r="J231" s="11">
        <v>46070</v>
      </c>
      <c r="K231" s="13"/>
    </row>
    <row r="232" spans="1:11" ht="18" x14ac:dyDescent="0.4">
      <c r="A232" s="7" t="s">
        <v>98</v>
      </c>
      <c r="B232" s="85" t="s">
        <v>225</v>
      </c>
      <c r="C232" s="8">
        <v>27986</v>
      </c>
      <c r="D232" s="9">
        <v>463524600</v>
      </c>
      <c r="E232" s="57">
        <v>500</v>
      </c>
      <c r="F232" s="10" t="s">
        <v>227</v>
      </c>
      <c r="G232" s="88">
        <v>2500</v>
      </c>
      <c r="H232" s="70">
        <f t="shared" si="3"/>
        <v>5</v>
      </c>
      <c r="I232" s="11">
        <v>46071</v>
      </c>
      <c r="J232" s="11">
        <v>46070</v>
      </c>
      <c r="K232" s="13"/>
    </row>
    <row r="233" spans="1:11" ht="18" x14ac:dyDescent="0.4">
      <c r="A233" s="7" t="s">
        <v>98</v>
      </c>
      <c r="B233" s="85" t="s">
        <v>225</v>
      </c>
      <c r="C233" s="8">
        <v>27986</v>
      </c>
      <c r="D233" s="9">
        <v>552849810</v>
      </c>
      <c r="E233" s="57">
        <v>500</v>
      </c>
      <c r="F233" s="10" t="s">
        <v>228</v>
      </c>
      <c r="G233" s="88">
        <v>0</v>
      </c>
      <c r="H233" s="70">
        <f t="shared" si="3"/>
        <v>0</v>
      </c>
      <c r="I233" s="11">
        <v>46071</v>
      </c>
      <c r="J233" s="11">
        <v>46070</v>
      </c>
      <c r="K233" s="13"/>
    </row>
    <row r="234" spans="1:11" ht="18" x14ac:dyDescent="0.4">
      <c r="A234" s="7" t="s">
        <v>98</v>
      </c>
      <c r="B234" s="85" t="s">
        <v>225</v>
      </c>
      <c r="C234" s="8">
        <v>27986</v>
      </c>
      <c r="D234" s="9">
        <v>463355140</v>
      </c>
      <c r="E234" s="57">
        <v>500</v>
      </c>
      <c r="F234" s="10" t="s">
        <v>228</v>
      </c>
      <c r="G234" s="88">
        <v>1000</v>
      </c>
      <c r="H234" s="70">
        <f t="shared" si="3"/>
        <v>2</v>
      </c>
      <c r="I234" s="11">
        <v>46071</v>
      </c>
      <c r="J234" s="11">
        <v>46070</v>
      </c>
      <c r="K234" s="13"/>
    </row>
    <row r="235" spans="1:11" ht="18" x14ac:dyDescent="0.4">
      <c r="A235" s="7" t="s">
        <v>98</v>
      </c>
      <c r="B235" s="85" t="s">
        <v>229</v>
      </c>
      <c r="C235" s="8">
        <v>32059</v>
      </c>
      <c r="D235" s="9">
        <v>552822590</v>
      </c>
      <c r="E235" s="57">
        <v>2800</v>
      </c>
      <c r="F235" s="10" t="s">
        <v>230</v>
      </c>
      <c r="G235" s="88">
        <v>0</v>
      </c>
      <c r="H235" s="70">
        <f t="shared" si="3"/>
        <v>0</v>
      </c>
      <c r="I235" s="11">
        <v>46071</v>
      </c>
      <c r="J235" s="11">
        <v>46070</v>
      </c>
      <c r="K235" s="13"/>
    </row>
    <row r="236" spans="1:11" ht="18" x14ac:dyDescent="0.4">
      <c r="A236" s="7" t="s">
        <v>98</v>
      </c>
      <c r="B236" s="85" t="s">
        <v>231</v>
      </c>
      <c r="C236" s="8">
        <v>32572</v>
      </c>
      <c r="D236" s="9">
        <v>552820870</v>
      </c>
      <c r="E236" s="57">
        <v>720</v>
      </c>
      <c r="F236" s="10" t="s">
        <v>232</v>
      </c>
      <c r="G236" s="88">
        <v>7920</v>
      </c>
      <c r="H236" s="70">
        <f t="shared" si="3"/>
        <v>11</v>
      </c>
      <c r="I236" s="11">
        <v>46071</v>
      </c>
      <c r="J236" s="11">
        <v>46070</v>
      </c>
      <c r="K236" s="13"/>
    </row>
    <row r="237" spans="1:11" ht="18" x14ac:dyDescent="0.4">
      <c r="A237" s="7" t="s">
        <v>98</v>
      </c>
      <c r="B237" s="85" t="s">
        <v>714</v>
      </c>
      <c r="C237" s="8">
        <v>33518</v>
      </c>
      <c r="D237" s="9">
        <v>463496670</v>
      </c>
      <c r="E237" s="57">
        <v>48</v>
      </c>
      <c r="F237" s="10" t="s">
        <v>236</v>
      </c>
      <c r="G237" s="88">
        <v>0</v>
      </c>
      <c r="H237" s="70">
        <f t="shared" si="3"/>
        <v>0</v>
      </c>
      <c r="I237" s="11">
        <v>46071</v>
      </c>
      <c r="J237" s="11">
        <v>46070</v>
      </c>
      <c r="K237" s="13"/>
    </row>
    <row r="238" spans="1:11" ht="18" x14ac:dyDescent="0.4">
      <c r="A238" s="7" t="s">
        <v>98</v>
      </c>
      <c r="B238" s="85" t="s">
        <v>714</v>
      </c>
      <c r="C238" s="8">
        <v>33518</v>
      </c>
      <c r="D238" s="9">
        <v>463433880</v>
      </c>
      <c r="E238" s="57">
        <v>48</v>
      </c>
      <c r="F238" s="10" t="s">
        <v>237</v>
      </c>
      <c r="G238" s="88">
        <v>960</v>
      </c>
      <c r="H238" s="70">
        <f t="shared" si="3"/>
        <v>20</v>
      </c>
      <c r="I238" s="11">
        <v>46071</v>
      </c>
      <c r="J238" s="11">
        <v>46070</v>
      </c>
      <c r="K238" s="13"/>
    </row>
    <row r="239" spans="1:11" ht="18" x14ac:dyDescent="0.4">
      <c r="A239" s="7" t="s">
        <v>98</v>
      </c>
      <c r="B239" s="85" t="s">
        <v>715</v>
      </c>
      <c r="C239" s="8">
        <v>58696</v>
      </c>
      <c r="D239" s="9">
        <v>463495790</v>
      </c>
      <c r="E239" s="57">
        <v>1200</v>
      </c>
      <c r="F239" s="10" t="s">
        <v>239</v>
      </c>
      <c r="G239" s="88">
        <v>2400</v>
      </c>
      <c r="H239" s="70">
        <f t="shared" si="3"/>
        <v>2</v>
      </c>
      <c r="I239" s="11">
        <v>46071</v>
      </c>
      <c r="J239" s="11">
        <v>46070</v>
      </c>
      <c r="K239" s="13"/>
    </row>
    <row r="240" spans="1:11" ht="18" x14ac:dyDescent="0.4">
      <c r="A240" s="7" t="s">
        <v>98</v>
      </c>
      <c r="B240" s="85" t="s">
        <v>697</v>
      </c>
      <c r="C240" s="8">
        <v>47104</v>
      </c>
      <c r="D240" s="9">
        <v>552840970</v>
      </c>
      <c r="E240" s="57">
        <v>240</v>
      </c>
      <c r="F240" s="10" t="s">
        <v>240</v>
      </c>
      <c r="G240" s="88">
        <v>0</v>
      </c>
      <c r="H240" s="70">
        <f t="shared" si="3"/>
        <v>0</v>
      </c>
      <c r="I240" s="11">
        <v>46071</v>
      </c>
      <c r="J240" s="11">
        <v>46070</v>
      </c>
      <c r="K240" s="13"/>
    </row>
    <row r="241" spans="1:11" ht="18" x14ac:dyDescent="0.4">
      <c r="A241" s="7" t="s">
        <v>98</v>
      </c>
      <c r="B241" s="85" t="s">
        <v>697</v>
      </c>
      <c r="C241" s="8">
        <v>47104</v>
      </c>
      <c r="D241" s="9">
        <v>552840960</v>
      </c>
      <c r="E241" s="57">
        <v>240</v>
      </c>
      <c r="F241" s="10" t="s">
        <v>241</v>
      </c>
      <c r="G241" s="88">
        <v>1920</v>
      </c>
      <c r="H241" s="70">
        <f t="shared" si="3"/>
        <v>8</v>
      </c>
      <c r="I241" s="11">
        <v>46071</v>
      </c>
      <c r="J241" s="11">
        <v>46070</v>
      </c>
      <c r="K241" s="13"/>
    </row>
    <row r="242" spans="1:11" ht="18" x14ac:dyDescent="0.4">
      <c r="A242" s="7" t="s">
        <v>98</v>
      </c>
      <c r="B242" s="85" t="s">
        <v>716</v>
      </c>
      <c r="C242" s="8">
        <v>35657</v>
      </c>
      <c r="D242" s="9">
        <v>463370940</v>
      </c>
      <c r="E242" s="57">
        <v>500</v>
      </c>
      <c r="F242" s="10" t="s">
        <v>243</v>
      </c>
      <c r="G242" s="88">
        <v>0</v>
      </c>
      <c r="H242" s="70">
        <f t="shared" si="3"/>
        <v>0</v>
      </c>
      <c r="I242" s="11">
        <v>46071</v>
      </c>
      <c r="J242" s="11">
        <v>46070</v>
      </c>
      <c r="K242" s="13"/>
    </row>
    <row r="243" spans="1:11" ht="18" x14ac:dyDescent="0.4">
      <c r="A243" s="7" t="s">
        <v>98</v>
      </c>
      <c r="B243" s="85" t="s">
        <v>716</v>
      </c>
      <c r="C243" s="8">
        <v>35657</v>
      </c>
      <c r="D243" s="9">
        <v>463488490</v>
      </c>
      <c r="E243" s="57">
        <v>500</v>
      </c>
      <c r="F243" s="10" t="s">
        <v>243</v>
      </c>
      <c r="G243" s="88">
        <v>0</v>
      </c>
      <c r="H243" s="70">
        <f t="shared" si="3"/>
        <v>0</v>
      </c>
      <c r="I243" s="11">
        <v>46071</v>
      </c>
      <c r="J243" s="11">
        <v>46070</v>
      </c>
      <c r="K243" s="13"/>
    </row>
    <row r="244" spans="1:11" ht="18" x14ac:dyDescent="0.4">
      <c r="A244" s="7" t="s">
        <v>98</v>
      </c>
      <c r="B244" s="85" t="s">
        <v>244</v>
      </c>
      <c r="C244" s="8">
        <v>40840</v>
      </c>
      <c r="D244" s="9">
        <v>552822730</v>
      </c>
      <c r="E244" s="57">
        <v>750</v>
      </c>
      <c r="F244" s="10" t="s">
        <v>245</v>
      </c>
      <c r="G244" s="88">
        <v>0</v>
      </c>
      <c r="H244" s="70">
        <f t="shared" si="3"/>
        <v>0</v>
      </c>
      <c r="I244" s="11">
        <v>46071</v>
      </c>
      <c r="J244" s="11">
        <v>46070</v>
      </c>
      <c r="K244" s="13"/>
    </row>
    <row r="245" spans="1:11" ht="18" x14ac:dyDescent="0.4">
      <c r="A245" s="7" t="s">
        <v>98</v>
      </c>
      <c r="B245" s="85" t="s">
        <v>244</v>
      </c>
      <c r="C245" s="8">
        <v>40840</v>
      </c>
      <c r="D245" s="9">
        <v>552822450</v>
      </c>
      <c r="E245" s="57">
        <v>700</v>
      </c>
      <c r="F245" s="10" t="s">
        <v>717</v>
      </c>
      <c r="G245" s="88">
        <v>0</v>
      </c>
      <c r="H245" s="70">
        <f t="shared" si="3"/>
        <v>0</v>
      </c>
      <c r="I245" s="11">
        <v>46071</v>
      </c>
      <c r="J245" s="11">
        <v>46070</v>
      </c>
      <c r="K245" s="13"/>
    </row>
    <row r="246" spans="1:11" ht="18" x14ac:dyDescent="0.4">
      <c r="A246" s="7" t="s">
        <v>98</v>
      </c>
      <c r="B246" s="85" t="s">
        <v>244</v>
      </c>
      <c r="C246" s="8">
        <v>40840</v>
      </c>
      <c r="D246" s="9">
        <v>552822810</v>
      </c>
      <c r="E246" s="57">
        <v>400</v>
      </c>
      <c r="F246" s="10" t="s">
        <v>247</v>
      </c>
      <c r="G246" s="88">
        <v>0</v>
      </c>
      <c r="H246" s="70">
        <f t="shared" si="3"/>
        <v>0</v>
      </c>
      <c r="I246" s="11">
        <v>46071</v>
      </c>
      <c r="J246" s="11">
        <v>46070</v>
      </c>
      <c r="K246" s="13"/>
    </row>
    <row r="247" spans="1:11" ht="18" x14ac:dyDescent="0.4">
      <c r="A247" s="7" t="s">
        <v>98</v>
      </c>
      <c r="B247" s="85" t="s">
        <v>244</v>
      </c>
      <c r="C247" s="8">
        <v>40840</v>
      </c>
      <c r="D247" s="9">
        <v>463384870</v>
      </c>
      <c r="E247" s="57">
        <v>500</v>
      </c>
      <c r="F247" s="10" t="s">
        <v>718</v>
      </c>
      <c r="G247" s="88">
        <v>0</v>
      </c>
      <c r="H247" s="70">
        <f t="shared" si="3"/>
        <v>0</v>
      </c>
      <c r="I247" s="11">
        <v>46071</v>
      </c>
      <c r="J247" s="11">
        <v>46070</v>
      </c>
      <c r="K247" s="13"/>
    </row>
    <row r="248" spans="1:11" ht="18" x14ac:dyDescent="0.4">
      <c r="A248" s="32" t="s">
        <v>98</v>
      </c>
      <c r="B248" s="87" t="s">
        <v>244</v>
      </c>
      <c r="C248" s="33">
        <v>40840</v>
      </c>
      <c r="D248" s="34">
        <v>162970240</v>
      </c>
      <c r="E248" s="62">
        <v>250</v>
      </c>
      <c r="F248" s="35" t="s">
        <v>196</v>
      </c>
      <c r="G248" s="89">
        <v>0</v>
      </c>
      <c r="H248" s="70">
        <f t="shared" si="3"/>
        <v>0</v>
      </c>
      <c r="I248" s="55">
        <v>46071</v>
      </c>
      <c r="J248" s="55">
        <v>46070</v>
      </c>
      <c r="K248" s="56"/>
    </row>
    <row r="249" spans="1:11" ht="18" x14ac:dyDescent="0.4">
      <c r="A249" s="7" t="s">
        <v>0</v>
      </c>
      <c r="B249" s="60" t="s">
        <v>248</v>
      </c>
      <c r="C249" s="57">
        <v>72958</v>
      </c>
      <c r="D249" s="70">
        <v>463526030</v>
      </c>
      <c r="E249" s="57">
        <v>120</v>
      </c>
      <c r="F249" s="71" t="s">
        <v>249</v>
      </c>
      <c r="G249" s="91">
        <v>0</v>
      </c>
      <c r="H249" s="70">
        <f t="shared" si="3"/>
        <v>0</v>
      </c>
      <c r="I249" s="53">
        <v>46071</v>
      </c>
      <c r="J249" s="53">
        <v>46070</v>
      </c>
      <c r="K249" s="21"/>
    </row>
    <row r="250" spans="1:11" ht="18" x14ac:dyDescent="0.4">
      <c r="A250" s="7" t="s">
        <v>0</v>
      </c>
      <c r="B250" s="60" t="s">
        <v>248</v>
      </c>
      <c r="C250" s="57">
        <v>72958</v>
      </c>
      <c r="D250" s="70">
        <v>463523670</v>
      </c>
      <c r="E250" s="57">
        <v>120</v>
      </c>
      <c r="F250" s="71" t="s">
        <v>249</v>
      </c>
      <c r="G250" s="61">
        <v>0</v>
      </c>
      <c r="H250" s="70">
        <f t="shared" si="3"/>
        <v>0</v>
      </c>
      <c r="I250" s="53">
        <v>46071</v>
      </c>
      <c r="J250" s="53">
        <v>46070</v>
      </c>
      <c r="K250" s="21"/>
    </row>
    <row r="251" spans="1:11" ht="18" x14ac:dyDescent="0.4">
      <c r="A251" s="7" t="s">
        <v>0</v>
      </c>
      <c r="B251" s="60" t="s">
        <v>248</v>
      </c>
      <c r="C251" s="57">
        <v>72958</v>
      </c>
      <c r="D251" s="70">
        <v>463523680</v>
      </c>
      <c r="E251" s="57">
        <v>120</v>
      </c>
      <c r="F251" s="71" t="s">
        <v>249</v>
      </c>
      <c r="G251" s="61">
        <v>0</v>
      </c>
      <c r="H251" s="70">
        <f t="shared" si="3"/>
        <v>0</v>
      </c>
      <c r="I251" s="53">
        <v>46071</v>
      </c>
      <c r="J251" s="53">
        <v>46070</v>
      </c>
      <c r="K251" s="21"/>
    </row>
    <row r="252" spans="1:11" ht="18" x14ac:dyDescent="0.4">
      <c r="A252" s="7" t="s">
        <v>0</v>
      </c>
      <c r="B252" s="60" t="s">
        <v>248</v>
      </c>
      <c r="C252" s="57">
        <v>72958</v>
      </c>
      <c r="D252" s="70">
        <v>463524370</v>
      </c>
      <c r="E252" s="57">
        <v>120</v>
      </c>
      <c r="F252" s="71" t="s">
        <v>249</v>
      </c>
      <c r="G252" s="61">
        <v>0</v>
      </c>
      <c r="H252" s="70">
        <f t="shared" si="3"/>
        <v>0</v>
      </c>
      <c r="I252" s="53">
        <v>46071</v>
      </c>
      <c r="J252" s="53">
        <v>46070</v>
      </c>
      <c r="K252" s="7"/>
    </row>
    <row r="253" spans="1:11" ht="18" x14ac:dyDescent="0.4">
      <c r="A253" s="7" t="s">
        <v>0</v>
      </c>
      <c r="B253" s="60" t="s">
        <v>248</v>
      </c>
      <c r="C253" s="57">
        <v>72958</v>
      </c>
      <c r="D253" s="70">
        <v>463524380</v>
      </c>
      <c r="E253" s="57">
        <v>120</v>
      </c>
      <c r="F253" s="71" t="s">
        <v>249</v>
      </c>
      <c r="G253" s="61">
        <v>0</v>
      </c>
      <c r="H253" s="70">
        <f t="shared" si="3"/>
        <v>0</v>
      </c>
      <c r="I253" s="53">
        <v>46071</v>
      </c>
      <c r="J253" s="53">
        <v>46070</v>
      </c>
      <c r="K253" s="7"/>
    </row>
    <row r="254" spans="1:11" ht="18" x14ac:dyDescent="0.4">
      <c r="A254" s="7" t="s">
        <v>0</v>
      </c>
      <c r="B254" s="60" t="s">
        <v>250</v>
      </c>
      <c r="C254" s="57">
        <v>37866</v>
      </c>
      <c r="D254" s="70">
        <v>463453590</v>
      </c>
      <c r="E254" s="57">
        <v>120</v>
      </c>
      <c r="F254" s="71" t="s">
        <v>249</v>
      </c>
      <c r="G254" s="61">
        <v>0</v>
      </c>
      <c r="H254" s="70">
        <f t="shared" si="3"/>
        <v>0</v>
      </c>
      <c r="I254" s="53">
        <v>46071</v>
      </c>
      <c r="J254" s="53">
        <v>46070</v>
      </c>
      <c r="K254" s="21"/>
    </row>
    <row r="255" spans="1:11" ht="18" x14ac:dyDescent="0.4">
      <c r="A255" s="7" t="s">
        <v>0</v>
      </c>
      <c r="B255" s="81" t="s">
        <v>250</v>
      </c>
      <c r="C255" s="57">
        <v>37866</v>
      </c>
      <c r="D255" s="70">
        <v>463453600</v>
      </c>
      <c r="E255" s="57">
        <v>120</v>
      </c>
      <c r="F255" s="71" t="s">
        <v>251</v>
      </c>
      <c r="G255" s="61">
        <v>0</v>
      </c>
      <c r="H255" s="70">
        <f t="shared" si="3"/>
        <v>0</v>
      </c>
      <c r="I255" s="53">
        <v>46071</v>
      </c>
      <c r="J255" s="53">
        <v>46070</v>
      </c>
      <c r="K255" s="21"/>
    </row>
    <row r="256" spans="1:11" ht="18" x14ac:dyDescent="0.4">
      <c r="A256" s="7" t="s">
        <v>0</v>
      </c>
      <c r="B256" s="81" t="s">
        <v>250</v>
      </c>
      <c r="C256" s="57">
        <v>37866</v>
      </c>
      <c r="D256" s="70">
        <v>463453610</v>
      </c>
      <c r="E256" s="57">
        <v>120</v>
      </c>
      <c r="F256" s="71" t="s">
        <v>252</v>
      </c>
      <c r="G256" s="61">
        <v>0</v>
      </c>
      <c r="H256" s="70">
        <f t="shared" si="3"/>
        <v>0</v>
      </c>
      <c r="I256" s="53">
        <v>46071</v>
      </c>
      <c r="J256" s="53">
        <v>46070</v>
      </c>
      <c r="K256" s="21"/>
    </row>
    <row r="257" spans="1:11" ht="18" x14ac:dyDescent="0.4">
      <c r="A257" s="7" t="s">
        <v>0</v>
      </c>
      <c r="B257" s="81" t="s">
        <v>250</v>
      </c>
      <c r="C257" s="57">
        <v>37866</v>
      </c>
      <c r="D257" s="70">
        <v>463453620</v>
      </c>
      <c r="E257" s="57">
        <v>120</v>
      </c>
      <c r="F257" s="71" t="s">
        <v>253</v>
      </c>
      <c r="G257" s="61">
        <v>0</v>
      </c>
      <c r="H257" s="70">
        <f t="shared" si="3"/>
        <v>0</v>
      </c>
      <c r="I257" s="53">
        <v>46071</v>
      </c>
      <c r="J257" s="53">
        <v>46070</v>
      </c>
      <c r="K257" s="21"/>
    </row>
    <row r="258" spans="1:11" ht="18" x14ac:dyDescent="0.4">
      <c r="A258" s="7" t="s">
        <v>0</v>
      </c>
      <c r="B258" s="81" t="s">
        <v>250</v>
      </c>
      <c r="C258" s="57">
        <v>37866</v>
      </c>
      <c r="D258" s="70">
        <v>463453580</v>
      </c>
      <c r="E258" s="57">
        <v>120</v>
      </c>
      <c r="F258" s="71" t="s">
        <v>249</v>
      </c>
      <c r="G258" s="61">
        <v>0</v>
      </c>
      <c r="H258" s="70">
        <f t="shared" si="3"/>
        <v>0</v>
      </c>
      <c r="I258" s="53">
        <v>46071</v>
      </c>
      <c r="J258" s="53">
        <v>46070</v>
      </c>
      <c r="K258" s="7"/>
    </row>
    <row r="259" spans="1:11" ht="18" x14ac:dyDescent="0.4">
      <c r="A259" s="7" t="s">
        <v>0</v>
      </c>
      <c r="B259" s="81" t="s">
        <v>250</v>
      </c>
      <c r="C259" s="57">
        <v>37866</v>
      </c>
      <c r="D259" s="70">
        <v>463453570</v>
      </c>
      <c r="E259" s="57">
        <v>120</v>
      </c>
      <c r="F259" s="71" t="s">
        <v>249</v>
      </c>
      <c r="G259" s="61">
        <v>0</v>
      </c>
      <c r="H259" s="70">
        <f t="shared" si="3"/>
        <v>0</v>
      </c>
      <c r="I259" s="53">
        <v>46071</v>
      </c>
      <c r="J259" s="53">
        <v>46070</v>
      </c>
      <c r="K259" s="21"/>
    </row>
    <row r="260" spans="1:11" ht="18" x14ac:dyDescent="0.4">
      <c r="A260" s="7" t="s">
        <v>0</v>
      </c>
      <c r="B260" s="81" t="s">
        <v>250</v>
      </c>
      <c r="C260" s="57">
        <v>37866</v>
      </c>
      <c r="D260" s="70">
        <v>463522020</v>
      </c>
      <c r="E260" s="57">
        <v>120</v>
      </c>
      <c r="F260" s="71" t="s">
        <v>249</v>
      </c>
      <c r="G260" s="61">
        <v>0</v>
      </c>
      <c r="H260" s="70">
        <f t="shared" si="3"/>
        <v>0</v>
      </c>
      <c r="I260" s="53">
        <v>46071</v>
      </c>
      <c r="J260" s="53">
        <v>46070</v>
      </c>
      <c r="K260" s="21"/>
    </row>
    <row r="261" spans="1:11" ht="18" x14ac:dyDescent="0.4">
      <c r="A261" s="7" t="s">
        <v>0</v>
      </c>
      <c r="B261" s="81" t="s">
        <v>250</v>
      </c>
      <c r="C261" s="57">
        <v>37866</v>
      </c>
      <c r="D261" s="70">
        <v>463522030</v>
      </c>
      <c r="E261" s="57">
        <v>120</v>
      </c>
      <c r="F261" s="71" t="s">
        <v>249</v>
      </c>
      <c r="G261" s="61">
        <v>0</v>
      </c>
      <c r="H261" s="70">
        <f t="shared" si="3"/>
        <v>0</v>
      </c>
      <c r="I261" s="53">
        <v>46071</v>
      </c>
      <c r="J261" s="53">
        <v>46070</v>
      </c>
      <c r="K261" s="7"/>
    </row>
    <row r="262" spans="1:11" ht="18" x14ac:dyDescent="0.4">
      <c r="A262" s="7" t="s">
        <v>0</v>
      </c>
      <c r="B262" s="81" t="s">
        <v>254</v>
      </c>
      <c r="C262" s="57">
        <v>1097</v>
      </c>
      <c r="D262" s="70">
        <v>552172560</v>
      </c>
      <c r="E262" s="57">
        <v>32</v>
      </c>
      <c r="F262" s="71" t="s">
        <v>255</v>
      </c>
      <c r="G262" s="61">
        <v>0</v>
      </c>
      <c r="H262" s="70">
        <f t="shared" si="3"/>
        <v>0</v>
      </c>
      <c r="I262" s="53">
        <v>46071</v>
      </c>
      <c r="J262" s="53">
        <v>46070</v>
      </c>
      <c r="K262" s="21"/>
    </row>
    <row r="263" spans="1:11" ht="18" x14ac:dyDescent="0.4">
      <c r="A263" s="7" t="s">
        <v>0</v>
      </c>
      <c r="B263" s="60" t="s">
        <v>254</v>
      </c>
      <c r="C263" s="57">
        <v>1097</v>
      </c>
      <c r="D263" s="70">
        <v>552172570</v>
      </c>
      <c r="E263" s="57">
        <v>32</v>
      </c>
      <c r="F263" s="71" t="s">
        <v>256</v>
      </c>
      <c r="G263" s="61">
        <v>0</v>
      </c>
      <c r="H263" s="70">
        <f t="shared" si="3"/>
        <v>0</v>
      </c>
      <c r="I263" s="53">
        <v>46071</v>
      </c>
      <c r="J263" s="53">
        <v>46070</v>
      </c>
      <c r="K263" s="21"/>
    </row>
    <row r="264" spans="1:11" ht="18" x14ac:dyDescent="0.4">
      <c r="A264" s="7" t="s">
        <v>0</v>
      </c>
      <c r="B264" s="60" t="s">
        <v>254</v>
      </c>
      <c r="C264" s="57">
        <v>1097</v>
      </c>
      <c r="D264" s="70">
        <v>463497420</v>
      </c>
      <c r="E264" s="57">
        <v>32</v>
      </c>
      <c r="F264" s="71" t="s">
        <v>257</v>
      </c>
      <c r="G264" s="61">
        <v>0</v>
      </c>
      <c r="H264" s="70">
        <f t="shared" si="3"/>
        <v>0</v>
      </c>
      <c r="I264" s="53">
        <v>46071</v>
      </c>
      <c r="J264" s="53">
        <v>46070</v>
      </c>
      <c r="K264" s="21"/>
    </row>
    <row r="265" spans="1:11" ht="18" x14ac:dyDescent="0.4">
      <c r="A265" s="7" t="s">
        <v>0</v>
      </c>
      <c r="B265" s="60" t="s">
        <v>254</v>
      </c>
      <c r="C265" s="57">
        <v>1097</v>
      </c>
      <c r="D265" s="70">
        <v>463497440</v>
      </c>
      <c r="E265" s="57">
        <v>32</v>
      </c>
      <c r="F265" s="71" t="s">
        <v>258</v>
      </c>
      <c r="G265" s="61">
        <v>0</v>
      </c>
      <c r="H265" s="70">
        <f t="shared" si="3"/>
        <v>0</v>
      </c>
      <c r="I265" s="53">
        <v>46071</v>
      </c>
      <c r="J265" s="53">
        <v>46070</v>
      </c>
      <c r="K265" s="21"/>
    </row>
    <row r="266" spans="1:11" ht="18" x14ac:dyDescent="0.4">
      <c r="A266" s="7" t="s">
        <v>0</v>
      </c>
      <c r="B266" s="60" t="s">
        <v>254</v>
      </c>
      <c r="C266" s="57">
        <v>1097</v>
      </c>
      <c r="D266" s="70">
        <v>552168990</v>
      </c>
      <c r="E266" s="57">
        <v>32</v>
      </c>
      <c r="F266" s="71" t="s">
        <v>257</v>
      </c>
      <c r="G266" s="61">
        <v>0</v>
      </c>
      <c r="H266" s="70">
        <f t="shared" si="3"/>
        <v>0</v>
      </c>
      <c r="I266" s="53">
        <v>46071</v>
      </c>
      <c r="J266" s="53">
        <v>46070</v>
      </c>
      <c r="K266" s="21"/>
    </row>
    <row r="267" spans="1:11" ht="18" x14ac:dyDescent="0.4">
      <c r="A267" s="7" t="s">
        <v>0</v>
      </c>
      <c r="B267" s="60" t="s">
        <v>254</v>
      </c>
      <c r="C267" s="57">
        <v>1097</v>
      </c>
      <c r="D267" s="70">
        <v>463478520</v>
      </c>
      <c r="E267" s="57">
        <v>32</v>
      </c>
      <c r="F267" s="71" t="s">
        <v>259</v>
      </c>
      <c r="G267" s="61">
        <v>0</v>
      </c>
      <c r="H267" s="70">
        <f t="shared" si="3"/>
        <v>0</v>
      </c>
      <c r="I267" s="53">
        <v>46071</v>
      </c>
      <c r="J267" s="53">
        <v>46070</v>
      </c>
      <c r="K267" s="21"/>
    </row>
    <row r="268" spans="1:11" ht="18" x14ac:dyDescent="0.4">
      <c r="A268" s="7" t="s">
        <v>0</v>
      </c>
      <c r="B268" s="60" t="s">
        <v>254</v>
      </c>
      <c r="C268" s="57">
        <v>1097</v>
      </c>
      <c r="D268" s="70">
        <v>463478480</v>
      </c>
      <c r="E268" s="57">
        <v>32</v>
      </c>
      <c r="F268" s="71" t="s">
        <v>260</v>
      </c>
      <c r="G268" s="61">
        <v>0</v>
      </c>
      <c r="H268" s="70">
        <f t="shared" si="3"/>
        <v>0</v>
      </c>
      <c r="I268" s="53">
        <v>46071</v>
      </c>
      <c r="J268" s="53">
        <v>46070</v>
      </c>
      <c r="K268" s="21"/>
    </row>
    <row r="269" spans="1:11" ht="18" x14ac:dyDescent="0.4">
      <c r="A269" s="7" t="s">
        <v>0</v>
      </c>
      <c r="B269" s="60" t="s">
        <v>254</v>
      </c>
      <c r="C269" s="57">
        <v>1097</v>
      </c>
      <c r="D269" s="70">
        <v>463478560</v>
      </c>
      <c r="E269" s="57">
        <v>32</v>
      </c>
      <c r="F269" s="71" t="s">
        <v>261</v>
      </c>
      <c r="G269" s="61">
        <v>0</v>
      </c>
      <c r="H269" s="70">
        <f t="shared" si="3"/>
        <v>0</v>
      </c>
      <c r="I269" s="53">
        <v>46071</v>
      </c>
      <c r="J269" s="53">
        <v>46070</v>
      </c>
      <c r="K269" s="21"/>
    </row>
    <row r="270" spans="1:11" ht="18" x14ac:dyDescent="0.4">
      <c r="A270" s="7" t="s">
        <v>0</v>
      </c>
      <c r="B270" s="60" t="s">
        <v>254</v>
      </c>
      <c r="C270" s="57">
        <v>1097</v>
      </c>
      <c r="D270" s="70">
        <v>463478590</v>
      </c>
      <c r="E270" s="57">
        <v>32</v>
      </c>
      <c r="F270" s="71" t="s">
        <v>262</v>
      </c>
      <c r="G270" s="61">
        <v>0</v>
      </c>
      <c r="H270" s="70">
        <f t="shared" si="3"/>
        <v>0</v>
      </c>
      <c r="I270" s="53">
        <v>46071</v>
      </c>
      <c r="J270" s="53">
        <v>46070</v>
      </c>
      <c r="K270" s="7"/>
    </row>
    <row r="271" spans="1:11" ht="18" x14ac:dyDescent="0.4">
      <c r="A271" s="7" t="s">
        <v>0</v>
      </c>
      <c r="B271" s="60" t="s">
        <v>254</v>
      </c>
      <c r="C271" s="57">
        <v>1097</v>
      </c>
      <c r="D271" s="70">
        <v>463526890</v>
      </c>
      <c r="E271" s="57">
        <v>32</v>
      </c>
      <c r="F271" s="71" t="s">
        <v>263</v>
      </c>
      <c r="G271" s="61">
        <v>0</v>
      </c>
      <c r="H271" s="70">
        <f t="shared" si="3"/>
        <v>0</v>
      </c>
      <c r="I271" s="53">
        <v>46071</v>
      </c>
      <c r="J271" s="53">
        <v>46070</v>
      </c>
      <c r="K271" s="7"/>
    </row>
    <row r="272" spans="1:11" ht="18" x14ac:dyDescent="0.4">
      <c r="A272" s="7" t="s">
        <v>0</v>
      </c>
      <c r="B272" s="60" t="s">
        <v>254</v>
      </c>
      <c r="C272" s="57">
        <v>1097</v>
      </c>
      <c r="D272" s="70">
        <v>463534080</v>
      </c>
      <c r="E272" s="57">
        <v>32</v>
      </c>
      <c r="F272" s="71" t="s">
        <v>263</v>
      </c>
      <c r="G272" s="61">
        <v>0</v>
      </c>
      <c r="H272" s="70">
        <f t="shared" si="3"/>
        <v>0</v>
      </c>
      <c r="I272" s="53">
        <v>46071</v>
      </c>
      <c r="J272" s="53">
        <v>46070</v>
      </c>
      <c r="K272" s="21"/>
    </row>
    <row r="273" spans="1:11" ht="18" x14ac:dyDescent="0.4">
      <c r="A273" s="7" t="s">
        <v>0</v>
      </c>
      <c r="B273" s="60" t="s">
        <v>264</v>
      </c>
      <c r="C273" s="7">
        <v>39667</v>
      </c>
      <c r="D273" s="9">
        <v>552809780</v>
      </c>
      <c r="E273" s="7">
        <v>360</v>
      </c>
      <c r="F273" s="19" t="s">
        <v>265</v>
      </c>
      <c r="G273" s="61">
        <v>0</v>
      </c>
      <c r="H273" s="70">
        <f t="shared" si="3"/>
        <v>0</v>
      </c>
      <c r="I273" s="53">
        <v>46071</v>
      </c>
      <c r="J273" s="53">
        <v>46070</v>
      </c>
      <c r="K273" s="21"/>
    </row>
    <row r="274" spans="1:11" ht="18" x14ac:dyDescent="0.4">
      <c r="A274" s="7" t="s">
        <v>0</v>
      </c>
      <c r="B274" s="81" t="s">
        <v>266</v>
      </c>
      <c r="C274" s="57">
        <v>35281</v>
      </c>
      <c r="D274" s="70">
        <v>521498190</v>
      </c>
      <c r="E274" s="57">
        <v>100</v>
      </c>
      <c r="F274" s="71" t="s">
        <v>267</v>
      </c>
      <c r="G274" s="61">
        <v>0</v>
      </c>
      <c r="H274" s="70">
        <f t="shared" si="3"/>
        <v>0</v>
      </c>
      <c r="I274" s="53">
        <v>46071</v>
      </c>
      <c r="J274" s="53">
        <v>46070</v>
      </c>
      <c r="K274" s="7"/>
    </row>
    <row r="275" spans="1:11" ht="18" x14ac:dyDescent="0.4">
      <c r="A275" s="7" t="s">
        <v>0</v>
      </c>
      <c r="B275" s="81" t="s">
        <v>266</v>
      </c>
      <c r="C275" s="57">
        <v>35281</v>
      </c>
      <c r="D275" s="70">
        <v>521641510</v>
      </c>
      <c r="E275" s="57">
        <v>100</v>
      </c>
      <c r="F275" s="71" t="s">
        <v>268</v>
      </c>
      <c r="G275" s="61">
        <v>0</v>
      </c>
      <c r="H275" s="70">
        <f t="shared" si="3"/>
        <v>0</v>
      </c>
      <c r="I275" s="53">
        <v>46071</v>
      </c>
      <c r="J275" s="53">
        <v>46070</v>
      </c>
      <c r="K275" s="7"/>
    </row>
    <row r="276" spans="1:11" ht="18" x14ac:dyDescent="0.4">
      <c r="A276" s="7" t="s">
        <v>0</v>
      </c>
      <c r="B276" s="81" t="s">
        <v>269</v>
      </c>
      <c r="C276" s="57">
        <v>64680</v>
      </c>
      <c r="D276" s="70">
        <v>552364550</v>
      </c>
      <c r="E276" s="57">
        <v>2160</v>
      </c>
      <c r="F276" s="71" t="s">
        <v>270</v>
      </c>
      <c r="G276" s="61">
        <v>0</v>
      </c>
      <c r="H276" s="70">
        <f t="shared" si="3"/>
        <v>0</v>
      </c>
      <c r="I276" s="53">
        <v>46071</v>
      </c>
      <c r="J276" s="53">
        <v>46070</v>
      </c>
      <c r="K276" s="21"/>
    </row>
    <row r="277" spans="1:11" ht="18" x14ac:dyDescent="0.4">
      <c r="A277" s="7" t="s">
        <v>0</v>
      </c>
      <c r="B277" s="81" t="s">
        <v>269</v>
      </c>
      <c r="C277" s="57">
        <v>64680</v>
      </c>
      <c r="D277" s="70">
        <v>552597520</v>
      </c>
      <c r="E277" s="57">
        <v>3600</v>
      </c>
      <c r="F277" s="71" t="s">
        <v>271</v>
      </c>
      <c r="G277" s="61">
        <v>0</v>
      </c>
      <c r="H277" s="70">
        <f t="shared" si="3"/>
        <v>0</v>
      </c>
      <c r="I277" s="53">
        <v>46071</v>
      </c>
      <c r="J277" s="53">
        <v>46070</v>
      </c>
      <c r="K277" s="21"/>
    </row>
    <row r="278" spans="1:11" ht="18" x14ac:dyDescent="0.4">
      <c r="A278" s="7" t="s">
        <v>0</v>
      </c>
      <c r="B278" s="81" t="s">
        <v>269</v>
      </c>
      <c r="C278" s="57">
        <v>64680</v>
      </c>
      <c r="D278" s="70">
        <v>551896360</v>
      </c>
      <c r="E278" s="57">
        <v>360</v>
      </c>
      <c r="F278" s="71" t="s">
        <v>272</v>
      </c>
      <c r="G278" s="61">
        <v>0</v>
      </c>
      <c r="H278" s="70">
        <f t="shared" si="3"/>
        <v>0</v>
      </c>
      <c r="I278" s="53">
        <v>46071</v>
      </c>
      <c r="J278" s="53">
        <v>46070</v>
      </c>
      <c r="K278" s="21"/>
    </row>
    <row r="279" spans="1:11" ht="18" x14ac:dyDescent="0.4">
      <c r="A279" s="7" t="s">
        <v>0</v>
      </c>
      <c r="B279" s="81" t="s">
        <v>269</v>
      </c>
      <c r="C279" s="57">
        <v>64680</v>
      </c>
      <c r="D279" s="70">
        <v>552305070</v>
      </c>
      <c r="E279" s="57">
        <v>360</v>
      </c>
      <c r="F279" s="71" t="s">
        <v>265</v>
      </c>
      <c r="G279" s="61">
        <v>0</v>
      </c>
      <c r="H279" s="70">
        <f t="shared" si="3"/>
        <v>0</v>
      </c>
      <c r="I279" s="53">
        <v>46071</v>
      </c>
      <c r="J279" s="53">
        <v>46070</v>
      </c>
      <c r="K279" s="21"/>
    </row>
    <row r="280" spans="1:11" ht="18" x14ac:dyDescent="0.4">
      <c r="A280" s="7" t="s">
        <v>0</v>
      </c>
      <c r="B280" s="81" t="s">
        <v>269</v>
      </c>
      <c r="C280" s="57">
        <v>64680</v>
      </c>
      <c r="D280" s="70">
        <v>463361860</v>
      </c>
      <c r="E280" s="57">
        <v>32</v>
      </c>
      <c r="F280" s="71" t="s">
        <v>273</v>
      </c>
      <c r="G280" s="61">
        <v>0</v>
      </c>
      <c r="H280" s="70">
        <f t="shared" si="3"/>
        <v>0</v>
      </c>
      <c r="I280" s="53">
        <v>46071</v>
      </c>
      <c r="J280" s="53">
        <v>46070</v>
      </c>
      <c r="K280" s="21"/>
    </row>
    <row r="281" spans="1:11" ht="18" x14ac:dyDescent="0.4">
      <c r="A281" s="7" t="s">
        <v>0</v>
      </c>
      <c r="B281" s="81" t="s">
        <v>269</v>
      </c>
      <c r="C281" s="57">
        <v>64680</v>
      </c>
      <c r="D281" s="70">
        <v>463361870</v>
      </c>
      <c r="E281" s="57">
        <v>32</v>
      </c>
      <c r="F281" s="71" t="s">
        <v>273</v>
      </c>
      <c r="G281" s="61">
        <v>0</v>
      </c>
      <c r="H281" s="70">
        <f t="shared" si="3"/>
        <v>0</v>
      </c>
      <c r="I281" s="53">
        <v>46071</v>
      </c>
      <c r="J281" s="53">
        <v>46070</v>
      </c>
      <c r="K281" s="21"/>
    </row>
    <row r="282" spans="1:11" ht="18" x14ac:dyDescent="0.4">
      <c r="A282" s="7" t="s">
        <v>0</v>
      </c>
      <c r="B282" s="81" t="s">
        <v>269</v>
      </c>
      <c r="C282" s="57">
        <v>64680</v>
      </c>
      <c r="D282" s="70">
        <v>463361880</v>
      </c>
      <c r="E282" s="57">
        <v>32</v>
      </c>
      <c r="F282" s="71" t="s">
        <v>274</v>
      </c>
      <c r="G282" s="61">
        <v>0</v>
      </c>
      <c r="H282" s="70">
        <f t="shared" si="3"/>
        <v>0</v>
      </c>
      <c r="I282" s="53">
        <v>46071</v>
      </c>
      <c r="J282" s="53">
        <v>46070</v>
      </c>
      <c r="K282" s="21"/>
    </row>
    <row r="283" spans="1:11" ht="18" x14ac:dyDescent="0.4">
      <c r="A283" s="7" t="s">
        <v>0</v>
      </c>
      <c r="B283" s="81" t="s">
        <v>269</v>
      </c>
      <c r="C283" s="57">
        <v>64680</v>
      </c>
      <c r="D283" s="70">
        <v>463361890</v>
      </c>
      <c r="E283" s="57">
        <v>32</v>
      </c>
      <c r="F283" s="71" t="s">
        <v>273</v>
      </c>
      <c r="G283" s="61">
        <v>0</v>
      </c>
      <c r="H283" s="70">
        <f t="shared" si="3"/>
        <v>0</v>
      </c>
      <c r="I283" s="53">
        <v>46071</v>
      </c>
      <c r="J283" s="53">
        <v>46070</v>
      </c>
      <c r="K283" s="21"/>
    </row>
    <row r="284" spans="1:11" ht="18" x14ac:dyDescent="0.4">
      <c r="A284" s="7" t="s">
        <v>0</v>
      </c>
      <c r="B284" s="81" t="s">
        <v>275</v>
      </c>
      <c r="C284" s="57">
        <v>37474</v>
      </c>
      <c r="D284" s="70">
        <v>518657410</v>
      </c>
      <c r="E284" s="57">
        <v>80</v>
      </c>
      <c r="F284" s="71" t="s">
        <v>276</v>
      </c>
      <c r="G284" s="61">
        <v>0</v>
      </c>
      <c r="H284" s="70">
        <f t="shared" si="3"/>
        <v>0</v>
      </c>
      <c r="I284" s="53">
        <v>46071</v>
      </c>
      <c r="J284" s="53">
        <v>46070</v>
      </c>
      <c r="K284" s="21"/>
    </row>
    <row r="285" spans="1:11" ht="18" x14ac:dyDescent="0.4">
      <c r="A285" s="7" t="s">
        <v>0</v>
      </c>
      <c r="B285" s="60" t="s">
        <v>277</v>
      </c>
      <c r="C285" s="57">
        <v>47097</v>
      </c>
      <c r="D285" s="70">
        <v>518469540</v>
      </c>
      <c r="E285" s="57">
        <v>80</v>
      </c>
      <c r="F285" s="71" t="s">
        <v>278</v>
      </c>
      <c r="G285" s="61">
        <v>0</v>
      </c>
      <c r="H285" s="70">
        <f t="shared" si="3"/>
        <v>0</v>
      </c>
      <c r="I285" s="53">
        <v>46071</v>
      </c>
      <c r="J285" s="53">
        <v>46070</v>
      </c>
      <c r="K285" s="21"/>
    </row>
    <row r="286" spans="1:11" ht="18" x14ac:dyDescent="0.4">
      <c r="A286" s="7" t="s">
        <v>0</v>
      </c>
      <c r="B286" s="60" t="s">
        <v>277</v>
      </c>
      <c r="C286" s="57">
        <v>47097</v>
      </c>
      <c r="D286" s="70">
        <v>521053400</v>
      </c>
      <c r="E286" s="57">
        <v>80</v>
      </c>
      <c r="F286" s="71" t="s">
        <v>279</v>
      </c>
      <c r="G286" s="61">
        <v>0</v>
      </c>
      <c r="H286" s="70">
        <f t="shared" si="3"/>
        <v>0</v>
      </c>
      <c r="I286" s="53">
        <v>46071</v>
      </c>
      <c r="J286" s="53">
        <v>46070</v>
      </c>
      <c r="K286" s="21"/>
    </row>
    <row r="287" spans="1:11" ht="18" x14ac:dyDescent="0.4">
      <c r="A287" s="7" t="s">
        <v>0</v>
      </c>
      <c r="B287" s="83" t="s">
        <v>277</v>
      </c>
      <c r="C287" s="75">
        <v>47097</v>
      </c>
      <c r="D287" s="76">
        <v>521053400</v>
      </c>
      <c r="E287" s="75">
        <v>80</v>
      </c>
      <c r="F287" s="77" t="s">
        <v>279</v>
      </c>
      <c r="G287" s="61">
        <v>0</v>
      </c>
      <c r="H287" s="70">
        <f t="shared" si="3"/>
        <v>0</v>
      </c>
      <c r="I287" s="11">
        <v>46071</v>
      </c>
      <c r="J287" s="11">
        <v>46070</v>
      </c>
      <c r="K287" s="8"/>
    </row>
    <row r="288" spans="1:11" ht="18" x14ac:dyDescent="0.4">
      <c r="A288" s="7" t="s">
        <v>0</v>
      </c>
      <c r="B288" s="60" t="s">
        <v>280</v>
      </c>
      <c r="C288" s="57">
        <v>78605</v>
      </c>
      <c r="D288" s="70">
        <v>552398190</v>
      </c>
      <c r="E288" s="57">
        <v>500</v>
      </c>
      <c r="F288" s="71" t="s">
        <v>281</v>
      </c>
      <c r="G288" s="61">
        <v>0</v>
      </c>
      <c r="H288" s="70">
        <f t="shared" ref="H288:H351" si="4">+G288/E288</f>
        <v>0</v>
      </c>
      <c r="I288" s="53">
        <v>46071</v>
      </c>
      <c r="J288" s="53">
        <v>46070</v>
      </c>
      <c r="K288" s="21"/>
    </row>
    <row r="289" spans="1:11" ht="18" x14ac:dyDescent="0.4">
      <c r="A289" s="7" t="s">
        <v>0</v>
      </c>
      <c r="B289" s="81" t="s">
        <v>282</v>
      </c>
      <c r="C289" s="57">
        <v>73850</v>
      </c>
      <c r="D289" s="70">
        <v>552188560</v>
      </c>
      <c r="E289" s="57">
        <v>50</v>
      </c>
      <c r="F289" s="71" t="s">
        <v>283</v>
      </c>
      <c r="G289" s="61">
        <v>0</v>
      </c>
      <c r="H289" s="70">
        <f t="shared" si="4"/>
        <v>0</v>
      </c>
      <c r="I289" s="53">
        <v>46071</v>
      </c>
      <c r="J289" s="53">
        <v>46070</v>
      </c>
      <c r="K289" s="21"/>
    </row>
    <row r="290" spans="1:11" ht="18" x14ac:dyDescent="0.4">
      <c r="A290" s="7" t="s">
        <v>0</v>
      </c>
      <c r="B290" s="81" t="s">
        <v>282</v>
      </c>
      <c r="C290" s="57">
        <v>73850</v>
      </c>
      <c r="D290" s="70">
        <v>552278750</v>
      </c>
      <c r="E290" s="57">
        <v>150</v>
      </c>
      <c r="F290" s="71" t="s">
        <v>284</v>
      </c>
      <c r="G290" s="61">
        <v>0</v>
      </c>
      <c r="H290" s="70">
        <f t="shared" si="4"/>
        <v>0</v>
      </c>
      <c r="I290" s="53">
        <v>46071</v>
      </c>
      <c r="J290" s="53">
        <v>46070</v>
      </c>
      <c r="K290" s="21"/>
    </row>
    <row r="291" spans="1:11" ht="18" x14ac:dyDescent="0.4">
      <c r="A291" s="7" t="s">
        <v>0</v>
      </c>
      <c r="B291" s="81" t="s">
        <v>282</v>
      </c>
      <c r="C291" s="57">
        <v>73850</v>
      </c>
      <c r="D291" s="70">
        <v>552278770</v>
      </c>
      <c r="E291" s="57">
        <v>150</v>
      </c>
      <c r="F291" s="71" t="s">
        <v>285</v>
      </c>
      <c r="G291" s="61">
        <v>0</v>
      </c>
      <c r="H291" s="70">
        <f t="shared" si="4"/>
        <v>0</v>
      </c>
      <c r="I291" s="53">
        <v>46071</v>
      </c>
      <c r="J291" s="53">
        <v>46070</v>
      </c>
      <c r="K291" s="21"/>
    </row>
    <row r="292" spans="1:11" ht="18" x14ac:dyDescent="0.4">
      <c r="A292" s="7" t="s">
        <v>0</v>
      </c>
      <c r="B292" s="81" t="s">
        <v>286</v>
      </c>
      <c r="C292" s="57">
        <v>51625</v>
      </c>
      <c r="D292" s="70">
        <v>551812430</v>
      </c>
      <c r="E292" s="57">
        <v>2160</v>
      </c>
      <c r="F292" s="71" t="s">
        <v>287</v>
      </c>
      <c r="G292" s="61">
        <v>0</v>
      </c>
      <c r="H292" s="70">
        <f t="shared" si="4"/>
        <v>0</v>
      </c>
      <c r="I292" s="53">
        <v>46071</v>
      </c>
      <c r="J292" s="53">
        <v>46070</v>
      </c>
      <c r="K292" s="21"/>
    </row>
    <row r="293" spans="1:11" ht="18" x14ac:dyDescent="0.4">
      <c r="A293" s="7" t="s">
        <v>0</v>
      </c>
      <c r="B293" s="81" t="s">
        <v>286</v>
      </c>
      <c r="C293" s="57">
        <v>51625</v>
      </c>
      <c r="D293" s="70">
        <v>552168510</v>
      </c>
      <c r="E293" s="57">
        <v>640</v>
      </c>
      <c r="F293" s="71" t="s">
        <v>287</v>
      </c>
      <c r="G293" s="61">
        <v>0</v>
      </c>
      <c r="H293" s="70">
        <f t="shared" si="4"/>
        <v>0</v>
      </c>
      <c r="I293" s="53">
        <v>46071</v>
      </c>
      <c r="J293" s="53">
        <v>46070</v>
      </c>
      <c r="K293" s="7"/>
    </row>
    <row r="294" spans="1:11" ht="18" x14ac:dyDescent="0.4">
      <c r="A294" s="7" t="s">
        <v>0</v>
      </c>
      <c r="B294" s="81" t="s">
        <v>286</v>
      </c>
      <c r="C294" s="57">
        <v>51625</v>
      </c>
      <c r="D294" s="70">
        <v>552188650</v>
      </c>
      <c r="E294" s="57">
        <v>640</v>
      </c>
      <c r="F294" s="71" t="s">
        <v>287</v>
      </c>
      <c r="G294" s="61">
        <v>0</v>
      </c>
      <c r="H294" s="70">
        <f t="shared" si="4"/>
        <v>0</v>
      </c>
      <c r="I294" s="53">
        <v>46071</v>
      </c>
      <c r="J294" s="53">
        <v>46070</v>
      </c>
      <c r="K294" s="7"/>
    </row>
    <row r="295" spans="1:11" ht="18" x14ac:dyDescent="0.4">
      <c r="A295" s="7" t="s">
        <v>0</v>
      </c>
      <c r="B295" s="82" t="s">
        <v>288</v>
      </c>
      <c r="C295" s="57">
        <v>20748</v>
      </c>
      <c r="D295" s="70">
        <v>552178590</v>
      </c>
      <c r="E295" s="57">
        <v>288</v>
      </c>
      <c r="F295" s="71" t="s">
        <v>289</v>
      </c>
      <c r="G295" s="61">
        <v>0</v>
      </c>
      <c r="H295" s="70">
        <f t="shared" si="4"/>
        <v>0</v>
      </c>
      <c r="I295" s="53">
        <v>46071</v>
      </c>
      <c r="J295" s="53">
        <v>46070</v>
      </c>
      <c r="K295" s="21"/>
    </row>
    <row r="296" spans="1:11" ht="18" x14ac:dyDescent="0.4">
      <c r="A296" s="7" t="s">
        <v>0</v>
      </c>
      <c r="B296" s="81" t="s">
        <v>290</v>
      </c>
      <c r="C296" s="57">
        <v>68265</v>
      </c>
      <c r="D296" s="70">
        <v>552776160</v>
      </c>
      <c r="E296" s="57">
        <v>150</v>
      </c>
      <c r="F296" s="71" t="s">
        <v>291</v>
      </c>
      <c r="G296" s="61">
        <v>0</v>
      </c>
      <c r="H296" s="70">
        <f t="shared" si="4"/>
        <v>0</v>
      </c>
      <c r="I296" s="11">
        <v>46071</v>
      </c>
      <c r="J296" s="11">
        <v>46070</v>
      </c>
      <c r="K296" s="13"/>
    </row>
    <row r="297" spans="1:11" ht="18" x14ac:dyDescent="0.4">
      <c r="A297" s="7" t="s">
        <v>0</v>
      </c>
      <c r="B297" s="81" t="s">
        <v>290</v>
      </c>
      <c r="C297" s="57">
        <v>68265</v>
      </c>
      <c r="D297" s="70">
        <v>552282450</v>
      </c>
      <c r="E297" s="57">
        <v>150</v>
      </c>
      <c r="F297" s="71" t="s">
        <v>291</v>
      </c>
      <c r="G297" s="61">
        <v>0</v>
      </c>
      <c r="H297" s="70">
        <f t="shared" si="4"/>
        <v>0</v>
      </c>
      <c r="I297" s="11">
        <v>46071</v>
      </c>
      <c r="J297" s="11">
        <v>46070</v>
      </c>
      <c r="K297" s="8"/>
    </row>
    <row r="298" spans="1:11" ht="18" x14ac:dyDescent="0.4">
      <c r="A298" s="7" t="s">
        <v>0</v>
      </c>
      <c r="B298" s="82" t="s">
        <v>292</v>
      </c>
      <c r="C298" s="57">
        <v>19424</v>
      </c>
      <c r="D298" s="70">
        <v>552384520</v>
      </c>
      <c r="E298" s="57">
        <v>1440</v>
      </c>
      <c r="F298" s="71" t="s">
        <v>293</v>
      </c>
      <c r="G298" s="61">
        <v>0</v>
      </c>
      <c r="H298" s="70">
        <f t="shared" si="4"/>
        <v>0</v>
      </c>
      <c r="I298" s="11">
        <v>46071</v>
      </c>
      <c r="J298" s="11">
        <v>46070</v>
      </c>
      <c r="K298" s="13"/>
    </row>
    <row r="299" spans="1:11" ht="18" x14ac:dyDescent="0.4">
      <c r="A299" s="7" t="s">
        <v>0</v>
      </c>
      <c r="B299" s="81" t="s">
        <v>294</v>
      </c>
      <c r="C299" s="57">
        <v>21796</v>
      </c>
      <c r="D299" s="70">
        <v>552807200</v>
      </c>
      <c r="E299" s="57">
        <v>1920</v>
      </c>
      <c r="F299" s="71" t="s">
        <v>293</v>
      </c>
      <c r="G299" s="61">
        <v>0</v>
      </c>
      <c r="H299" s="70">
        <f t="shared" si="4"/>
        <v>0</v>
      </c>
      <c r="I299" s="11">
        <v>46071</v>
      </c>
      <c r="J299" s="11">
        <v>46070</v>
      </c>
      <c r="K299" s="8"/>
    </row>
    <row r="300" spans="1:11" ht="18" x14ac:dyDescent="0.4">
      <c r="A300" s="7" t="s">
        <v>0</v>
      </c>
      <c r="B300" s="81" t="s">
        <v>295</v>
      </c>
      <c r="C300" s="60">
        <v>51620</v>
      </c>
      <c r="D300" s="70">
        <v>552610980</v>
      </c>
      <c r="E300" s="57">
        <v>840</v>
      </c>
      <c r="F300" s="71" t="s">
        <v>296</v>
      </c>
      <c r="G300" s="61">
        <v>0</v>
      </c>
      <c r="H300" s="70">
        <f t="shared" si="4"/>
        <v>0</v>
      </c>
      <c r="I300" s="11">
        <v>46071</v>
      </c>
      <c r="J300" s="11">
        <v>46070</v>
      </c>
      <c r="K300" s="8"/>
    </row>
    <row r="301" spans="1:11" ht="18" x14ac:dyDescent="0.4">
      <c r="A301" s="7" t="s">
        <v>0</v>
      </c>
      <c r="B301" s="81" t="s">
        <v>295</v>
      </c>
      <c r="C301" s="60">
        <v>51620</v>
      </c>
      <c r="D301" s="70">
        <v>552611020</v>
      </c>
      <c r="E301" s="57">
        <v>1440</v>
      </c>
      <c r="F301" s="71" t="s">
        <v>297</v>
      </c>
      <c r="G301" s="61">
        <v>0</v>
      </c>
      <c r="H301" s="70">
        <f t="shared" si="4"/>
        <v>0</v>
      </c>
      <c r="I301" s="11">
        <v>46071</v>
      </c>
      <c r="J301" s="11">
        <v>46070</v>
      </c>
      <c r="K301" s="13"/>
    </row>
    <row r="302" spans="1:11" ht="18" x14ac:dyDescent="0.4">
      <c r="A302" s="7" t="s">
        <v>0</v>
      </c>
      <c r="B302" s="81" t="s">
        <v>295</v>
      </c>
      <c r="C302" s="60">
        <v>51620</v>
      </c>
      <c r="D302" s="70">
        <v>552611060</v>
      </c>
      <c r="E302" s="57">
        <v>840</v>
      </c>
      <c r="F302" s="71" t="s">
        <v>298</v>
      </c>
      <c r="G302" s="61">
        <v>0</v>
      </c>
      <c r="H302" s="70">
        <f t="shared" si="4"/>
        <v>0</v>
      </c>
      <c r="I302" s="11">
        <v>46071</v>
      </c>
      <c r="J302" s="11">
        <v>46070</v>
      </c>
      <c r="K302" s="13"/>
    </row>
    <row r="303" spans="1:11" ht="18" x14ac:dyDescent="0.4">
      <c r="A303" s="7" t="s">
        <v>0</v>
      </c>
      <c r="B303" s="81" t="s">
        <v>295</v>
      </c>
      <c r="C303" s="60">
        <v>51620</v>
      </c>
      <c r="D303" s="70">
        <v>552670810</v>
      </c>
      <c r="E303" s="57">
        <v>840</v>
      </c>
      <c r="F303" s="71" t="s">
        <v>296</v>
      </c>
      <c r="G303" s="61">
        <v>0</v>
      </c>
      <c r="H303" s="70">
        <f t="shared" si="4"/>
        <v>0</v>
      </c>
      <c r="I303" s="11">
        <v>46071</v>
      </c>
      <c r="J303" s="11">
        <v>46070</v>
      </c>
      <c r="K303" s="13"/>
    </row>
    <row r="304" spans="1:11" ht="18" x14ac:dyDescent="0.4">
      <c r="A304" s="7" t="s">
        <v>0</v>
      </c>
      <c r="B304" s="81" t="s">
        <v>295</v>
      </c>
      <c r="C304" s="60">
        <v>51620</v>
      </c>
      <c r="D304" s="70">
        <v>552670830</v>
      </c>
      <c r="E304" s="57">
        <v>1440</v>
      </c>
      <c r="F304" s="71" t="s">
        <v>297</v>
      </c>
      <c r="G304" s="61">
        <v>0</v>
      </c>
      <c r="H304" s="70">
        <f t="shared" si="4"/>
        <v>0</v>
      </c>
      <c r="I304" s="11">
        <v>46071</v>
      </c>
      <c r="J304" s="11">
        <v>46070</v>
      </c>
      <c r="K304" s="13"/>
    </row>
    <row r="305" spans="1:11" ht="18" x14ac:dyDescent="0.4">
      <c r="A305" s="7" t="s">
        <v>0</v>
      </c>
      <c r="B305" s="81" t="s">
        <v>295</v>
      </c>
      <c r="C305" s="60">
        <v>51620</v>
      </c>
      <c r="D305" s="70">
        <v>552670850</v>
      </c>
      <c r="E305" s="57">
        <v>840</v>
      </c>
      <c r="F305" s="71" t="s">
        <v>298</v>
      </c>
      <c r="G305" s="61">
        <v>0</v>
      </c>
      <c r="H305" s="70">
        <f t="shared" si="4"/>
        <v>0</v>
      </c>
      <c r="I305" s="11">
        <v>46071</v>
      </c>
      <c r="J305" s="11">
        <v>46070</v>
      </c>
      <c r="K305" s="13"/>
    </row>
    <row r="306" spans="1:11" ht="18" x14ac:dyDescent="0.4">
      <c r="A306" s="7" t="s">
        <v>0</v>
      </c>
      <c r="B306" s="81" t="s">
        <v>295</v>
      </c>
      <c r="C306" s="60">
        <v>51620</v>
      </c>
      <c r="D306" s="70">
        <v>552527010</v>
      </c>
      <c r="E306" s="57">
        <v>840</v>
      </c>
      <c r="F306" s="71" t="s">
        <v>296</v>
      </c>
      <c r="G306" s="61">
        <v>0</v>
      </c>
      <c r="H306" s="70">
        <f t="shared" si="4"/>
        <v>0</v>
      </c>
      <c r="I306" s="11">
        <v>46071</v>
      </c>
      <c r="J306" s="11">
        <v>46070</v>
      </c>
      <c r="K306" s="13"/>
    </row>
    <row r="307" spans="1:11" ht="18" x14ac:dyDescent="0.4">
      <c r="A307" s="7" t="s">
        <v>0</v>
      </c>
      <c r="B307" s="81" t="s">
        <v>295</v>
      </c>
      <c r="C307" s="60">
        <v>51620</v>
      </c>
      <c r="D307" s="70">
        <v>552527050</v>
      </c>
      <c r="E307" s="57">
        <v>1456</v>
      </c>
      <c r="F307" s="71" t="s">
        <v>297</v>
      </c>
      <c r="G307" s="61">
        <v>0</v>
      </c>
      <c r="H307" s="70">
        <f t="shared" si="4"/>
        <v>0</v>
      </c>
      <c r="I307" s="11">
        <v>46071</v>
      </c>
      <c r="J307" s="11">
        <v>46070</v>
      </c>
      <c r="K307" s="8"/>
    </row>
    <row r="308" spans="1:11" ht="18" x14ac:dyDescent="0.4">
      <c r="A308" s="7" t="s">
        <v>0</v>
      </c>
      <c r="B308" s="81" t="s">
        <v>295</v>
      </c>
      <c r="C308" s="60">
        <v>51620</v>
      </c>
      <c r="D308" s="70">
        <v>552527090</v>
      </c>
      <c r="E308" s="57">
        <v>840</v>
      </c>
      <c r="F308" s="71" t="s">
        <v>298</v>
      </c>
      <c r="G308" s="61">
        <v>0</v>
      </c>
      <c r="H308" s="70">
        <f t="shared" si="4"/>
        <v>0</v>
      </c>
      <c r="I308" s="11">
        <v>46071</v>
      </c>
      <c r="J308" s="11">
        <v>46070</v>
      </c>
      <c r="K308" s="8"/>
    </row>
    <row r="309" spans="1:11" ht="18" x14ac:dyDescent="0.4">
      <c r="A309" s="7" t="s">
        <v>0</v>
      </c>
      <c r="B309" s="81" t="s">
        <v>295</v>
      </c>
      <c r="C309" s="60">
        <v>51620</v>
      </c>
      <c r="D309" s="70">
        <v>552718660</v>
      </c>
      <c r="E309" s="57">
        <v>840</v>
      </c>
      <c r="F309" s="71" t="s">
        <v>296</v>
      </c>
      <c r="G309" s="61">
        <v>0</v>
      </c>
      <c r="H309" s="70">
        <f t="shared" si="4"/>
        <v>0</v>
      </c>
      <c r="I309" s="11">
        <v>46071</v>
      </c>
      <c r="J309" s="11">
        <v>46070</v>
      </c>
      <c r="K309" s="13"/>
    </row>
    <row r="310" spans="1:11" ht="18" x14ac:dyDescent="0.4">
      <c r="A310" s="7" t="s">
        <v>0</v>
      </c>
      <c r="B310" s="81" t="s">
        <v>295</v>
      </c>
      <c r="C310" s="60">
        <v>51620</v>
      </c>
      <c r="D310" s="70">
        <v>552720150</v>
      </c>
      <c r="E310" s="57">
        <v>1440</v>
      </c>
      <c r="F310" s="71" t="s">
        <v>297</v>
      </c>
      <c r="G310" s="61">
        <v>0</v>
      </c>
      <c r="H310" s="70">
        <f t="shared" si="4"/>
        <v>0</v>
      </c>
      <c r="I310" s="11">
        <v>46071</v>
      </c>
      <c r="J310" s="11">
        <v>46070</v>
      </c>
      <c r="K310" s="8"/>
    </row>
    <row r="311" spans="1:11" ht="18" x14ac:dyDescent="0.4">
      <c r="A311" s="7" t="s">
        <v>0</v>
      </c>
      <c r="B311" s="81" t="s">
        <v>295</v>
      </c>
      <c r="C311" s="60">
        <v>51620</v>
      </c>
      <c r="D311" s="70">
        <v>552720240</v>
      </c>
      <c r="E311" s="57">
        <v>840</v>
      </c>
      <c r="F311" s="71" t="s">
        <v>298</v>
      </c>
      <c r="G311" s="61">
        <v>0</v>
      </c>
      <c r="H311" s="70">
        <f t="shared" si="4"/>
        <v>0</v>
      </c>
      <c r="I311" s="11">
        <v>46071</v>
      </c>
      <c r="J311" s="11">
        <v>46070</v>
      </c>
      <c r="K311" s="13"/>
    </row>
    <row r="312" spans="1:11" ht="18" x14ac:dyDescent="0.4">
      <c r="A312" s="7" t="s">
        <v>0</v>
      </c>
      <c r="B312" s="81" t="s">
        <v>295</v>
      </c>
      <c r="C312" s="60">
        <v>51620</v>
      </c>
      <c r="D312" s="70">
        <v>552527390</v>
      </c>
      <c r="E312" s="57">
        <v>840</v>
      </c>
      <c r="F312" s="71" t="s">
        <v>296</v>
      </c>
      <c r="G312" s="61">
        <v>0</v>
      </c>
      <c r="H312" s="70">
        <f t="shared" si="4"/>
        <v>0</v>
      </c>
      <c r="I312" s="11">
        <v>46071</v>
      </c>
      <c r="J312" s="11">
        <v>46070</v>
      </c>
      <c r="K312" s="13"/>
    </row>
    <row r="313" spans="1:11" ht="18" x14ac:dyDescent="0.4">
      <c r="A313" s="7" t="s">
        <v>0</v>
      </c>
      <c r="B313" s="81" t="s">
        <v>295</v>
      </c>
      <c r="C313" s="60">
        <v>51620</v>
      </c>
      <c r="D313" s="70">
        <v>552527680</v>
      </c>
      <c r="E313" s="57">
        <v>1440</v>
      </c>
      <c r="F313" s="71" t="s">
        <v>297</v>
      </c>
      <c r="G313" s="61">
        <v>0</v>
      </c>
      <c r="H313" s="70">
        <f t="shared" si="4"/>
        <v>0</v>
      </c>
      <c r="I313" s="11">
        <v>46071</v>
      </c>
      <c r="J313" s="11">
        <v>46070</v>
      </c>
      <c r="K313" s="8"/>
    </row>
    <row r="314" spans="1:11" ht="18" x14ac:dyDescent="0.4">
      <c r="A314" s="7" t="s">
        <v>0</v>
      </c>
      <c r="B314" s="81" t="s">
        <v>295</v>
      </c>
      <c r="C314" s="60">
        <v>51620</v>
      </c>
      <c r="D314" s="70">
        <v>552527760</v>
      </c>
      <c r="E314" s="57">
        <v>840</v>
      </c>
      <c r="F314" s="71" t="s">
        <v>298</v>
      </c>
      <c r="G314" s="61">
        <v>0</v>
      </c>
      <c r="H314" s="70">
        <f t="shared" si="4"/>
        <v>0</v>
      </c>
      <c r="I314" s="11">
        <v>46071</v>
      </c>
      <c r="J314" s="11">
        <v>46070</v>
      </c>
      <c r="K314" s="13"/>
    </row>
    <row r="315" spans="1:11" ht="18" x14ac:dyDescent="0.4">
      <c r="A315" s="7" t="s">
        <v>0</v>
      </c>
      <c r="B315" s="81" t="s">
        <v>299</v>
      </c>
      <c r="C315" s="60">
        <v>51658</v>
      </c>
      <c r="D315" s="70">
        <v>552804260</v>
      </c>
      <c r="E315" s="57">
        <v>2000</v>
      </c>
      <c r="F315" s="71" t="s">
        <v>300</v>
      </c>
      <c r="G315" s="61">
        <v>0</v>
      </c>
      <c r="H315" s="70">
        <f t="shared" si="4"/>
        <v>0</v>
      </c>
      <c r="I315" s="11">
        <v>46071</v>
      </c>
      <c r="J315" s="11">
        <v>46070</v>
      </c>
      <c r="K315" s="13"/>
    </row>
    <row r="316" spans="1:11" ht="18" x14ac:dyDescent="0.4">
      <c r="A316" s="7" t="s">
        <v>0</v>
      </c>
      <c r="B316" s="81" t="s">
        <v>299</v>
      </c>
      <c r="C316" s="60">
        <v>51658</v>
      </c>
      <c r="D316" s="70">
        <v>552804270</v>
      </c>
      <c r="E316" s="57">
        <v>15000</v>
      </c>
      <c r="F316" s="71" t="s">
        <v>301</v>
      </c>
      <c r="G316" s="61">
        <v>0</v>
      </c>
      <c r="H316" s="70">
        <f t="shared" si="4"/>
        <v>0</v>
      </c>
      <c r="I316" s="11">
        <v>46071</v>
      </c>
      <c r="J316" s="11">
        <v>46070</v>
      </c>
      <c r="K316" s="13"/>
    </row>
    <row r="317" spans="1:11" ht="18" x14ac:dyDescent="0.4">
      <c r="A317" s="7" t="s">
        <v>0</v>
      </c>
      <c r="B317" s="81" t="s">
        <v>299</v>
      </c>
      <c r="C317" s="60">
        <v>51658</v>
      </c>
      <c r="D317" s="70">
        <v>552804280</v>
      </c>
      <c r="E317" s="57">
        <v>2000</v>
      </c>
      <c r="F317" s="71" t="s">
        <v>302</v>
      </c>
      <c r="G317" s="61">
        <v>0</v>
      </c>
      <c r="H317" s="70">
        <f t="shared" si="4"/>
        <v>0</v>
      </c>
      <c r="I317" s="11">
        <v>46071</v>
      </c>
      <c r="J317" s="11">
        <v>46070</v>
      </c>
      <c r="K317" s="13"/>
    </row>
    <row r="318" spans="1:11" ht="18" x14ac:dyDescent="0.4">
      <c r="A318" s="7" t="s">
        <v>0</v>
      </c>
      <c r="B318" s="81" t="s">
        <v>299</v>
      </c>
      <c r="C318" s="60">
        <v>51658</v>
      </c>
      <c r="D318" s="70">
        <v>552804320</v>
      </c>
      <c r="E318" s="57">
        <v>840</v>
      </c>
      <c r="F318" s="71" t="s">
        <v>303</v>
      </c>
      <c r="G318" s="61">
        <v>0</v>
      </c>
      <c r="H318" s="70">
        <f t="shared" si="4"/>
        <v>0</v>
      </c>
      <c r="I318" s="11">
        <v>46071</v>
      </c>
      <c r="J318" s="11">
        <v>46070</v>
      </c>
      <c r="K318" s="13"/>
    </row>
    <row r="319" spans="1:11" ht="18" x14ac:dyDescent="0.4">
      <c r="A319" s="7" t="s">
        <v>0</v>
      </c>
      <c r="B319" s="81" t="s">
        <v>299</v>
      </c>
      <c r="C319" s="60">
        <v>51658</v>
      </c>
      <c r="D319" s="70">
        <v>552804330</v>
      </c>
      <c r="E319" s="57">
        <v>2400</v>
      </c>
      <c r="F319" s="71" t="s">
        <v>304</v>
      </c>
      <c r="G319" s="61">
        <v>0</v>
      </c>
      <c r="H319" s="70">
        <f t="shared" si="4"/>
        <v>0</v>
      </c>
      <c r="I319" s="11">
        <v>46071</v>
      </c>
      <c r="J319" s="11">
        <v>46070</v>
      </c>
      <c r="K319" s="13"/>
    </row>
    <row r="320" spans="1:11" ht="18" x14ac:dyDescent="0.4">
      <c r="A320" s="7" t="s">
        <v>0</v>
      </c>
      <c r="B320" s="81" t="s">
        <v>299</v>
      </c>
      <c r="C320" s="60">
        <v>51658</v>
      </c>
      <c r="D320" s="70">
        <v>552804340</v>
      </c>
      <c r="E320" s="57">
        <v>960</v>
      </c>
      <c r="F320" s="71" t="s">
        <v>305</v>
      </c>
      <c r="G320" s="61">
        <v>0</v>
      </c>
      <c r="H320" s="70">
        <f t="shared" si="4"/>
        <v>0</v>
      </c>
      <c r="I320" s="11">
        <v>46071</v>
      </c>
      <c r="J320" s="11">
        <v>46070</v>
      </c>
      <c r="K320" s="13"/>
    </row>
    <row r="321" spans="1:11" ht="18" x14ac:dyDescent="0.4">
      <c r="A321" s="7" t="s">
        <v>0</v>
      </c>
      <c r="B321" s="81" t="s">
        <v>299</v>
      </c>
      <c r="C321" s="60">
        <v>51658</v>
      </c>
      <c r="D321" s="70">
        <v>552105070</v>
      </c>
      <c r="E321" s="57">
        <v>1488</v>
      </c>
      <c r="F321" s="71" t="s">
        <v>306</v>
      </c>
      <c r="G321" s="61">
        <v>0</v>
      </c>
      <c r="H321" s="70">
        <f t="shared" si="4"/>
        <v>0</v>
      </c>
      <c r="I321" s="11">
        <v>46071</v>
      </c>
      <c r="J321" s="11">
        <v>46070</v>
      </c>
      <c r="K321" s="13"/>
    </row>
    <row r="322" spans="1:11" ht="18" x14ac:dyDescent="0.4">
      <c r="A322" s="7" t="s">
        <v>0</v>
      </c>
      <c r="B322" s="81" t="s">
        <v>299</v>
      </c>
      <c r="C322" s="60">
        <v>51658</v>
      </c>
      <c r="D322" s="70">
        <v>552105090</v>
      </c>
      <c r="E322" s="57">
        <v>14880</v>
      </c>
      <c r="F322" s="71" t="s">
        <v>307</v>
      </c>
      <c r="G322" s="61">
        <v>0</v>
      </c>
      <c r="H322" s="70">
        <f t="shared" si="4"/>
        <v>0</v>
      </c>
      <c r="I322" s="11">
        <v>46071</v>
      </c>
      <c r="J322" s="11">
        <v>46070</v>
      </c>
      <c r="K322" s="13"/>
    </row>
    <row r="323" spans="1:11" ht="18" x14ac:dyDescent="0.4">
      <c r="A323" s="7" t="s">
        <v>0</v>
      </c>
      <c r="B323" s="81" t="s">
        <v>299</v>
      </c>
      <c r="C323" s="60">
        <v>51658</v>
      </c>
      <c r="D323" s="70">
        <v>552105110</v>
      </c>
      <c r="E323" s="57">
        <v>1488</v>
      </c>
      <c r="F323" s="71" t="s">
        <v>308</v>
      </c>
      <c r="G323" s="61">
        <v>0</v>
      </c>
      <c r="H323" s="70">
        <f t="shared" si="4"/>
        <v>0</v>
      </c>
      <c r="I323" s="11">
        <v>46071</v>
      </c>
      <c r="J323" s="11">
        <v>46070</v>
      </c>
      <c r="K323" s="13"/>
    </row>
    <row r="324" spans="1:11" ht="18" x14ac:dyDescent="0.4">
      <c r="A324" s="7" t="s">
        <v>0</v>
      </c>
      <c r="B324" s="81" t="s">
        <v>299</v>
      </c>
      <c r="C324" s="60">
        <v>51658</v>
      </c>
      <c r="D324" s="70">
        <v>552107380</v>
      </c>
      <c r="E324" s="57">
        <v>1536</v>
      </c>
      <c r="F324" s="71" t="s">
        <v>306</v>
      </c>
      <c r="G324" s="61">
        <v>0</v>
      </c>
      <c r="H324" s="70">
        <f t="shared" si="4"/>
        <v>0</v>
      </c>
      <c r="I324" s="11">
        <v>46071</v>
      </c>
      <c r="J324" s="11">
        <v>46070</v>
      </c>
      <c r="K324" s="13"/>
    </row>
    <row r="325" spans="1:11" ht="18" x14ac:dyDescent="0.4">
      <c r="A325" s="7" t="s">
        <v>0</v>
      </c>
      <c r="B325" s="81" t="s">
        <v>299</v>
      </c>
      <c r="C325" s="60">
        <v>51658</v>
      </c>
      <c r="D325" s="70">
        <v>552107390</v>
      </c>
      <c r="E325" s="57">
        <v>15360</v>
      </c>
      <c r="F325" s="71" t="s">
        <v>307</v>
      </c>
      <c r="G325" s="61">
        <v>0</v>
      </c>
      <c r="H325" s="70">
        <f t="shared" si="4"/>
        <v>0</v>
      </c>
      <c r="I325" s="11">
        <v>46071</v>
      </c>
      <c r="J325" s="11">
        <v>46070</v>
      </c>
      <c r="K325" s="13"/>
    </row>
    <row r="326" spans="1:11" ht="18" x14ac:dyDescent="0.4">
      <c r="A326" s="7" t="s">
        <v>0</v>
      </c>
      <c r="B326" s="81" t="s">
        <v>299</v>
      </c>
      <c r="C326" s="60">
        <v>51658</v>
      </c>
      <c r="D326" s="70">
        <v>552107400</v>
      </c>
      <c r="E326" s="57">
        <v>1536</v>
      </c>
      <c r="F326" s="71" t="s">
        <v>308</v>
      </c>
      <c r="G326" s="61">
        <v>0</v>
      </c>
      <c r="H326" s="70">
        <f t="shared" si="4"/>
        <v>0</v>
      </c>
      <c r="I326" s="11">
        <v>46071</v>
      </c>
      <c r="J326" s="11">
        <v>46070</v>
      </c>
      <c r="K326" s="13"/>
    </row>
    <row r="327" spans="1:11" ht="18" x14ac:dyDescent="0.4">
      <c r="A327" s="7" t="s">
        <v>0</v>
      </c>
      <c r="B327" s="81" t="s">
        <v>309</v>
      </c>
      <c r="C327" s="60">
        <v>21570</v>
      </c>
      <c r="D327" s="70">
        <v>463363330</v>
      </c>
      <c r="E327" s="57">
        <v>28000</v>
      </c>
      <c r="F327" s="71" t="s">
        <v>310</v>
      </c>
      <c r="G327" s="61">
        <v>0</v>
      </c>
      <c r="H327" s="70">
        <f t="shared" si="4"/>
        <v>0</v>
      </c>
      <c r="I327" s="11">
        <v>46071</v>
      </c>
      <c r="J327" s="11">
        <v>46070</v>
      </c>
      <c r="K327" s="13"/>
    </row>
    <row r="328" spans="1:11" ht="18" x14ac:dyDescent="0.4">
      <c r="A328" s="7" t="s">
        <v>0</v>
      </c>
      <c r="B328" s="81" t="s">
        <v>311</v>
      </c>
      <c r="C328" s="60">
        <v>40840</v>
      </c>
      <c r="D328" s="70">
        <v>187521210</v>
      </c>
      <c r="E328" s="57">
        <v>900</v>
      </c>
      <c r="F328" s="71" t="s">
        <v>312</v>
      </c>
      <c r="G328" s="61">
        <v>0</v>
      </c>
      <c r="H328" s="70">
        <f t="shared" si="4"/>
        <v>0</v>
      </c>
      <c r="I328" s="11">
        <v>46071</v>
      </c>
      <c r="J328" s="11">
        <v>46070</v>
      </c>
      <c r="K328" s="13"/>
    </row>
    <row r="329" spans="1:11" ht="18" x14ac:dyDescent="0.4">
      <c r="A329" s="7" t="s">
        <v>0</v>
      </c>
      <c r="B329" s="81" t="s">
        <v>311</v>
      </c>
      <c r="C329" s="60">
        <v>40840</v>
      </c>
      <c r="D329" s="70">
        <v>162891240</v>
      </c>
      <c r="E329" s="57">
        <v>100</v>
      </c>
      <c r="F329" s="71" t="s">
        <v>313</v>
      </c>
      <c r="G329" s="61">
        <v>0</v>
      </c>
      <c r="H329" s="70">
        <f t="shared" si="4"/>
        <v>0</v>
      </c>
      <c r="I329" s="11">
        <v>46071</v>
      </c>
      <c r="J329" s="11">
        <v>46070</v>
      </c>
      <c r="K329" s="13"/>
    </row>
    <row r="330" spans="1:11" ht="18" x14ac:dyDescent="0.4">
      <c r="A330" s="7" t="s">
        <v>0</v>
      </c>
      <c r="B330" s="81" t="s">
        <v>311</v>
      </c>
      <c r="C330" s="60">
        <v>40840</v>
      </c>
      <c r="D330" s="70">
        <v>463447260</v>
      </c>
      <c r="E330" s="57">
        <v>100</v>
      </c>
      <c r="F330" s="71" t="s">
        <v>313</v>
      </c>
      <c r="G330" s="61">
        <v>0</v>
      </c>
      <c r="H330" s="70">
        <f t="shared" si="4"/>
        <v>0</v>
      </c>
      <c r="I330" s="11">
        <v>46071</v>
      </c>
      <c r="J330" s="11">
        <v>46070</v>
      </c>
      <c r="K330" s="13"/>
    </row>
    <row r="331" spans="1:11" ht="18" x14ac:dyDescent="0.4">
      <c r="A331" s="7" t="s">
        <v>0</v>
      </c>
      <c r="B331" s="81" t="s">
        <v>311</v>
      </c>
      <c r="C331" s="60">
        <v>40840</v>
      </c>
      <c r="D331" s="70">
        <v>551877380</v>
      </c>
      <c r="E331" s="57">
        <v>150</v>
      </c>
      <c r="F331" s="71" t="s">
        <v>314</v>
      </c>
      <c r="G331" s="61">
        <v>0</v>
      </c>
      <c r="H331" s="70">
        <f t="shared" si="4"/>
        <v>0</v>
      </c>
      <c r="I331" s="11">
        <v>46071</v>
      </c>
      <c r="J331" s="11">
        <v>46070</v>
      </c>
      <c r="K331" s="13"/>
    </row>
    <row r="332" spans="1:11" ht="18" x14ac:dyDescent="0.4">
      <c r="A332" s="7" t="s">
        <v>0</v>
      </c>
      <c r="B332" s="81" t="s">
        <v>311</v>
      </c>
      <c r="C332" s="60">
        <v>40840</v>
      </c>
      <c r="D332" s="70">
        <v>552650820</v>
      </c>
      <c r="E332" s="57">
        <v>300</v>
      </c>
      <c r="F332" s="71" t="s">
        <v>315</v>
      </c>
      <c r="G332" s="61">
        <v>0</v>
      </c>
      <c r="H332" s="70">
        <f t="shared" si="4"/>
        <v>0</v>
      </c>
      <c r="I332" s="11">
        <v>46071</v>
      </c>
      <c r="J332" s="11">
        <v>46070</v>
      </c>
      <c r="K332" s="13"/>
    </row>
    <row r="333" spans="1:11" ht="18" x14ac:dyDescent="0.4">
      <c r="A333" s="7" t="s">
        <v>0</v>
      </c>
      <c r="B333" s="81" t="s">
        <v>316</v>
      </c>
      <c r="C333" s="57">
        <v>30467</v>
      </c>
      <c r="D333" s="70">
        <v>140593110</v>
      </c>
      <c r="E333" s="57">
        <v>1200</v>
      </c>
      <c r="F333" s="71" t="s">
        <v>317</v>
      </c>
      <c r="G333" s="61">
        <v>0</v>
      </c>
      <c r="H333" s="70">
        <f t="shared" si="4"/>
        <v>0</v>
      </c>
      <c r="I333" s="11">
        <v>46071</v>
      </c>
      <c r="J333" s="11">
        <v>46070</v>
      </c>
      <c r="K333" s="13"/>
    </row>
    <row r="334" spans="1:11" ht="18" x14ac:dyDescent="0.4">
      <c r="A334" s="7" t="s">
        <v>0</v>
      </c>
      <c r="B334" s="81" t="s">
        <v>316</v>
      </c>
      <c r="C334" s="57">
        <v>30467</v>
      </c>
      <c r="D334" s="70">
        <v>140594210</v>
      </c>
      <c r="E334" s="57">
        <v>800</v>
      </c>
      <c r="F334" s="71" t="s">
        <v>318</v>
      </c>
      <c r="G334" s="61">
        <v>0</v>
      </c>
      <c r="H334" s="70">
        <f t="shared" si="4"/>
        <v>0</v>
      </c>
      <c r="I334" s="11">
        <v>46071</v>
      </c>
      <c r="J334" s="11">
        <v>46070</v>
      </c>
      <c r="K334" s="13"/>
    </row>
    <row r="335" spans="1:11" ht="18" x14ac:dyDescent="0.4">
      <c r="A335" s="7" t="s">
        <v>0</v>
      </c>
      <c r="B335" s="81" t="s">
        <v>316</v>
      </c>
      <c r="C335" s="57">
        <v>30467</v>
      </c>
      <c r="D335" s="70">
        <v>517309140</v>
      </c>
      <c r="E335" s="57">
        <v>2500</v>
      </c>
      <c r="F335" s="71" t="s">
        <v>319</v>
      </c>
      <c r="G335" s="61">
        <v>0</v>
      </c>
      <c r="H335" s="70">
        <f t="shared" si="4"/>
        <v>0</v>
      </c>
      <c r="I335" s="11">
        <v>46071</v>
      </c>
      <c r="J335" s="11">
        <v>46070</v>
      </c>
      <c r="K335" s="13"/>
    </row>
    <row r="336" spans="1:11" ht="18" x14ac:dyDescent="0.4">
      <c r="A336" s="7" t="s">
        <v>0</v>
      </c>
      <c r="B336" s="60" t="s">
        <v>320</v>
      </c>
      <c r="C336" s="57">
        <v>19414</v>
      </c>
      <c r="D336" s="70">
        <v>77463090</v>
      </c>
      <c r="E336" s="57">
        <v>430</v>
      </c>
      <c r="F336" s="71" t="s">
        <v>321</v>
      </c>
      <c r="G336" s="61">
        <v>0</v>
      </c>
      <c r="H336" s="70">
        <f t="shared" si="4"/>
        <v>0</v>
      </c>
      <c r="I336" s="11">
        <v>46071</v>
      </c>
      <c r="J336" s="11">
        <v>46070</v>
      </c>
      <c r="K336" s="13"/>
    </row>
    <row r="337" spans="1:11" ht="18" x14ac:dyDescent="0.4">
      <c r="A337" s="7" t="s">
        <v>0</v>
      </c>
      <c r="B337" s="81" t="s">
        <v>320</v>
      </c>
      <c r="C337" s="57">
        <v>19414</v>
      </c>
      <c r="D337" s="70">
        <v>115864240</v>
      </c>
      <c r="E337" s="57">
        <v>300</v>
      </c>
      <c r="F337" s="71" t="s">
        <v>322</v>
      </c>
      <c r="G337" s="61">
        <v>0</v>
      </c>
      <c r="H337" s="70">
        <f t="shared" si="4"/>
        <v>0</v>
      </c>
      <c r="I337" s="11">
        <v>46071</v>
      </c>
      <c r="J337" s="11">
        <v>46070</v>
      </c>
      <c r="K337" s="13"/>
    </row>
    <row r="338" spans="1:11" ht="18" x14ac:dyDescent="0.4">
      <c r="A338" s="7" t="s">
        <v>0</v>
      </c>
      <c r="B338" s="81" t="s">
        <v>320</v>
      </c>
      <c r="C338" s="57">
        <v>19414</v>
      </c>
      <c r="D338" s="70">
        <v>143083240</v>
      </c>
      <c r="E338" s="57">
        <v>260</v>
      </c>
      <c r="F338" s="71" t="s">
        <v>323</v>
      </c>
      <c r="G338" s="61">
        <v>0</v>
      </c>
      <c r="H338" s="70">
        <f t="shared" si="4"/>
        <v>0</v>
      </c>
      <c r="I338" s="11">
        <v>46071</v>
      </c>
      <c r="J338" s="11">
        <v>46070</v>
      </c>
      <c r="K338" s="13"/>
    </row>
    <row r="339" spans="1:11" ht="18" x14ac:dyDescent="0.4">
      <c r="A339" s="7" t="s">
        <v>0</v>
      </c>
      <c r="B339" s="81" t="s">
        <v>320</v>
      </c>
      <c r="C339" s="57">
        <v>19414</v>
      </c>
      <c r="D339" s="70">
        <v>143085240</v>
      </c>
      <c r="E339" s="57">
        <v>210</v>
      </c>
      <c r="F339" s="71" t="s">
        <v>324</v>
      </c>
      <c r="G339" s="61">
        <v>0</v>
      </c>
      <c r="H339" s="70">
        <f t="shared" si="4"/>
        <v>0</v>
      </c>
      <c r="I339" s="11">
        <v>46071</v>
      </c>
      <c r="J339" s="11">
        <v>46070</v>
      </c>
      <c r="K339" s="13"/>
    </row>
    <row r="340" spans="1:11" ht="18" x14ac:dyDescent="0.4">
      <c r="A340" s="7" t="s">
        <v>0</v>
      </c>
      <c r="B340" s="81" t="s">
        <v>320</v>
      </c>
      <c r="C340" s="57">
        <v>19414</v>
      </c>
      <c r="D340" s="70">
        <v>116127240</v>
      </c>
      <c r="E340" s="57">
        <v>2000</v>
      </c>
      <c r="F340" s="71" t="s">
        <v>325</v>
      </c>
      <c r="G340" s="61">
        <v>0</v>
      </c>
      <c r="H340" s="70">
        <f t="shared" si="4"/>
        <v>0</v>
      </c>
      <c r="I340" s="11">
        <v>46071</v>
      </c>
      <c r="J340" s="11">
        <v>46070</v>
      </c>
      <c r="K340" s="13"/>
    </row>
    <row r="341" spans="1:11" ht="18" x14ac:dyDescent="0.4">
      <c r="A341" s="7" t="s">
        <v>0</v>
      </c>
      <c r="B341" s="81" t="s">
        <v>320</v>
      </c>
      <c r="C341" s="57">
        <v>19414</v>
      </c>
      <c r="D341" s="70">
        <v>116131240</v>
      </c>
      <c r="E341" s="57">
        <v>1500</v>
      </c>
      <c r="F341" s="71" t="s">
        <v>326</v>
      </c>
      <c r="G341" s="61">
        <v>0</v>
      </c>
      <c r="H341" s="70">
        <f t="shared" si="4"/>
        <v>0</v>
      </c>
      <c r="I341" s="11">
        <v>46071</v>
      </c>
      <c r="J341" s="11">
        <v>46070</v>
      </c>
      <c r="K341" s="13"/>
    </row>
    <row r="342" spans="1:11" ht="18" x14ac:dyDescent="0.4">
      <c r="A342" s="7" t="s">
        <v>0</v>
      </c>
      <c r="B342" s="81" t="s">
        <v>320</v>
      </c>
      <c r="C342" s="57">
        <v>19414</v>
      </c>
      <c r="D342" s="70">
        <v>117340240</v>
      </c>
      <c r="E342" s="57">
        <v>300</v>
      </c>
      <c r="F342" s="71" t="s">
        <v>327</v>
      </c>
      <c r="G342" s="61">
        <v>0</v>
      </c>
      <c r="H342" s="70">
        <f t="shared" si="4"/>
        <v>0</v>
      </c>
      <c r="I342" s="11">
        <v>46071</v>
      </c>
      <c r="J342" s="11">
        <v>46070</v>
      </c>
      <c r="K342" s="13"/>
    </row>
    <row r="343" spans="1:11" ht="18" x14ac:dyDescent="0.4">
      <c r="A343" s="7" t="s">
        <v>0</v>
      </c>
      <c r="B343" s="81" t="s">
        <v>320</v>
      </c>
      <c r="C343" s="57">
        <v>19414</v>
      </c>
      <c r="D343" s="70">
        <v>160433240</v>
      </c>
      <c r="E343" s="57">
        <v>1000</v>
      </c>
      <c r="F343" s="71" t="s">
        <v>328</v>
      </c>
      <c r="G343" s="61">
        <v>0</v>
      </c>
      <c r="H343" s="70">
        <f t="shared" si="4"/>
        <v>0</v>
      </c>
      <c r="I343" s="11">
        <v>46071</v>
      </c>
      <c r="J343" s="11">
        <v>46070</v>
      </c>
      <c r="K343" s="13"/>
    </row>
    <row r="344" spans="1:11" ht="18" x14ac:dyDescent="0.4">
      <c r="A344" s="7" t="s">
        <v>0</v>
      </c>
      <c r="B344" s="81" t="s">
        <v>320</v>
      </c>
      <c r="C344" s="57">
        <v>19414</v>
      </c>
      <c r="D344" s="70">
        <v>162874240</v>
      </c>
      <c r="E344" s="57">
        <v>500</v>
      </c>
      <c r="F344" s="71" t="s">
        <v>329</v>
      </c>
      <c r="G344" s="61">
        <v>0</v>
      </c>
      <c r="H344" s="70">
        <f t="shared" si="4"/>
        <v>0</v>
      </c>
      <c r="I344" s="11">
        <v>46071</v>
      </c>
      <c r="J344" s="11">
        <v>46070</v>
      </c>
      <c r="K344" s="13"/>
    </row>
    <row r="345" spans="1:11" ht="18" x14ac:dyDescent="0.4">
      <c r="A345" s="7" t="s">
        <v>0</v>
      </c>
      <c r="B345" s="81" t="s">
        <v>320</v>
      </c>
      <c r="C345" s="57">
        <v>19414</v>
      </c>
      <c r="D345" s="70">
        <v>162883240</v>
      </c>
      <c r="E345" s="57">
        <v>500</v>
      </c>
      <c r="F345" s="71" t="s">
        <v>330</v>
      </c>
      <c r="G345" s="61">
        <v>0</v>
      </c>
      <c r="H345" s="70">
        <f t="shared" si="4"/>
        <v>0</v>
      </c>
      <c r="I345" s="11">
        <v>46071</v>
      </c>
      <c r="J345" s="11">
        <v>46070</v>
      </c>
      <c r="K345" s="13"/>
    </row>
    <row r="346" spans="1:11" ht="18" x14ac:dyDescent="0.4">
      <c r="A346" s="7" t="s">
        <v>0</v>
      </c>
      <c r="B346" s="81" t="s">
        <v>320</v>
      </c>
      <c r="C346" s="57">
        <v>19414</v>
      </c>
      <c r="D346" s="70">
        <v>187517240</v>
      </c>
      <c r="E346" s="57">
        <v>1200</v>
      </c>
      <c r="F346" s="71" t="s">
        <v>331</v>
      </c>
      <c r="G346" s="61">
        <v>0</v>
      </c>
      <c r="H346" s="70">
        <f t="shared" si="4"/>
        <v>0</v>
      </c>
      <c r="I346" s="11">
        <v>46071</v>
      </c>
      <c r="J346" s="11">
        <v>46070</v>
      </c>
      <c r="K346" s="13"/>
    </row>
    <row r="347" spans="1:11" ht="18" x14ac:dyDescent="0.4">
      <c r="A347" s="7" t="s">
        <v>0</v>
      </c>
      <c r="B347" s="81" t="s">
        <v>320</v>
      </c>
      <c r="C347" s="57">
        <v>19414</v>
      </c>
      <c r="D347" s="70">
        <v>465484560</v>
      </c>
      <c r="E347" s="57">
        <v>700</v>
      </c>
      <c r="F347" s="71" t="s">
        <v>185</v>
      </c>
      <c r="G347" s="61">
        <v>0</v>
      </c>
      <c r="H347" s="70">
        <f t="shared" si="4"/>
        <v>0</v>
      </c>
      <c r="I347" s="11">
        <v>46071</v>
      </c>
      <c r="J347" s="11">
        <v>46070</v>
      </c>
      <c r="K347" s="13"/>
    </row>
    <row r="348" spans="1:11" ht="18" x14ac:dyDescent="0.4">
      <c r="A348" s="7" t="s">
        <v>0</v>
      </c>
      <c r="B348" s="81" t="s">
        <v>320</v>
      </c>
      <c r="C348" s="57">
        <v>19414</v>
      </c>
      <c r="D348" s="70">
        <v>465484570</v>
      </c>
      <c r="E348" s="57">
        <v>400</v>
      </c>
      <c r="F348" s="71" t="s">
        <v>185</v>
      </c>
      <c r="G348" s="61">
        <v>0</v>
      </c>
      <c r="H348" s="70">
        <f t="shared" si="4"/>
        <v>0</v>
      </c>
      <c r="I348" s="11">
        <v>46071</v>
      </c>
      <c r="J348" s="11">
        <v>46070</v>
      </c>
      <c r="K348" s="13"/>
    </row>
    <row r="349" spans="1:11" ht="18" x14ac:dyDescent="0.4">
      <c r="A349" s="7" t="s">
        <v>0</v>
      </c>
      <c r="B349" s="81" t="s">
        <v>320</v>
      </c>
      <c r="C349" s="57">
        <v>19414</v>
      </c>
      <c r="D349" s="70">
        <v>552607160</v>
      </c>
      <c r="E349" s="57">
        <v>800</v>
      </c>
      <c r="F349" s="71" t="s">
        <v>332</v>
      </c>
      <c r="G349" s="61">
        <v>0</v>
      </c>
      <c r="H349" s="70">
        <f t="shared" si="4"/>
        <v>0</v>
      </c>
      <c r="I349" s="11">
        <v>46071</v>
      </c>
      <c r="J349" s="11">
        <v>46070</v>
      </c>
      <c r="K349" s="13"/>
    </row>
    <row r="350" spans="1:11" ht="18" x14ac:dyDescent="0.4">
      <c r="A350" s="7" t="s">
        <v>0</v>
      </c>
      <c r="B350" s="81" t="s">
        <v>320</v>
      </c>
      <c r="C350" s="57">
        <v>19414</v>
      </c>
      <c r="D350" s="70">
        <v>162860240</v>
      </c>
      <c r="E350" s="57">
        <v>1800</v>
      </c>
      <c r="F350" s="71" t="s">
        <v>315</v>
      </c>
      <c r="G350" s="61">
        <v>0</v>
      </c>
      <c r="H350" s="70">
        <f t="shared" si="4"/>
        <v>0</v>
      </c>
      <c r="I350" s="11">
        <v>46071</v>
      </c>
      <c r="J350" s="11">
        <v>46070</v>
      </c>
      <c r="K350" s="13"/>
    </row>
    <row r="351" spans="1:11" ht="18" x14ac:dyDescent="0.4">
      <c r="A351" s="7" t="s">
        <v>0</v>
      </c>
      <c r="B351" s="81" t="s">
        <v>320</v>
      </c>
      <c r="C351" s="57">
        <v>19414</v>
      </c>
      <c r="D351" s="70">
        <v>187505240</v>
      </c>
      <c r="E351" s="57">
        <v>1000</v>
      </c>
      <c r="F351" s="71" t="s">
        <v>333</v>
      </c>
      <c r="G351" s="61">
        <v>0</v>
      </c>
      <c r="H351" s="70">
        <f t="shared" si="4"/>
        <v>0</v>
      </c>
      <c r="I351" s="11">
        <v>46071</v>
      </c>
      <c r="J351" s="11">
        <v>46070</v>
      </c>
      <c r="K351" s="13"/>
    </row>
    <row r="352" spans="1:11" ht="18" x14ac:dyDescent="0.4">
      <c r="A352" s="7" t="s">
        <v>0</v>
      </c>
      <c r="B352" s="81" t="s">
        <v>320</v>
      </c>
      <c r="C352" s="57">
        <v>19414</v>
      </c>
      <c r="D352" s="70">
        <v>187524240</v>
      </c>
      <c r="E352" s="57">
        <v>800</v>
      </c>
      <c r="F352" s="71" t="s">
        <v>334</v>
      </c>
      <c r="G352" s="61">
        <v>0</v>
      </c>
      <c r="H352" s="70">
        <f t="shared" ref="H352:H415" si="5">+G352/E352</f>
        <v>0</v>
      </c>
      <c r="I352" s="11">
        <v>46071</v>
      </c>
      <c r="J352" s="11">
        <v>46070</v>
      </c>
      <c r="K352" s="13"/>
    </row>
    <row r="353" spans="1:11" ht="18" x14ac:dyDescent="0.4">
      <c r="A353" s="7" t="s">
        <v>0</v>
      </c>
      <c r="B353" s="81" t="s">
        <v>320</v>
      </c>
      <c r="C353" s="57">
        <v>19414</v>
      </c>
      <c r="D353" s="70">
        <v>551872090</v>
      </c>
      <c r="E353" s="57">
        <v>180</v>
      </c>
      <c r="F353" s="71" t="s">
        <v>335</v>
      </c>
      <c r="G353" s="61">
        <v>0</v>
      </c>
      <c r="H353" s="70">
        <f t="shared" si="5"/>
        <v>0</v>
      </c>
      <c r="I353" s="11">
        <v>46071</v>
      </c>
      <c r="J353" s="11">
        <v>46070</v>
      </c>
      <c r="K353" s="13"/>
    </row>
    <row r="354" spans="1:11" ht="18" x14ac:dyDescent="0.4">
      <c r="A354" s="7" t="s">
        <v>0</v>
      </c>
      <c r="B354" s="81" t="s">
        <v>320</v>
      </c>
      <c r="C354" s="57">
        <v>19414</v>
      </c>
      <c r="D354" s="70">
        <v>735012020</v>
      </c>
      <c r="E354" s="57">
        <v>220</v>
      </c>
      <c r="F354" s="71" t="s">
        <v>336</v>
      </c>
      <c r="G354" s="61">
        <v>0</v>
      </c>
      <c r="H354" s="70">
        <f t="shared" si="5"/>
        <v>0</v>
      </c>
      <c r="I354" s="11">
        <v>46071</v>
      </c>
      <c r="J354" s="11">
        <v>46070</v>
      </c>
      <c r="K354" s="13"/>
    </row>
    <row r="355" spans="1:11" ht="18" x14ac:dyDescent="0.4">
      <c r="A355" s="7" t="s">
        <v>0</v>
      </c>
      <c r="B355" s="81" t="s">
        <v>320</v>
      </c>
      <c r="C355" s="57">
        <v>19414</v>
      </c>
      <c r="D355" s="70">
        <v>735012040</v>
      </c>
      <c r="E355" s="57">
        <v>250</v>
      </c>
      <c r="F355" s="71" t="s">
        <v>337</v>
      </c>
      <c r="G355" s="61">
        <v>0</v>
      </c>
      <c r="H355" s="70">
        <f t="shared" si="5"/>
        <v>0</v>
      </c>
      <c r="I355" s="11">
        <v>46071</v>
      </c>
      <c r="J355" s="11">
        <v>46070</v>
      </c>
      <c r="K355" s="13"/>
    </row>
    <row r="356" spans="1:11" ht="18" x14ac:dyDescent="0.4">
      <c r="A356" s="7" t="s">
        <v>0</v>
      </c>
      <c r="B356" s="81" t="s">
        <v>320</v>
      </c>
      <c r="C356" s="57">
        <v>19414</v>
      </c>
      <c r="D356" s="70">
        <v>735012080</v>
      </c>
      <c r="E356" s="57">
        <v>600</v>
      </c>
      <c r="F356" s="71" t="s">
        <v>338</v>
      </c>
      <c r="G356" s="61">
        <v>0</v>
      </c>
      <c r="H356" s="70">
        <f t="shared" si="5"/>
        <v>0</v>
      </c>
      <c r="I356" s="11">
        <v>46071</v>
      </c>
      <c r="J356" s="11">
        <v>46070</v>
      </c>
      <c r="K356" s="13"/>
    </row>
    <row r="357" spans="1:11" ht="18" x14ac:dyDescent="0.4">
      <c r="A357" s="7" t="s">
        <v>0</v>
      </c>
      <c r="B357" s="81" t="s">
        <v>320</v>
      </c>
      <c r="C357" s="57">
        <v>19414</v>
      </c>
      <c r="D357" s="70">
        <v>135872210</v>
      </c>
      <c r="E357" s="57">
        <v>2800</v>
      </c>
      <c r="F357" s="71" t="s">
        <v>339</v>
      </c>
      <c r="G357" s="61">
        <v>0</v>
      </c>
      <c r="H357" s="70">
        <f t="shared" si="5"/>
        <v>0</v>
      </c>
      <c r="I357" s="11">
        <v>46071</v>
      </c>
      <c r="J357" s="11">
        <v>46070</v>
      </c>
      <c r="K357" s="13"/>
    </row>
    <row r="358" spans="1:11" ht="18" x14ac:dyDescent="0.4">
      <c r="A358" s="7" t="s">
        <v>0</v>
      </c>
      <c r="B358" s="81" t="s">
        <v>340</v>
      </c>
      <c r="C358" s="57">
        <v>27951</v>
      </c>
      <c r="D358" s="70">
        <v>162870240</v>
      </c>
      <c r="E358" s="57">
        <v>800</v>
      </c>
      <c r="F358" s="71" t="s">
        <v>341</v>
      </c>
      <c r="G358" s="61">
        <v>0</v>
      </c>
      <c r="H358" s="70">
        <f t="shared" si="5"/>
        <v>0</v>
      </c>
      <c r="I358" s="11">
        <v>46071</v>
      </c>
      <c r="J358" s="11">
        <v>46070</v>
      </c>
      <c r="K358" s="13"/>
    </row>
    <row r="359" spans="1:11" ht="18" x14ac:dyDescent="0.4">
      <c r="A359" s="7" t="s">
        <v>0</v>
      </c>
      <c r="B359" s="81" t="s">
        <v>340</v>
      </c>
      <c r="C359" s="57">
        <v>27951</v>
      </c>
      <c r="D359" s="70">
        <v>552581940</v>
      </c>
      <c r="E359" s="57">
        <v>800</v>
      </c>
      <c r="F359" s="71" t="s">
        <v>342</v>
      </c>
      <c r="G359" s="61">
        <v>0</v>
      </c>
      <c r="H359" s="70">
        <f t="shared" si="5"/>
        <v>0</v>
      </c>
      <c r="I359" s="11">
        <v>46071</v>
      </c>
      <c r="J359" s="11">
        <v>46070</v>
      </c>
      <c r="K359" s="13"/>
    </row>
    <row r="360" spans="1:11" ht="18" x14ac:dyDescent="0.4">
      <c r="A360" s="7" t="s">
        <v>0</v>
      </c>
      <c r="B360" s="81" t="s">
        <v>343</v>
      </c>
      <c r="C360" s="57">
        <v>10627</v>
      </c>
      <c r="D360" s="70">
        <v>116123240</v>
      </c>
      <c r="E360" s="57">
        <v>18000</v>
      </c>
      <c r="F360" s="71" t="s">
        <v>344</v>
      </c>
      <c r="G360" s="61">
        <v>0</v>
      </c>
      <c r="H360" s="70">
        <f t="shared" si="5"/>
        <v>0</v>
      </c>
      <c r="I360" s="11">
        <v>46071</v>
      </c>
      <c r="J360" s="11">
        <v>46070</v>
      </c>
      <c r="K360" s="13"/>
    </row>
    <row r="361" spans="1:11" ht="18" x14ac:dyDescent="0.4">
      <c r="A361" s="7" t="s">
        <v>0</v>
      </c>
      <c r="B361" s="81" t="s">
        <v>137</v>
      </c>
      <c r="C361" s="57">
        <v>36019</v>
      </c>
      <c r="D361" s="70">
        <v>130307240</v>
      </c>
      <c r="E361" s="57">
        <v>350</v>
      </c>
      <c r="F361" s="71" t="s">
        <v>345</v>
      </c>
      <c r="G361" s="61">
        <v>0</v>
      </c>
      <c r="H361" s="70">
        <f t="shared" si="5"/>
        <v>0</v>
      </c>
      <c r="I361" s="11">
        <v>46071</v>
      </c>
      <c r="J361" s="11">
        <v>46070</v>
      </c>
      <c r="K361" s="13"/>
    </row>
    <row r="362" spans="1:11" ht="18" x14ac:dyDescent="0.4">
      <c r="A362" s="7" t="s">
        <v>0</v>
      </c>
      <c r="B362" s="81" t="s">
        <v>137</v>
      </c>
      <c r="C362" s="57">
        <v>36019</v>
      </c>
      <c r="D362" s="70">
        <v>143078240</v>
      </c>
      <c r="E362" s="57">
        <v>350</v>
      </c>
      <c r="F362" s="71" t="s">
        <v>346</v>
      </c>
      <c r="G362" s="61">
        <v>0</v>
      </c>
      <c r="H362" s="70">
        <f t="shared" si="5"/>
        <v>0</v>
      </c>
      <c r="I362" s="11">
        <v>46071</v>
      </c>
      <c r="J362" s="11">
        <v>46070</v>
      </c>
      <c r="K362" s="13"/>
    </row>
    <row r="363" spans="1:11" ht="18" x14ac:dyDescent="0.4">
      <c r="A363" s="7" t="s">
        <v>0</v>
      </c>
      <c r="B363" s="81" t="s">
        <v>137</v>
      </c>
      <c r="C363" s="57">
        <v>36019</v>
      </c>
      <c r="D363" s="70">
        <v>159720240</v>
      </c>
      <c r="E363" s="57">
        <v>130</v>
      </c>
      <c r="F363" s="71" t="s">
        <v>347</v>
      </c>
      <c r="G363" s="61">
        <v>0</v>
      </c>
      <c r="H363" s="70">
        <f t="shared" si="5"/>
        <v>0</v>
      </c>
      <c r="I363" s="11">
        <v>46071</v>
      </c>
      <c r="J363" s="11">
        <v>46070</v>
      </c>
      <c r="K363" s="13"/>
    </row>
    <row r="364" spans="1:11" ht="18" x14ac:dyDescent="0.4">
      <c r="A364" s="7" t="s">
        <v>0</v>
      </c>
      <c r="B364" s="81" t="s">
        <v>137</v>
      </c>
      <c r="C364" s="57">
        <v>36019</v>
      </c>
      <c r="D364" s="70">
        <v>187502240</v>
      </c>
      <c r="E364" s="57">
        <v>1400</v>
      </c>
      <c r="F364" s="71" t="s">
        <v>348</v>
      </c>
      <c r="G364" s="61">
        <v>0</v>
      </c>
      <c r="H364" s="70">
        <f t="shared" si="5"/>
        <v>0</v>
      </c>
      <c r="I364" s="11">
        <v>46071</v>
      </c>
      <c r="J364" s="11">
        <v>46070</v>
      </c>
      <c r="K364" s="13"/>
    </row>
    <row r="365" spans="1:11" ht="18" x14ac:dyDescent="0.4">
      <c r="A365" s="7" t="s">
        <v>0</v>
      </c>
      <c r="B365" s="81" t="s">
        <v>137</v>
      </c>
      <c r="C365" s="57">
        <v>36019</v>
      </c>
      <c r="D365" s="70">
        <v>187528210</v>
      </c>
      <c r="E365" s="57">
        <v>1400</v>
      </c>
      <c r="F365" s="71" t="s">
        <v>349</v>
      </c>
      <c r="G365" s="61">
        <v>0</v>
      </c>
      <c r="H365" s="70">
        <f t="shared" si="5"/>
        <v>0</v>
      </c>
      <c r="I365" s="11">
        <v>46071</v>
      </c>
      <c r="J365" s="11">
        <v>46070</v>
      </c>
      <c r="K365" s="13"/>
    </row>
    <row r="366" spans="1:11" ht="18" x14ac:dyDescent="0.4">
      <c r="A366" s="7" t="s">
        <v>0</v>
      </c>
      <c r="B366" s="81" t="s">
        <v>137</v>
      </c>
      <c r="C366" s="57">
        <v>36019</v>
      </c>
      <c r="D366" s="70">
        <v>463472570</v>
      </c>
      <c r="E366" s="57">
        <v>1200</v>
      </c>
      <c r="F366" s="71" t="s">
        <v>350</v>
      </c>
      <c r="G366" s="61">
        <v>0</v>
      </c>
      <c r="H366" s="70">
        <f t="shared" si="5"/>
        <v>0</v>
      </c>
      <c r="I366" s="11">
        <v>46071</v>
      </c>
      <c r="J366" s="11">
        <v>46070</v>
      </c>
      <c r="K366" s="13"/>
    </row>
    <row r="367" spans="1:11" ht="18" x14ac:dyDescent="0.4">
      <c r="A367" s="7" t="s">
        <v>0</v>
      </c>
      <c r="B367" s="81" t="s">
        <v>137</v>
      </c>
      <c r="C367" s="57">
        <v>36019</v>
      </c>
      <c r="D367" s="70">
        <v>551877370</v>
      </c>
      <c r="E367" s="57">
        <v>3600</v>
      </c>
      <c r="F367" s="71" t="s">
        <v>351</v>
      </c>
      <c r="G367" s="61">
        <v>0</v>
      </c>
      <c r="H367" s="70">
        <f t="shared" si="5"/>
        <v>0</v>
      </c>
      <c r="I367" s="11">
        <v>46071</v>
      </c>
      <c r="J367" s="11">
        <v>46070</v>
      </c>
      <c r="K367" s="13"/>
    </row>
    <row r="368" spans="1:11" ht="18" x14ac:dyDescent="0.4">
      <c r="A368" s="7" t="s">
        <v>0</v>
      </c>
      <c r="B368" s="81" t="s">
        <v>137</v>
      </c>
      <c r="C368" s="57">
        <v>36019</v>
      </c>
      <c r="D368" s="70">
        <v>552501310</v>
      </c>
      <c r="E368" s="57">
        <v>350</v>
      </c>
      <c r="F368" s="71" t="s">
        <v>352</v>
      </c>
      <c r="G368" s="61">
        <v>0</v>
      </c>
      <c r="H368" s="70">
        <f t="shared" si="5"/>
        <v>0</v>
      </c>
      <c r="I368" s="11">
        <v>46071</v>
      </c>
      <c r="J368" s="11">
        <v>46070</v>
      </c>
      <c r="K368" s="13"/>
    </row>
    <row r="369" spans="1:11" ht="18" x14ac:dyDescent="0.4">
      <c r="A369" s="7" t="s">
        <v>0</v>
      </c>
      <c r="B369" s="81" t="s">
        <v>137</v>
      </c>
      <c r="C369" s="57">
        <v>36019</v>
      </c>
      <c r="D369" s="70">
        <v>552261740</v>
      </c>
      <c r="E369" s="57">
        <v>250</v>
      </c>
      <c r="F369" s="71" t="s">
        <v>353</v>
      </c>
      <c r="G369" s="61">
        <v>0</v>
      </c>
      <c r="H369" s="70">
        <f t="shared" si="5"/>
        <v>0</v>
      </c>
      <c r="I369" s="11">
        <v>46071</v>
      </c>
      <c r="J369" s="11">
        <v>46070</v>
      </c>
      <c r="K369" s="13"/>
    </row>
    <row r="370" spans="1:11" ht="18" x14ac:dyDescent="0.4">
      <c r="A370" s="7" t="s">
        <v>0</v>
      </c>
      <c r="B370" s="81" t="s">
        <v>137</v>
      </c>
      <c r="C370" s="57">
        <v>36019</v>
      </c>
      <c r="D370" s="70">
        <v>463507860</v>
      </c>
      <c r="E370" s="57">
        <v>150</v>
      </c>
      <c r="F370" s="71" t="s">
        <v>127</v>
      </c>
      <c r="G370" s="61">
        <v>0</v>
      </c>
      <c r="H370" s="70">
        <f t="shared" si="5"/>
        <v>0</v>
      </c>
      <c r="I370" s="11">
        <v>46071</v>
      </c>
      <c r="J370" s="11">
        <v>46070</v>
      </c>
      <c r="K370" s="13"/>
    </row>
    <row r="371" spans="1:11" ht="18" x14ac:dyDescent="0.4">
      <c r="A371" s="14" t="s">
        <v>0</v>
      </c>
      <c r="B371" s="84" t="s">
        <v>137</v>
      </c>
      <c r="C371" s="78">
        <v>36019</v>
      </c>
      <c r="D371" s="79">
        <v>552589360</v>
      </c>
      <c r="E371" s="78">
        <v>230</v>
      </c>
      <c r="F371" s="80" t="s">
        <v>127</v>
      </c>
      <c r="G371" s="90">
        <v>0</v>
      </c>
      <c r="H371" s="70">
        <f t="shared" si="5"/>
        <v>0</v>
      </c>
      <c r="I371" s="36">
        <v>46071</v>
      </c>
      <c r="J371" s="36">
        <v>46070</v>
      </c>
      <c r="K371" s="15"/>
    </row>
    <row r="372" spans="1:11" ht="18" x14ac:dyDescent="0.4">
      <c r="A372" s="7" t="s">
        <v>719</v>
      </c>
      <c r="B372" s="97" t="s">
        <v>354</v>
      </c>
      <c r="C372" s="8">
        <v>30464</v>
      </c>
      <c r="D372" s="9">
        <v>76272340</v>
      </c>
      <c r="E372" s="57">
        <v>400</v>
      </c>
      <c r="F372" s="10" t="s">
        <v>355</v>
      </c>
      <c r="G372" s="9">
        <v>0</v>
      </c>
      <c r="H372" s="70">
        <f t="shared" si="5"/>
        <v>0</v>
      </c>
      <c r="I372" s="11">
        <v>46071</v>
      </c>
      <c r="J372" s="11">
        <v>46070</v>
      </c>
      <c r="K372" s="17"/>
    </row>
    <row r="373" spans="1:11" ht="18" x14ac:dyDescent="0.4">
      <c r="A373" s="7" t="s">
        <v>719</v>
      </c>
      <c r="B373" s="7" t="s">
        <v>354</v>
      </c>
      <c r="C373" s="8">
        <v>30464</v>
      </c>
      <c r="D373" s="9">
        <v>463444260</v>
      </c>
      <c r="E373" s="57">
        <v>200</v>
      </c>
      <c r="F373" s="10" t="s">
        <v>356</v>
      </c>
      <c r="G373" s="9">
        <v>0</v>
      </c>
      <c r="H373" s="70">
        <f t="shared" si="5"/>
        <v>0</v>
      </c>
      <c r="I373" s="11">
        <v>46071</v>
      </c>
      <c r="J373" s="11">
        <v>46070</v>
      </c>
      <c r="K373" s="13"/>
    </row>
    <row r="374" spans="1:11" ht="18" x14ac:dyDescent="0.4">
      <c r="A374" s="7" t="s">
        <v>719</v>
      </c>
      <c r="B374" s="7" t="s">
        <v>357</v>
      </c>
      <c r="C374" s="8">
        <v>19414</v>
      </c>
      <c r="D374" s="9">
        <v>552679400</v>
      </c>
      <c r="E374" s="57">
        <v>1500</v>
      </c>
      <c r="F374" s="10" t="s">
        <v>168</v>
      </c>
      <c r="G374" s="9">
        <v>0</v>
      </c>
      <c r="H374" s="70">
        <f t="shared" si="5"/>
        <v>0</v>
      </c>
      <c r="I374" s="11">
        <v>46071</v>
      </c>
      <c r="J374" s="11">
        <v>46070</v>
      </c>
      <c r="K374" s="13"/>
    </row>
    <row r="375" spans="1:11" ht="18" x14ac:dyDescent="0.4">
      <c r="A375" s="7" t="s">
        <v>719</v>
      </c>
      <c r="B375" s="7" t="s">
        <v>357</v>
      </c>
      <c r="C375" s="8">
        <v>19414</v>
      </c>
      <c r="D375" s="9">
        <v>463584330</v>
      </c>
      <c r="E375" s="57">
        <v>1500</v>
      </c>
      <c r="F375" s="10" t="s">
        <v>168</v>
      </c>
      <c r="G375" s="9">
        <v>15000</v>
      </c>
      <c r="H375" s="70">
        <f t="shared" si="5"/>
        <v>10</v>
      </c>
      <c r="I375" s="11">
        <v>46071</v>
      </c>
      <c r="J375" s="11">
        <v>46070</v>
      </c>
      <c r="K375" s="13"/>
    </row>
    <row r="376" spans="1:11" ht="18" x14ac:dyDescent="0.4">
      <c r="A376" s="7" t="s">
        <v>719</v>
      </c>
      <c r="B376" s="7" t="s">
        <v>357</v>
      </c>
      <c r="C376" s="8">
        <v>19414</v>
      </c>
      <c r="D376" s="9">
        <v>552709810</v>
      </c>
      <c r="E376" s="57">
        <v>100</v>
      </c>
      <c r="F376" s="10" t="s">
        <v>358</v>
      </c>
      <c r="G376" s="9">
        <v>7700</v>
      </c>
      <c r="H376" s="70">
        <f t="shared" si="5"/>
        <v>77</v>
      </c>
      <c r="I376" s="11">
        <v>46071</v>
      </c>
      <c r="J376" s="11">
        <v>46070</v>
      </c>
      <c r="K376" s="13"/>
    </row>
    <row r="377" spans="1:11" ht="18" x14ac:dyDescent="0.4">
      <c r="A377" s="7" t="s">
        <v>719</v>
      </c>
      <c r="B377" s="7" t="s">
        <v>357</v>
      </c>
      <c r="C377" s="8">
        <v>19414</v>
      </c>
      <c r="D377" s="9">
        <v>552679990</v>
      </c>
      <c r="E377" s="57">
        <v>600</v>
      </c>
      <c r="F377" s="10" t="s">
        <v>359</v>
      </c>
      <c r="G377" s="9">
        <v>0</v>
      </c>
      <c r="H377" s="70">
        <f t="shared" si="5"/>
        <v>0</v>
      </c>
      <c r="I377" s="11">
        <v>46071</v>
      </c>
      <c r="J377" s="11">
        <v>46070</v>
      </c>
      <c r="K377" s="13"/>
    </row>
    <row r="378" spans="1:11" ht="18" x14ac:dyDescent="0.4">
      <c r="A378" s="7" t="s">
        <v>719</v>
      </c>
      <c r="B378" s="7" t="s">
        <v>357</v>
      </c>
      <c r="C378" s="8">
        <v>19414</v>
      </c>
      <c r="D378" s="9">
        <v>552819860</v>
      </c>
      <c r="E378" s="57">
        <v>50</v>
      </c>
      <c r="F378" s="10" t="s">
        <v>360</v>
      </c>
      <c r="G378" s="9">
        <v>5500</v>
      </c>
      <c r="H378" s="70">
        <f t="shared" si="5"/>
        <v>110</v>
      </c>
      <c r="I378" s="11">
        <v>46071</v>
      </c>
      <c r="J378" s="11">
        <v>46070</v>
      </c>
      <c r="K378" s="13"/>
    </row>
    <row r="379" spans="1:11" ht="18" x14ac:dyDescent="0.4">
      <c r="A379" s="7" t="s">
        <v>719</v>
      </c>
      <c r="B379" s="7" t="s">
        <v>357</v>
      </c>
      <c r="C379" s="8">
        <v>19414</v>
      </c>
      <c r="D379" s="9">
        <v>552584580</v>
      </c>
      <c r="E379" s="57">
        <v>600</v>
      </c>
      <c r="F379" s="10" t="s">
        <v>361</v>
      </c>
      <c r="G379" s="9">
        <v>0</v>
      </c>
      <c r="H379" s="70">
        <f t="shared" si="5"/>
        <v>0</v>
      </c>
      <c r="I379" s="11">
        <v>46071</v>
      </c>
      <c r="J379" s="11">
        <v>46070</v>
      </c>
      <c r="K379" s="13"/>
    </row>
    <row r="380" spans="1:11" ht="18" x14ac:dyDescent="0.4">
      <c r="A380" s="7" t="s">
        <v>719</v>
      </c>
      <c r="B380" s="7" t="s">
        <v>357</v>
      </c>
      <c r="C380" s="8">
        <v>19414</v>
      </c>
      <c r="D380" s="9">
        <v>552691000</v>
      </c>
      <c r="E380" s="57">
        <v>800</v>
      </c>
      <c r="F380" s="10" t="s">
        <v>362</v>
      </c>
      <c r="G380" s="9">
        <v>0</v>
      </c>
      <c r="H380" s="70">
        <f t="shared" si="5"/>
        <v>0</v>
      </c>
      <c r="I380" s="11">
        <v>46071</v>
      </c>
      <c r="J380" s="11">
        <v>46070</v>
      </c>
      <c r="K380" s="13"/>
    </row>
    <row r="381" spans="1:11" ht="18" x14ac:dyDescent="0.4">
      <c r="A381" s="7" t="s">
        <v>719</v>
      </c>
      <c r="B381" s="7" t="s">
        <v>357</v>
      </c>
      <c r="C381" s="8">
        <v>19414</v>
      </c>
      <c r="D381" s="9">
        <v>187529240</v>
      </c>
      <c r="E381" s="57">
        <v>400</v>
      </c>
      <c r="F381" s="10" t="s">
        <v>363</v>
      </c>
      <c r="G381" s="9">
        <v>0</v>
      </c>
      <c r="H381" s="70">
        <f t="shared" si="5"/>
        <v>0</v>
      </c>
      <c r="I381" s="11">
        <v>46071</v>
      </c>
      <c r="J381" s="11">
        <v>46070</v>
      </c>
      <c r="K381" s="13"/>
    </row>
    <row r="382" spans="1:11" ht="18" x14ac:dyDescent="0.4">
      <c r="A382" s="7" t="s">
        <v>719</v>
      </c>
      <c r="B382" s="7" t="s">
        <v>357</v>
      </c>
      <c r="C382" s="8">
        <v>19414</v>
      </c>
      <c r="D382" s="9">
        <v>552836160</v>
      </c>
      <c r="E382" s="57">
        <v>800</v>
      </c>
      <c r="F382" s="10" t="s">
        <v>364</v>
      </c>
      <c r="G382" s="9">
        <v>0</v>
      </c>
      <c r="H382" s="70">
        <f t="shared" si="5"/>
        <v>0</v>
      </c>
      <c r="I382" s="11">
        <v>46071</v>
      </c>
      <c r="J382" s="11">
        <v>46070</v>
      </c>
      <c r="K382" s="13"/>
    </row>
    <row r="383" spans="1:11" ht="18" x14ac:dyDescent="0.4">
      <c r="A383" s="7" t="s">
        <v>719</v>
      </c>
      <c r="B383" s="7" t="s">
        <v>357</v>
      </c>
      <c r="C383" s="8">
        <v>19414</v>
      </c>
      <c r="D383" s="9">
        <v>187505240</v>
      </c>
      <c r="E383" s="57">
        <v>1000</v>
      </c>
      <c r="F383" s="10" t="s">
        <v>365</v>
      </c>
      <c r="G383" s="9">
        <v>0</v>
      </c>
      <c r="H383" s="70">
        <f t="shared" si="5"/>
        <v>0</v>
      </c>
      <c r="I383" s="11">
        <v>46071</v>
      </c>
      <c r="J383" s="11">
        <v>46070</v>
      </c>
      <c r="K383" s="13"/>
    </row>
    <row r="384" spans="1:11" ht="18" x14ac:dyDescent="0.4">
      <c r="A384" s="7" t="s">
        <v>719</v>
      </c>
      <c r="B384" s="7" t="s">
        <v>357</v>
      </c>
      <c r="C384" s="8">
        <v>19414</v>
      </c>
      <c r="D384" s="9">
        <v>187517240</v>
      </c>
      <c r="E384" s="57">
        <v>1200</v>
      </c>
      <c r="F384" s="10" t="s">
        <v>366</v>
      </c>
      <c r="G384" s="9">
        <v>0</v>
      </c>
      <c r="H384" s="70">
        <f t="shared" si="5"/>
        <v>0</v>
      </c>
      <c r="I384" s="11">
        <v>46071</v>
      </c>
      <c r="J384" s="11">
        <v>46070</v>
      </c>
      <c r="K384" s="13"/>
    </row>
    <row r="385" spans="1:11" ht="18" x14ac:dyDescent="0.4">
      <c r="A385" s="7" t="s">
        <v>719</v>
      </c>
      <c r="B385" s="7" t="s">
        <v>357</v>
      </c>
      <c r="C385" s="8">
        <v>19414</v>
      </c>
      <c r="D385" s="9">
        <v>463479880</v>
      </c>
      <c r="E385" s="57">
        <v>1000</v>
      </c>
      <c r="F385" s="10" t="s">
        <v>127</v>
      </c>
      <c r="G385" s="9">
        <v>0</v>
      </c>
      <c r="H385" s="70">
        <f t="shared" si="5"/>
        <v>0</v>
      </c>
      <c r="I385" s="11">
        <v>46071</v>
      </c>
      <c r="J385" s="11">
        <v>46070</v>
      </c>
      <c r="K385" s="13"/>
    </row>
    <row r="386" spans="1:11" ht="18" x14ac:dyDescent="0.4">
      <c r="A386" s="7" t="s">
        <v>719</v>
      </c>
      <c r="B386" s="7" t="s">
        <v>367</v>
      </c>
      <c r="C386" s="8">
        <v>20419</v>
      </c>
      <c r="D386" s="9">
        <v>552681860</v>
      </c>
      <c r="E386" s="57">
        <v>560</v>
      </c>
      <c r="F386" s="10" t="s">
        <v>234</v>
      </c>
      <c r="G386" s="9">
        <v>560</v>
      </c>
      <c r="H386" s="70">
        <f t="shared" si="5"/>
        <v>1</v>
      </c>
      <c r="I386" s="11">
        <v>46071</v>
      </c>
      <c r="J386" s="11">
        <v>46070</v>
      </c>
      <c r="K386" s="13"/>
    </row>
    <row r="387" spans="1:11" ht="18" x14ac:dyDescent="0.4">
      <c r="A387" s="7" t="s">
        <v>719</v>
      </c>
      <c r="B387" s="7" t="s">
        <v>367</v>
      </c>
      <c r="C387" s="8">
        <v>20419</v>
      </c>
      <c r="D387" s="9">
        <v>552678480</v>
      </c>
      <c r="E387" s="57">
        <v>800</v>
      </c>
      <c r="F387" s="10" t="s">
        <v>234</v>
      </c>
      <c r="G387" s="9">
        <v>0</v>
      </c>
      <c r="H387" s="70">
        <f t="shared" si="5"/>
        <v>0</v>
      </c>
      <c r="I387" s="11">
        <v>46071</v>
      </c>
      <c r="J387" s="11">
        <v>46070</v>
      </c>
      <c r="K387" s="13"/>
    </row>
    <row r="388" spans="1:11" ht="18" x14ac:dyDescent="0.4">
      <c r="A388" s="7" t="s">
        <v>719</v>
      </c>
      <c r="B388" s="7" t="s">
        <v>368</v>
      </c>
      <c r="C388" s="8">
        <v>32059</v>
      </c>
      <c r="D388" s="9">
        <v>552677450</v>
      </c>
      <c r="E388" s="57">
        <v>4500</v>
      </c>
      <c r="F388" s="10" t="s">
        <v>230</v>
      </c>
      <c r="G388" s="9">
        <v>4500</v>
      </c>
      <c r="H388" s="70">
        <f t="shared" si="5"/>
        <v>1</v>
      </c>
      <c r="I388" s="11">
        <v>46071</v>
      </c>
      <c r="J388" s="11">
        <v>46070</v>
      </c>
      <c r="K388" s="13"/>
    </row>
    <row r="389" spans="1:11" ht="18" x14ac:dyDescent="0.4">
      <c r="A389" s="7" t="s">
        <v>719</v>
      </c>
      <c r="B389" s="7" t="s">
        <v>369</v>
      </c>
      <c r="C389" s="8">
        <v>14928</v>
      </c>
      <c r="D389" s="9">
        <v>463404710</v>
      </c>
      <c r="E389" s="57">
        <v>100</v>
      </c>
      <c r="F389" s="10" t="s">
        <v>370</v>
      </c>
      <c r="G389" s="9">
        <v>1500</v>
      </c>
      <c r="H389" s="70">
        <f t="shared" si="5"/>
        <v>15</v>
      </c>
      <c r="I389" s="11">
        <v>46071</v>
      </c>
      <c r="J389" s="11">
        <v>46070</v>
      </c>
      <c r="K389" s="13"/>
    </row>
    <row r="390" spans="1:11" ht="18" x14ac:dyDescent="0.4">
      <c r="A390" s="7" t="s">
        <v>719</v>
      </c>
      <c r="B390" s="7" t="s">
        <v>371</v>
      </c>
      <c r="C390" s="8">
        <v>78605</v>
      </c>
      <c r="D390" s="9">
        <v>552679850</v>
      </c>
      <c r="E390" s="57">
        <v>300</v>
      </c>
      <c r="F390" s="10" t="s">
        <v>281</v>
      </c>
      <c r="G390" s="9">
        <v>1500</v>
      </c>
      <c r="H390" s="70">
        <f t="shared" si="5"/>
        <v>5</v>
      </c>
      <c r="I390" s="11">
        <v>46071</v>
      </c>
      <c r="J390" s="11">
        <v>46070</v>
      </c>
      <c r="K390" s="13"/>
    </row>
    <row r="391" spans="1:11" ht="18" x14ac:dyDescent="0.4">
      <c r="A391" s="7" t="s">
        <v>719</v>
      </c>
      <c r="B391" s="7" t="s">
        <v>372</v>
      </c>
      <c r="C391" s="8">
        <v>27951</v>
      </c>
      <c r="D391" s="9">
        <v>463411550</v>
      </c>
      <c r="E391" s="57">
        <v>1100</v>
      </c>
      <c r="F391" s="10" t="s">
        <v>373</v>
      </c>
      <c r="G391" s="9">
        <v>0</v>
      </c>
      <c r="H391" s="70">
        <f t="shared" si="5"/>
        <v>0</v>
      </c>
      <c r="I391" s="11">
        <v>46071</v>
      </c>
      <c r="J391" s="11">
        <v>46070</v>
      </c>
      <c r="K391" s="13"/>
    </row>
    <row r="392" spans="1:11" ht="18" x14ac:dyDescent="0.4">
      <c r="A392" s="7" t="s">
        <v>719</v>
      </c>
      <c r="B392" s="7" t="s">
        <v>372</v>
      </c>
      <c r="C392" s="8">
        <v>27951</v>
      </c>
      <c r="D392" s="9">
        <v>463415550</v>
      </c>
      <c r="E392" s="57">
        <v>800</v>
      </c>
      <c r="F392" s="10" t="s">
        <v>374</v>
      </c>
      <c r="G392" s="9">
        <v>0</v>
      </c>
      <c r="H392" s="70">
        <f t="shared" si="5"/>
        <v>0</v>
      </c>
      <c r="I392" s="11">
        <v>46071</v>
      </c>
      <c r="J392" s="11">
        <v>46070</v>
      </c>
      <c r="K392" s="13"/>
    </row>
    <row r="393" spans="1:11" ht="18" x14ac:dyDescent="0.4">
      <c r="A393" s="7" t="s">
        <v>719</v>
      </c>
      <c r="B393" s="7" t="s">
        <v>375</v>
      </c>
      <c r="C393" s="8">
        <v>24229</v>
      </c>
      <c r="D393" s="9">
        <v>463471630</v>
      </c>
      <c r="E393" s="57">
        <v>200</v>
      </c>
      <c r="F393" s="10" t="s">
        <v>376</v>
      </c>
      <c r="G393" s="9">
        <v>3200</v>
      </c>
      <c r="H393" s="70">
        <f t="shared" si="5"/>
        <v>16</v>
      </c>
      <c r="I393" s="11">
        <v>46071</v>
      </c>
      <c r="J393" s="11">
        <v>46070</v>
      </c>
      <c r="K393" s="13"/>
    </row>
    <row r="394" spans="1:11" ht="18" x14ac:dyDescent="0.4">
      <c r="A394" s="7" t="s">
        <v>719</v>
      </c>
      <c r="B394" s="7" t="s">
        <v>375</v>
      </c>
      <c r="C394" s="8">
        <v>24229</v>
      </c>
      <c r="D394" s="9">
        <v>463508000</v>
      </c>
      <c r="E394" s="57">
        <v>120</v>
      </c>
      <c r="F394" s="10" t="s">
        <v>271</v>
      </c>
      <c r="G394" s="9">
        <v>4800</v>
      </c>
      <c r="H394" s="70">
        <f t="shared" si="5"/>
        <v>40</v>
      </c>
      <c r="I394" s="11">
        <v>46071</v>
      </c>
      <c r="J394" s="11">
        <v>46070</v>
      </c>
      <c r="K394" s="13"/>
    </row>
    <row r="395" spans="1:11" ht="18" x14ac:dyDescent="0.4">
      <c r="A395" s="7" t="s">
        <v>719</v>
      </c>
      <c r="B395" s="7" t="s">
        <v>377</v>
      </c>
      <c r="C395" s="8">
        <v>36019</v>
      </c>
      <c r="D395" s="9">
        <v>552768830</v>
      </c>
      <c r="E395" s="57">
        <v>2200</v>
      </c>
      <c r="F395" s="10" t="s">
        <v>378</v>
      </c>
      <c r="G395" s="9">
        <v>2200</v>
      </c>
      <c r="H395" s="70">
        <f t="shared" si="5"/>
        <v>1</v>
      </c>
      <c r="I395" s="11">
        <v>46071</v>
      </c>
      <c r="J395" s="11">
        <v>46070</v>
      </c>
      <c r="K395" s="13"/>
    </row>
    <row r="396" spans="1:11" ht="18" x14ac:dyDescent="0.4">
      <c r="A396" s="7" t="s">
        <v>719</v>
      </c>
      <c r="B396" s="7" t="s">
        <v>377</v>
      </c>
      <c r="C396" s="8">
        <v>36019</v>
      </c>
      <c r="D396" s="9">
        <v>552686720</v>
      </c>
      <c r="E396" s="57">
        <v>250</v>
      </c>
      <c r="F396" s="10" t="s">
        <v>379</v>
      </c>
      <c r="G396" s="9">
        <v>5000</v>
      </c>
      <c r="H396" s="70">
        <f t="shared" si="5"/>
        <v>20</v>
      </c>
      <c r="I396" s="11">
        <v>46071</v>
      </c>
      <c r="J396" s="11">
        <v>46070</v>
      </c>
      <c r="K396" s="13"/>
    </row>
    <row r="397" spans="1:11" ht="18" x14ac:dyDescent="0.4">
      <c r="A397" s="7" t="s">
        <v>719</v>
      </c>
      <c r="B397" s="7" t="s">
        <v>377</v>
      </c>
      <c r="C397" s="8">
        <v>36019</v>
      </c>
      <c r="D397" s="9">
        <v>552693200</v>
      </c>
      <c r="E397" s="57">
        <v>1000</v>
      </c>
      <c r="F397" s="10" t="s">
        <v>380</v>
      </c>
      <c r="G397" s="9">
        <v>4000</v>
      </c>
      <c r="H397" s="70">
        <f t="shared" si="5"/>
        <v>4</v>
      </c>
      <c r="I397" s="11">
        <v>46071</v>
      </c>
      <c r="J397" s="11">
        <v>46070</v>
      </c>
      <c r="K397" s="13"/>
    </row>
    <row r="398" spans="1:11" ht="18" x14ac:dyDescent="0.4">
      <c r="A398" s="7" t="s">
        <v>719</v>
      </c>
      <c r="B398" s="7" t="s">
        <v>377</v>
      </c>
      <c r="C398" s="8">
        <v>36019</v>
      </c>
      <c r="D398" s="9">
        <v>552728620</v>
      </c>
      <c r="E398" s="57">
        <v>1500</v>
      </c>
      <c r="F398" s="10" t="s">
        <v>381</v>
      </c>
      <c r="G398" s="9">
        <v>6000</v>
      </c>
      <c r="H398" s="70">
        <f t="shared" si="5"/>
        <v>4</v>
      </c>
      <c r="I398" s="11">
        <v>46071</v>
      </c>
      <c r="J398" s="11">
        <v>46070</v>
      </c>
      <c r="K398" s="13"/>
    </row>
    <row r="399" spans="1:11" ht="18" x14ac:dyDescent="0.4">
      <c r="A399" s="7" t="s">
        <v>719</v>
      </c>
      <c r="B399" s="7" t="s">
        <v>377</v>
      </c>
      <c r="C399" s="8">
        <v>36019</v>
      </c>
      <c r="D399" s="9">
        <v>552679970</v>
      </c>
      <c r="E399" s="57">
        <v>1200</v>
      </c>
      <c r="F399" s="10" t="s">
        <v>382</v>
      </c>
      <c r="G399" s="9">
        <v>3600</v>
      </c>
      <c r="H399" s="70">
        <f t="shared" si="5"/>
        <v>3</v>
      </c>
      <c r="I399" s="11">
        <v>46071</v>
      </c>
      <c r="J399" s="11">
        <v>46070</v>
      </c>
      <c r="K399" s="13"/>
    </row>
    <row r="400" spans="1:11" ht="18" x14ac:dyDescent="0.4">
      <c r="A400" s="7" t="s">
        <v>719</v>
      </c>
      <c r="B400" s="7" t="s">
        <v>377</v>
      </c>
      <c r="C400" s="8">
        <v>36019</v>
      </c>
      <c r="D400" s="9">
        <v>552677410</v>
      </c>
      <c r="E400" s="57">
        <v>200</v>
      </c>
      <c r="F400" s="10" t="s">
        <v>383</v>
      </c>
      <c r="G400" s="9">
        <v>2400</v>
      </c>
      <c r="H400" s="70">
        <f t="shared" si="5"/>
        <v>12</v>
      </c>
      <c r="I400" s="11">
        <v>46071</v>
      </c>
      <c r="J400" s="11">
        <v>46070</v>
      </c>
      <c r="K400" s="13"/>
    </row>
    <row r="401" spans="1:11" ht="18" x14ac:dyDescent="0.4">
      <c r="A401" s="7" t="s">
        <v>719</v>
      </c>
      <c r="B401" s="7" t="s">
        <v>377</v>
      </c>
      <c r="C401" s="8">
        <v>36019</v>
      </c>
      <c r="D401" s="9">
        <v>463535790</v>
      </c>
      <c r="E401" s="57">
        <v>700</v>
      </c>
      <c r="F401" s="10" t="s">
        <v>384</v>
      </c>
      <c r="G401" s="9">
        <v>7700</v>
      </c>
      <c r="H401" s="70">
        <f t="shared" si="5"/>
        <v>11</v>
      </c>
      <c r="I401" s="11">
        <v>46071</v>
      </c>
      <c r="J401" s="11">
        <v>46070</v>
      </c>
      <c r="K401" s="13"/>
    </row>
    <row r="402" spans="1:11" ht="18" x14ac:dyDescent="0.4">
      <c r="A402" s="7" t="s">
        <v>719</v>
      </c>
      <c r="B402" s="7" t="s">
        <v>377</v>
      </c>
      <c r="C402" s="8">
        <v>36019</v>
      </c>
      <c r="D402" s="9">
        <v>463589540</v>
      </c>
      <c r="E402" s="57">
        <v>150</v>
      </c>
      <c r="F402" s="10" t="s">
        <v>385</v>
      </c>
      <c r="G402" s="9">
        <v>0</v>
      </c>
      <c r="H402" s="70">
        <f t="shared" si="5"/>
        <v>0</v>
      </c>
      <c r="I402" s="11">
        <v>46071</v>
      </c>
      <c r="J402" s="11">
        <v>46070</v>
      </c>
      <c r="K402" s="13"/>
    </row>
    <row r="403" spans="1:11" ht="18" x14ac:dyDescent="0.4">
      <c r="A403" s="7" t="s">
        <v>719</v>
      </c>
      <c r="B403" s="7" t="s">
        <v>377</v>
      </c>
      <c r="C403" s="8">
        <v>36019</v>
      </c>
      <c r="D403" s="9">
        <v>463586380</v>
      </c>
      <c r="E403" s="57">
        <v>3000</v>
      </c>
      <c r="F403" s="10" t="s">
        <v>386</v>
      </c>
      <c r="G403" s="9">
        <v>3000</v>
      </c>
      <c r="H403" s="70">
        <f t="shared" si="5"/>
        <v>1</v>
      </c>
      <c r="I403" s="11">
        <v>46071</v>
      </c>
      <c r="J403" s="11">
        <v>46070</v>
      </c>
      <c r="K403" s="13"/>
    </row>
    <row r="404" spans="1:11" ht="18" x14ac:dyDescent="0.4">
      <c r="A404" s="7" t="s">
        <v>719</v>
      </c>
      <c r="B404" s="7" t="s">
        <v>377</v>
      </c>
      <c r="C404" s="8">
        <v>36019</v>
      </c>
      <c r="D404" s="9">
        <v>552636100</v>
      </c>
      <c r="E404" s="57">
        <v>200</v>
      </c>
      <c r="F404" s="10" t="s">
        <v>387</v>
      </c>
      <c r="G404" s="9">
        <v>3600</v>
      </c>
      <c r="H404" s="70">
        <f t="shared" si="5"/>
        <v>18</v>
      </c>
      <c r="I404" s="11">
        <v>46071</v>
      </c>
      <c r="J404" s="11">
        <v>46070</v>
      </c>
      <c r="K404" s="13"/>
    </row>
    <row r="405" spans="1:11" ht="18" x14ac:dyDescent="0.4">
      <c r="A405" s="7" t="s">
        <v>719</v>
      </c>
      <c r="B405" s="7" t="s">
        <v>377</v>
      </c>
      <c r="C405" s="8">
        <v>36019</v>
      </c>
      <c r="D405" s="9">
        <v>135435340</v>
      </c>
      <c r="E405" s="57">
        <v>900</v>
      </c>
      <c r="F405" s="10" t="s">
        <v>388</v>
      </c>
      <c r="G405" s="9">
        <v>4500</v>
      </c>
      <c r="H405" s="70">
        <f t="shared" si="5"/>
        <v>5</v>
      </c>
      <c r="I405" s="11">
        <v>46071</v>
      </c>
      <c r="J405" s="11">
        <v>46070</v>
      </c>
      <c r="K405" s="13"/>
    </row>
    <row r="406" spans="1:11" ht="18" x14ac:dyDescent="0.4">
      <c r="A406" s="7" t="s">
        <v>719</v>
      </c>
      <c r="B406" s="7" t="s">
        <v>377</v>
      </c>
      <c r="C406" s="8">
        <v>36019</v>
      </c>
      <c r="D406" s="9">
        <v>552739160</v>
      </c>
      <c r="E406" s="57">
        <v>500</v>
      </c>
      <c r="F406" s="10" t="s">
        <v>389</v>
      </c>
      <c r="G406" s="9">
        <v>10000</v>
      </c>
      <c r="H406" s="70">
        <f t="shared" si="5"/>
        <v>20</v>
      </c>
      <c r="I406" s="11">
        <v>46071</v>
      </c>
      <c r="J406" s="11">
        <v>46070</v>
      </c>
      <c r="K406" s="13"/>
    </row>
    <row r="407" spans="1:11" ht="18" x14ac:dyDescent="0.4">
      <c r="A407" s="7" t="s">
        <v>719</v>
      </c>
      <c r="B407" s="7" t="s">
        <v>377</v>
      </c>
      <c r="C407" s="8">
        <v>36019</v>
      </c>
      <c r="D407" s="9">
        <v>187502240</v>
      </c>
      <c r="E407" s="57">
        <v>1400</v>
      </c>
      <c r="F407" s="10" t="s">
        <v>348</v>
      </c>
      <c r="G407" s="9">
        <v>1400</v>
      </c>
      <c r="H407" s="70">
        <f t="shared" si="5"/>
        <v>1</v>
      </c>
      <c r="I407" s="11">
        <v>46071</v>
      </c>
      <c r="J407" s="11">
        <v>46070</v>
      </c>
      <c r="K407" s="13"/>
    </row>
    <row r="408" spans="1:11" ht="18" x14ac:dyDescent="0.4">
      <c r="A408" s="7" t="s">
        <v>719</v>
      </c>
      <c r="B408" s="7" t="s">
        <v>377</v>
      </c>
      <c r="C408" s="8">
        <v>36019</v>
      </c>
      <c r="D408" s="9">
        <v>463375300</v>
      </c>
      <c r="E408" s="57">
        <v>1000</v>
      </c>
      <c r="F408" s="10" t="s">
        <v>390</v>
      </c>
      <c r="G408" s="9">
        <v>0</v>
      </c>
      <c r="H408" s="70">
        <f t="shared" si="5"/>
        <v>0</v>
      </c>
      <c r="I408" s="11">
        <v>46071</v>
      </c>
      <c r="J408" s="11">
        <v>46070</v>
      </c>
      <c r="K408" s="13"/>
    </row>
    <row r="409" spans="1:11" ht="18" x14ac:dyDescent="0.4">
      <c r="A409" s="7" t="s">
        <v>719</v>
      </c>
      <c r="B409" s="7" t="s">
        <v>697</v>
      </c>
      <c r="C409" s="8">
        <v>47104</v>
      </c>
      <c r="D409" s="9">
        <v>463361830</v>
      </c>
      <c r="E409" s="57">
        <v>240</v>
      </c>
      <c r="F409" s="10" t="s">
        <v>23</v>
      </c>
      <c r="G409" s="9">
        <v>1200</v>
      </c>
      <c r="H409" s="70">
        <f t="shared" si="5"/>
        <v>5</v>
      </c>
      <c r="I409" s="11">
        <v>46071</v>
      </c>
      <c r="J409" s="11">
        <v>46070</v>
      </c>
      <c r="K409" s="13"/>
    </row>
    <row r="410" spans="1:11" ht="18" x14ac:dyDescent="0.4">
      <c r="A410" s="7" t="s">
        <v>719</v>
      </c>
      <c r="B410" s="7" t="s">
        <v>697</v>
      </c>
      <c r="C410" s="8">
        <v>47104</v>
      </c>
      <c r="D410" s="9">
        <v>463361840</v>
      </c>
      <c r="E410" s="57">
        <v>240</v>
      </c>
      <c r="F410" s="10" t="s">
        <v>23</v>
      </c>
      <c r="G410" s="9">
        <v>480</v>
      </c>
      <c r="H410" s="70">
        <f t="shared" si="5"/>
        <v>2</v>
      </c>
      <c r="I410" s="11">
        <v>46071</v>
      </c>
      <c r="J410" s="11">
        <v>46070</v>
      </c>
      <c r="K410" s="13"/>
    </row>
    <row r="411" spans="1:11" ht="18" x14ac:dyDescent="0.4">
      <c r="A411" s="7" t="s">
        <v>719</v>
      </c>
      <c r="B411" s="7" t="s">
        <v>250</v>
      </c>
      <c r="C411" s="8">
        <v>37866</v>
      </c>
      <c r="D411" s="9">
        <v>463518860</v>
      </c>
      <c r="E411" s="57">
        <v>120</v>
      </c>
      <c r="F411" s="10" t="s">
        <v>392</v>
      </c>
      <c r="G411" s="9">
        <v>0</v>
      </c>
      <c r="H411" s="70">
        <f t="shared" si="5"/>
        <v>0</v>
      </c>
      <c r="I411" s="11">
        <v>46071</v>
      </c>
      <c r="J411" s="11">
        <v>46070</v>
      </c>
      <c r="K411" s="13"/>
    </row>
    <row r="412" spans="1:11" ht="18" x14ac:dyDescent="0.4">
      <c r="A412" s="7" t="s">
        <v>719</v>
      </c>
      <c r="B412" s="7" t="s">
        <v>250</v>
      </c>
      <c r="C412" s="8">
        <v>37866</v>
      </c>
      <c r="D412" s="9">
        <v>463550740</v>
      </c>
      <c r="E412" s="57">
        <v>120</v>
      </c>
      <c r="F412" s="10" t="s">
        <v>392</v>
      </c>
      <c r="G412" s="9">
        <v>0</v>
      </c>
      <c r="H412" s="70">
        <f t="shared" si="5"/>
        <v>0</v>
      </c>
      <c r="I412" s="11">
        <v>46071</v>
      </c>
      <c r="J412" s="11">
        <v>46070</v>
      </c>
      <c r="K412" s="13"/>
    </row>
    <row r="413" spans="1:11" ht="18" x14ac:dyDescent="0.4">
      <c r="A413" s="7" t="s">
        <v>719</v>
      </c>
      <c r="B413" s="7" t="s">
        <v>250</v>
      </c>
      <c r="C413" s="8">
        <v>37866</v>
      </c>
      <c r="D413" s="9">
        <v>463528570</v>
      </c>
      <c r="E413" s="57">
        <v>120</v>
      </c>
      <c r="F413" s="10" t="s">
        <v>393</v>
      </c>
      <c r="G413" s="9">
        <v>0</v>
      </c>
      <c r="H413" s="70">
        <f t="shared" si="5"/>
        <v>0</v>
      </c>
      <c r="I413" s="11">
        <v>46071</v>
      </c>
      <c r="J413" s="11">
        <v>46070</v>
      </c>
      <c r="K413" s="13"/>
    </row>
    <row r="414" spans="1:11" ht="18" x14ac:dyDescent="0.4">
      <c r="A414" s="7" t="s">
        <v>719</v>
      </c>
      <c r="B414" s="7" t="s">
        <v>250</v>
      </c>
      <c r="C414" s="8">
        <v>37866</v>
      </c>
      <c r="D414" s="9">
        <v>463584820</v>
      </c>
      <c r="E414" s="57">
        <v>120</v>
      </c>
      <c r="F414" s="10" t="s">
        <v>394</v>
      </c>
      <c r="G414" s="9">
        <v>0</v>
      </c>
      <c r="H414" s="70">
        <f t="shared" si="5"/>
        <v>0</v>
      </c>
      <c r="I414" s="11">
        <v>46071</v>
      </c>
      <c r="J414" s="11">
        <v>46070</v>
      </c>
      <c r="K414" s="13"/>
    </row>
    <row r="415" spans="1:11" ht="18" x14ac:dyDescent="0.4">
      <c r="A415" s="7" t="s">
        <v>719</v>
      </c>
      <c r="B415" s="7" t="s">
        <v>250</v>
      </c>
      <c r="C415" s="8">
        <v>37866</v>
      </c>
      <c r="D415" s="9">
        <v>463584840</v>
      </c>
      <c r="E415" s="57">
        <v>120</v>
      </c>
      <c r="F415" s="10" t="s">
        <v>394</v>
      </c>
      <c r="G415" s="9">
        <v>0</v>
      </c>
      <c r="H415" s="70">
        <f t="shared" si="5"/>
        <v>0</v>
      </c>
      <c r="I415" s="11">
        <v>46071</v>
      </c>
      <c r="J415" s="11">
        <v>46070</v>
      </c>
      <c r="K415" s="13"/>
    </row>
    <row r="416" spans="1:11" ht="18" x14ac:dyDescent="0.4">
      <c r="A416" s="7" t="s">
        <v>719</v>
      </c>
      <c r="B416" s="7" t="s">
        <v>250</v>
      </c>
      <c r="C416" s="8">
        <v>37866</v>
      </c>
      <c r="D416" s="9">
        <v>463510130</v>
      </c>
      <c r="E416" s="57">
        <v>120</v>
      </c>
      <c r="F416" s="10" t="s">
        <v>394</v>
      </c>
      <c r="G416" s="9">
        <v>0</v>
      </c>
      <c r="H416" s="70">
        <f t="shared" ref="H416:H479" si="6">+G416/E416</f>
        <v>0</v>
      </c>
      <c r="I416" s="11">
        <v>46071</v>
      </c>
      <c r="J416" s="11">
        <v>46070</v>
      </c>
      <c r="K416" s="13"/>
    </row>
    <row r="417" spans="1:11" ht="18" x14ac:dyDescent="0.4">
      <c r="A417" s="7" t="s">
        <v>719</v>
      </c>
      <c r="B417" s="7" t="s">
        <v>250</v>
      </c>
      <c r="C417" s="8">
        <v>37866</v>
      </c>
      <c r="D417" s="9">
        <v>463584860</v>
      </c>
      <c r="E417" s="57">
        <v>120</v>
      </c>
      <c r="F417" s="37" t="s">
        <v>394</v>
      </c>
      <c r="G417" s="9">
        <v>0</v>
      </c>
      <c r="H417" s="70">
        <f t="shared" si="6"/>
        <v>0</v>
      </c>
      <c r="I417" s="11">
        <v>46071</v>
      </c>
      <c r="J417" s="11">
        <v>46070</v>
      </c>
      <c r="K417" s="13"/>
    </row>
    <row r="418" spans="1:11" ht="18" x14ac:dyDescent="0.4">
      <c r="A418" s="7" t="s">
        <v>719</v>
      </c>
      <c r="B418" s="7" t="s">
        <v>250</v>
      </c>
      <c r="C418" s="8">
        <v>37866</v>
      </c>
      <c r="D418" s="9">
        <v>463584880</v>
      </c>
      <c r="E418" s="57">
        <v>120</v>
      </c>
      <c r="F418" s="10" t="s">
        <v>394</v>
      </c>
      <c r="G418" s="9">
        <v>120</v>
      </c>
      <c r="H418" s="70">
        <f t="shared" si="6"/>
        <v>1</v>
      </c>
      <c r="I418" s="11">
        <v>46071</v>
      </c>
      <c r="J418" s="11">
        <v>46070</v>
      </c>
      <c r="K418" s="13"/>
    </row>
    <row r="419" spans="1:11" ht="18" x14ac:dyDescent="0.4">
      <c r="A419" s="7" t="s">
        <v>719</v>
      </c>
      <c r="B419" s="7" t="s">
        <v>250</v>
      </c>
      <c r="C419" s="8">
        <v>37866</v>
      </c>
      <c r="D419" s="9">
        <v>463584830</v>
      </c>
      <c r="E419" s="57">
        <v>120</v>
      </c>
      <c r="F419" s="37" t="s">
        <v>394</v>
      </c>
      <c r="G419" s="9">
        <v>0</v>
      </c>
      <c r="H419" s="70">
        <f t="shared" si="6"/>
        <v>0</v>
      </c>
      <c r="I419" s="11">
        <v>46071</v>
      </c>
      <c r="J419" s="11">
        <v>46070</v>
      </c>
      <c r="K419" s="13"/>
    </row>
    <row r="420" spans="1:11" ht="18" x14ac:dyDescent="0.4">
      <c r="A420" s="7" t="s">
        <v>719</v>
      </c>
      <c r="B420" s="7" t="s">
        <v>250</v>
      </c>
      <c r="C420" s="8">
        <v>37866</v>
      </c>
      <c r="D420" s="9">
        <v>463584870</v>
      </c>
      <c r="E420" s="57">
        <v>120</v>
      </c>
      <c r="F420" s="10" t="s">
        <v>394</v>
      </c>
      <c r="G420" s="9">
        <v>0</v>
      </c>
      <c r="H420" s="70">
        <f t="shared" si="6"/>
        <v>0</v>
      </c>
      <c r="I420" s="11">
        <v>46071</v>
      </c>
      <c r="J420" s="11">
        <v>46070</v>
      </c>
      <c r="K420" s="13"/>
    </row>
    <row r="421" spans="1:11" ht="18" x14ac:dyDescent="0.4">
      <c r="A421" s="7" t="s">
        <v>719</v>
      </c>
      <c r="B421" s="7" t="s">
        <v>250</v>
      </c>
      <c r="C421" s="8">
        <v>37866</v>
      </c>
      <c r="D421" s="9">
        <v>463569360</v>
      </c>
      <c r="E421" s="57">
        <v>120</v>
      </c>
      <c r="F421" s="10" t="s">
        <v>394</v>
      </c>
      <c r="G421" s="9">
        <v>0</v>
      </c>
      <c r="H421" s="70">
        <f t="shared" si="6"/>
        <v>0</v>
      </c>
      <c r="I421" s="11">
        <v>46071</v>
      </c>
      <c r="J421" s="11">
        <v>46070</v>
      </c>
      <c r="K421" s="13"/>
    </row>
    <row r="422" spans="1:11" ht="18" x14ac:dyDescent="0.4">
      <c r="A422" s="7" t="s">
        <v>719</v>
      </c>
      <c r="B422" s="7" t="s">
        <v>250</v>
      </c>
      <c r="C422" s="8">
        <v>37866</v>
      </c>
      <c r="D422" s="9">
        <v>463579240</v>
      </c>
      <c r="E422" s="57">
        <v>120</v>
      </c>
      <c r="F422" s="10" t="s">
        <v>394</v>
      </c>
      <c r="G422" s="9">
        <v>0</v>
      </c>
      <c r="H422" s="70">
        <f t="shared" si="6"/>
        <v>0</v>
      </c>
      <c r="I422" s="11">
        <v>46071</v>
      </c>
      <c r="J422" s="11">
        <v>46070</v>
      </c>
      <c r="K422" s="13"/>
    </row>
    <row r="423" spans="1:11" ht="18" x14ac:dyDescent="0.4">
      <c r="A423" s="7" t="s">
        <v>719</v>
      </c>
      <c r="B423" s="7" t="s">
        <v>250</v>
      </c>
      <c r="C423" s="8">
        <v>37866</v>
      </c>
      <c r="D423" s="9">
        <v>463579360</v>
      </c>
      <c r="E423" s="57">
        <v>120</v>
      </c>
      <c r="F423" s="10" t="s">
        <v>394</v>
      </c>
      <c r="G423" s="9">
        <v>120</v>
      </c>
      <c r="H423" s="70">
        <f t="shared" si="6"/>
        <v>1</v>
      </c>
      <c r="I423" s="11">
        <v>46071</v>
      </c>
      <c r="J423" s="11">
        <v>46070</v>
      </c>
      <c r="K423" s="13"/>
    </row>
    <row r="424" spans="1:11" ht="18" x14ac:dyDescent="0.4">
      <c r="A424" s="7" t="s">
        <v>719</v>
      </c>
      <c r="B424" s="7" t="s">
        <v>250</v>
      </c>
      <c r="C424" s="8">
        <v>37866</v>
      </c>
      <c r="D424" s="9">
        <v>463579680</v>
      </c>
      <c r="E424" s="57">
        <v>120</v>
      </c>
      <c r="F424" s="10" t="s">
        <v>394</v>
      </c>
      <c r="G424" s="9">
        <v>600</v>
      </c>
      <c r="H424" s="70">
        <f t="shared" si="6"/>
        <v>5</v>
      </c>
      <c r="I424" s="11">
        <v>46071</v>
      </c>
      <c r="J424" s="11">
        <v>46070</v>
      </c>
      <c r="K424" s="13"/>
    </row>
    <row r="425" spans="1:11" ht="18" x14ac:dyDescent="0.4">
      <c r="A425" s="7" t="s">
        <v>719</v>
      </c>
      <c r="B425" s="7" t="s">
        <v>250</v>
      </c>
      <c r="C425" s="8">
        <v>37866</v>
      </c>
      <c r="D425" s="9">
        <v>463579760</v>
      </c>
      <c r="E425" s="57">
        <v>120</v>
      </c>
      <c r="F425" s="10" t="s">
        <v>394</v>
      </c>
      <c r="G425" s="9">
        <v>120</v>
      </c>
      <c r="H425" s="70">
        <f t="shared" si="6"/>
        <v>1</v>
      </c>
      <c r="I425" s="11">
        <v>46071</v>
      </c>
      <c r="J425" s="11">
        <v>46070</v>
      </c>
      <c r="K425" s="13"/>
    </row>
    <row r="426" spans="1:11" ht="18" x14ac:dyDescent="0.4">
      <c r="A426" s="7" t="s">
        <v>719</v>
      </c>
      <c r="B426" s="7" t="s">
        <v>250</v>
      </c>
      <c r="C426" s="8">
        <v>37866</v>
      </c>
      <c r="D426" s="9">
        <v>463579900</v>
      </c>
      <c r="E426" s="57">
        <v>120</v>
      </c>
      <c r="F426" s="10" t="s">
        <v>394</v>
      </c>
      <c r="G426" s="9">
        <v>120</v>
      </c>
      <c r="H426" s="70">
        <f t="shared" si="6"/>
        <v>1</v>
      </c>
      <c r="I426" s="11">
        <v>46071</v>
      </c>
      <c r="J426" s="11">
        <v>46070</v>
      </c>
      <c r="K426" s="13"/>
    </row>
    <row r="427" spans="1:11" ht="18" x14ac:dyDescent="0.4">
      <c r="A427" s="7" t="s">
        <v>719</v>
      </c>
      <c r="B427" s="7" t="s">
        <v>250</v>
      </c>
      <c r="C427" s="8">
        <v>37866</v>
      </c>
      <c r="D427" s="9">
        <v>463580810</v>
      </c>
      <c r="E427" s="57">
        <v>120</v>
      </c>
      <c r="F427" s="10" t="s">
        <v>394</v>
      </c>
      <c r="G427" s="9">
        <v>240</v>
      </c>
      <c r="H427" s="70">
        <f t="shared" si="6"/>
        <v>2</v>
      </c>
      <c r="I427" s="11">
        <v>46071</v>
      </c>
      <c r="J427" s="11">
        <v>46070</v>
      </c>
      <c r="K427" s="13"/>
    </row>
    <row r="428" spans="1:11" ht="18" x14ac:dyDescent="0.4">
      <c r="A428" s="7" t="s">
        <v>719</v>
      </c>
      <c r="B428" s="7" t="s">
        <v>250</v>
      </c>
      <c r="C428" s="8">
        <v>37866</v>
      </c>
      <c r="D428" s="9">
        <v>463513260</v>
      </c>
      <c r="E428" s="57">
        <v>120</v>
      </c>
      <c r="F428" s="10" t="s">
        <v>395</v>
      </c>
      <c r="G428" s="9">
        <v>0</v>
      </c>
      <c r="H428" s="70">
        <f t="shared" si="6"/>
        <v>0</v>
      </c>
      <c r="I428" s="11">
        <v>46071</v>
      </c>
      <c r="J428" s="11">
        <v>46070</v>
      </c>
      <c r="K428" s="13"/>
    </row>
    <row r="429" spans="1:11" ht="18" x14ac:dyDescent="0.4">
      <c r="A429" s="7" t="s">
        <v>719</v>
      </c>
      <c r="B429" s="7" t="s">
        <v>396</v>
      </c>
      <c r="C429" s="8">
        <v>10675</v>
      </c>
      <c r="D429" s="9">
        <v>552678530</v>
      </c>
      <c r="E429" s="57">
        <v>2160</v>
      </c>
      <c r="F429" s="10" t="s">
        <v>397</v>
      </c>
      <c r="G429" s="9">
        <v>7200</v>
      </c>
      <c r="H429" s="70">
        <f t="shared" si="6"/>
        <v>3.3333333333333335</v>
      </c>
      <c r="I429" s="11">
        <v>46071</v>
      </c>
      <c r="J429" s="11">
        <v>46070</v>
      </c>
      <c r="K429" s="13"/>
    </row>
    <row r="430" spans="1:11" ht="18" x14ac:dyDescent="0.4">
      <c r="A430" s="7" t="s">
        <v>719</v>
      </c>
      <c r="B430" s="7" t="s">
        <v>396</v>
      </c>
      <c r="C430" s="8">
        <v>10675</v>
      </c>
      <c r="D430" s="9">
        <v>552755990</v>
      </c>
      <c r="E430" s="57">
        <v>2160</v>
      </c>
      <c r="F430" s="10" t="s">
        <v>398</v>
      </c>
      <c r="G430" s="9">
        <v>7200</v>
      </c>
      <c r="H430" s="70">
        <f t="shared" si="6"/>
        <v>3.3333333333333335</v>
      </c>
      <c r="I430" s="11">
        <v>46071</v>
      </c>
      <c r="J430" s="11">
        <v>46070</v>
      </c>
      <c r="K430" s="13"/>
    </row>
    <row r="431" spans="1:11" ht="18" x14ac:dyDescent="0.4">
      <c r="A431" s="7" t="s">
        <v>719</v>
      </c>
      <c r="B431" s="7" t="s">
        <v>399</v>
      </c>
      <c r="C431" s="8">
        <v>32572</v>
      </c>
      <c r="D431" s="9">
        <v>552679980</v>
      </c>
      <c r="E431" s="57">
        <v>720</v>
      </c>
      <c r="F431" s="10" t="s">
        <v>400</v>
      </c>
      <c r="G431" s="9">
        <v>7200</v>
      </c>
      <c r="H431" s="70">
        <f t="shared" si="6"/>
        <v>10</v>
      </c>
      <c r="I431" s="11">
        <v>46071</v>
      </c>
      <c r="J431" s="11">
        <v>46070</v>
      </c>
      <c r="K431" s="13"/>
    </row>
    <row r="432" spans="1:11" ht="18" x14ac:dyDescent="0.4">
      <c r="A432" s="7" t="s">
        <v>719</v>
      </c>
      <c r="B432" s="7" t="s">
        <v>401</v>
      </c>
      <c r="C432" s="8">
        <v>31610</v>
      </c>
      <c r="D432" s="9">
        <v>552681700</v>
      </c>
      <c r="E432" s="57">
        <v>420</v>
      </c>
      <c r="F432" s="10" t="s">
        <v>402</v>
      </c>
      <c r="G432" s="9">
        <v>2520</v>
      </c>
      <c r="H432" s="70">
        <f t="shared" si="6"/>
        <v>6</v>
      </c>
      <c r="I432" s="11">
        <v>46071</v>
      </c>
      <c r="J432" s="11">
        <v>46070</v>
      </c>
      <c r="K432" s="13"/>
    </row>
    <row r="433" spans="1:11" ht="18" x14ac:dyDescent="0.4">
      <c r="A433" s="7" t="s">
        <v>719</v>
      </c>
      <c r="B433" s="7" t="s">
        <v>401</v>
      </c>
      <c r="C433" s="8">
        <v>31610</v>
      </c>
      <c r="D433" s="9">
        <v>552678490</v>
      </c>
      <c r="E433" s="57">
        <v>520</v>
      </c>
      <c r="F433" s="10" t="s">
        <v>402</v>
      </c>
      <c r="G433" s="9">
        <v>0</v>
      </c>
      <c r="H433" s="70">
        <f t="shared" si="6"/>
        <v>0</v>
      </c>
      <c r="I433" s="11">
        <v>46071</v>
      </c>
      <c r="J433" s="11">
        <v>46070</v>
      </c>
      <c r="K433" s="13"/>
    </row>
    <row r="434" spans="1:11" ht="18" x14ac:dyDescent="0.4">
      <c r="A434" s="7" t="s">
        <v>719</v>
      </c>
      <c r="B434" s="7" t="s">
        <v>403</v>
      </c>
      <c r="C434" s="8">
        <v>34836</v>
      </c>
      <c r="D434" s="9">
        <v>552793140</v>
      </c>
      <c r="E434" s="57">
        <v>720</v>
      </c>
      <c r="F434" s="10" t="s">
        <v>404</v>
      </c>
      <c r="G434" s="9">
        <v>0</v>
      </c>
      <c r="H434" s="70">
        <f t="shared" si="6"/>
        <v>0</v>
      </c>
      <c r="I434" s="11">
        <v>46071</v>
      </c>
      <c r="J434" s="11">
        <v>46070</v>
      </c>
      <c r="K434" s="13"/>
    </row>
    <row r="435" spans="1:11" ht="18" x14ac:dyDescent="0.4">
      <c r="A435" s="7" t="s">
        <v>719</v>
      </c>
      <c r="B435" s="7" t="s">
        <v>403</v>
      </c>
      <c r="C435" s="8">
        <v>34836</v>
      </c>
      <c r="D435" s="9">
        <v>552793150</v>
      </c>
      <c r="E435" s="57">
        <v>720</v>
      </c>
      <c r="F435" s="10" t="s">
        <v>405</v>
      </c>
      <c r="G435" s="9">
        <v>0</v>
      </c>
      <c r="H435" s="70">
        <f t="shared" si="6"/>
        <v>0</v>
      </c>
      <c r="I435" s="11">
        <v>46071</v>
      </c>
      <c r="J435" s="11">
        <v>46070</v>
      </c>
      <c r="K435" s="13"/>
    </row>
    <row r="436" spans="1:11" ht="18" x14ac:dyDescent="0.4">
      <c r="A436" s="7" t="s">
        <v>719</v>
      </c>
      <c r="B436" s="7" t="s">
        <v>403</v>
      </c>
      <c r="C436" s="8">
        <v>34836</v>
      </c>
      <c r="D436" s="9">
        <v>552793160</v>
      </c>
      <c r="E436" s="57">
        <v>720</v>
      </c>
      <c r="F436" s="10" t="s">
        <v>406</v>
      </c>
      <c r="G436" s="9">
        <v>0</v>
      </c>
      <c r="H436" s="70">
        <f t="shared" si="6"/>
        <v>0</v>
      </c>
      <c r="I436" s="11">
        <v>46071</v>
      </c>
      <c r="J436" s="11">
        <v>46070</v>
      </c>
      <c r="K436" s="13"/>
    </row>
    <row r="437" spans="1:11" ht="18" x14ac:dyDescent="0.4">
      <c r="A437" s="7" t="s">
        <v>719</v>
      </c>
      <c r="B437" s="7" t="s">
        <v>403</v>
      </c>
      <c r="C437" s="8">
        <v>34836</v>
      </c>
      <c r="D437" s="9">
        <v>552677750</v>
      </c>
      <c r="E437" s="57">
        <v>480</v>
      </c>
      <c r="F437" s="10" t="s">
        <v>144</v>
      </c>
      <c r="G437" s="9">
        <v>0</v>
      </c>
      <c r="H437" s="70">
        <f t="shared" si="6"/>
        <v>0</v>
      </c>
      <c r="I437" s="11">
        <v>46071</v>
      </c>
      <c r="J437" s="11">
        <v>46070</v>
      </c>
      <c r="K437" s="13"/>
    </row>
    <row r="438" spans="1:11" ht="18" x14ac:dyDescent="0.4">
      <c r="A438" s="7" t="s">
        <v>719</v>
      </c>
      <c r="B438" s="7" t="s">
        <v>403</v>
      </c>
      <c r="C438" s="8">
        <v>34836</v>
      </c>
      <c r="D438" s="9">
        <v>552677760</v>
      </c>
      <c r="E438" s="57">
        <v>480</v>
      </c>
      <c r="F438" s="10" t="s">
        <v>145</v>
      </c>
      <c r="G438" s="9">
        <v>0</v>
      </c>
      <c r="H438" s="70">
        <f t="shared" si="6"/>
        <v>0</v>
      </c>
      <c r="I438" s="11">
        <v>46071</v>
      </c>
      <c r="J438" s="11">
        <v>46070</v>
      </c>
      <c r="K438" s="13"/>
    </row>
    <row r="439" spans="1:11" ht="18" x14ac:dyDescent="0.4">
      <c r="A439" s="7" t="s">
        <v>719</v>
      </c>
      <c r="B439" s="7" t="s">
        <v>403</v>
      </c>
      <c r="C439" s="8">
        <v>34836</v>
      </c>
      <c r="D439" s="9">
        <v>552677770</v>
      </c>
      <c r="E439" s="57">
        <v>480</v>
      </c>
      <c r="F439" s="10" t="s">
        <v>146</v>
      </c>
      <c r="G439" s="9">
        <v>0</v>
      </c>
      <c r="H439" s="70">
        <f t="shared" si="6"/>
        <v>0</v>
      </c>
      <c r="I439" s="11">
        <v>46071</v>
      </c>
      <c r="J439" s="11">
        <v>46070</v>
      </c>
      <c r="K439" s="13"/>
    </row>
    <row r="440" spans="1:11" ht="18" x14ac:dyDescent="0.4">
      <c r="A440" s="7" t="s">
        <v>719</v>
      </c>
      <c r="B440" s="7" t="s">
        <v>403</v>
      </c>
      <c r="C440" s="8">
        <v>34836</v>
      </c>
      <c r="D440" s="9">
        <v>552677810</v>
      </c>
      <c r="E440" s="57">
        <v>480</v>
      </c>
      <c r="F440" s="10" t="s">
        <v>147</v>
      </c>
      <c r="G440" s="9">
        <v>0</v>
      </c>
      <c r="H440" s="70">
        <f t="shared" si="6"/>
        <v>0</v>
      </c>
      <c r="I440" s="11">
        <v>46071</v>
      </c>
      <c r="J440" s="11">
        <v>46070</v>
      </c>
      <c r="K440" s="13"/>
    </row>
    <row r="441" spans="1:11" ht="18" x14ac:dyDescent="0.4">
      <c r="A441" s="7" t="s">
        <v>719</v>
      </c>
      <c r="B441" s="7" t="s">
        <v>403</v>
      </c>
      <c r="C441" s="8">
        <v>34836</v>
      </c>
      <c r="D441" s="9">
        <v>552677820</v>
      </c>
      <c r="E441" s="57">
        <v>480</v>
      </c>
      <c r="F441" s="10" t="s">
        <v>148</v>
      </c>
      <c r="G441" s="9">
        <v>0</v>
      </c>
      <c r="H441" s="70">
        <f t="shared" si="6"/>
        <v>0</v>
      </c>
      <c r="I441" s="11">
        <v>46071</v>
      </c>
      <c r="J441" s="11">
        <v>46070</v>
      </c>
      <c r="K441" s="13"/>
    </row>
    <row r="442" spans="1:11" ht="18" x14ac:dyDescent="0.4">
      <c r="A442" s="7" t="s">
        <v>719</v>
      </c>
      <c r="B442" s="7" t="s">
        <v>403</v>
      </c>
      <c r="C442" s="8">
        <v>34836</v>
      </c>
      <c r="D442" s="9">
        <v>552677830</v>
      </c>
      <c r="E442" s="57">
        <v>480</v>
      </c>
      <c r="F442" s="10" t="s">
        <v>149</v>
      </c>
      <c r="G442" s="9">
        <v>0</v>
      </c>
      <c r="H442" s="70">
        <f t="shared" si="6"/>
        <v>0</v>
      </c>
      <c r="I442" s="11">
        <v>46071</v>
      </c>
      <c r="J442" s="11">
        <v>46070</v>
      </c>
      <c r="K442" s="13"/>
    </row>
    <row r="443" spans="1:11" ht="18" x14ac:dyDescent="0.4">
      <c r="A443" s="7" t="s">
        <v>719</v>
      </c>
      <c r="B443" s="7" t="s">
        <v>403</v>
      </c>
      <c r="C443" s="8">
        <v>34836</v>
      </c>
      <c r="D443" s="9">
        <v>552679480</v>
      </c>
      <c r="E443" s="57">
        <v>600</v>
      </c>
      <c r="F443" s="10" t="s">
        <v>407</v>
      </c>
      <c r="G443" s="9">
        <v>0</v>
      </c>
      <c r="H443" s="70">
        <f t="shared" si="6"/>
        <v>0</v>
      </c>
      <c r="I443" s="11">
        <v>46071</v>
      </c>
      <c r="J443" s="11">
        <v>46070</v>
      </c>
      <c r="K443" s="13"/>
    </row>
    <row r="444" spans="1:11" ht="18" x14ac:dyDescent="0.4">
      <c r="A444" s="7" t="s">
        <v>719</v>
      </c>
      <c r="B444" s="7" t="s">
        <v>403</v>
      </c>
      <c r="C444" s="8">
        <v>34836</v>
      </c>
      <c r="D444" s="9">
        <v>552679440</v>
      </c>
      <c r="E444" s="57">
        <v>550</v>
      </c>
      <c r="F444" s="10" t="s">
        <v>408</v>
      </c>
      <c r="G444" s="9">
        <v>0</v>
      </c>
      <c r="H444" s="70">
        <f t="shared" si="6"/>
        <v>0</v>
      </c>
      <c r="I444" s="11">
        <v>46071</v>
      </c>
      <c r="J444" s="11">
        <v>46070</v>
      </c>
      <c r="K444" s="13"/>
    </row>
    <row r="445" spans="1:11" ht="18" x14ac:dyDescent="0.4">
      <c r="A445" s="7" t="s">
        <v>719</v>
      </c>
      <c r="B445" s="7" t="s">
        <v>403</v>
      </c>
      <c r="C445" s="8">
        <v>34836</v>
      </c>
      <c r="D445" s="9">
        <v>552786650</v>
      </c>
      <c r="E445" s="57">
        <v>180</v>
      </c>
      <c r="F445" s="10" t="s">
        <v>409</v>
      </c>
      <c r="G445" s="9">
        <v>0</v>
      </c>
      <c r="H445" s="70">
        <f t="shared" si="6"/>
        <v>0</v>
      </c>
      <c r="I445" s="11">
        <v>46071</v>
      </c>
      <c r="J445" s="11">
        <v>46070</v>
      </c>
      <c r="K445" s="13"/>
    </row>
    <row r="446" spans="1:11" ht="18" x14ac:dyDescent="0.4">
      <c r="A446" s="7" t="s">
        <v>719</v>
      </c>
      <c r="B446" s="7" t="s">
        <v>410</v>
      </c>
      <c r="C446" s="8">
        <v>28824</v>
      </c>
      <c r="D446" s="9">
        <v>552681400</v>
      </c>
      <c r="E446" s="57">
        <v>336</v>
      </c>
      <c r="F446" s="10" t="s">
        <v>411</v>
      </c>
      <c r="G446" s="9">
        <v>1344</v>
      </c>
      <c r="H446" s="70">
        <f t="shared" si="6"/>
        <v>4</v>
      </c>
      <c r="I446" s="11">
        <v>46071</v>
      </c>
      <c r="J446" s="11">
        <v>46070</v>
      </c>
      <c r="K446" s="13"/>
    </row>
    <row r="447" spans="1:11" ht="18" x14ac:dyDescent="0.4">
      <c r="A447" s="7" t="s">
        <v>719</v>
      </c>
      <c r="B447" s="7" t="s">
        <v>410</v>
      </c>
      <c r="C447" s="8">
        <v>28824</v>
      </c>
      <c r="D447" s="9">
        <v>552679510</v>
      </c>
      <c r="E447" s="57">
        <v>336</v>
      </c>
      <c r="F447" s="10" t="s">
        <v>411</v>
      </c>
      <c r="G447" s="9">
        <v>336</v>
      </c>
      <c r="H447" s="70">
        <f t="shared" si="6"/>
        <v>1</v>
      </c>
      <c r="I447" s="11">
        <v>46071</v>
      </c>
      <c r="J447" s="11">
        <v>46070</v>
      </c>
      <c r="K447" s="13"/>
    </row>
    <row r="448" spans="1:11" ht="18" x14ac:dyDescent="0.4">
      <c r="A448" s="7" t="s">
        <v>719</v>
      </c>
      <c r="B448" s="7" t="s">
        <v>412</v>
      </c>
      <c r="C448" s="8">
        <v>11431</v>
      </c>
      <c r="D448" s="9">
        <v>463365360</v>
      </c>
      <c r="E448" s="57">
        <v>1000</v>
      </c>
      <c r="F448" s="10" t="s">
        <v>413</v>
      </c>
      <c r="G448" s="9">
        <v>2000</v>
      </c>
      <c r="H448" s="70">
        <f t="shared" si="6"/>
        <v>2</v>
      </c>
      <c r="I448" s="11">
        <v>46071</v>
      </c>
      <c r="J448" s="11">
        <v>46070</v>
      </c>
      <c r="K448" s="13"/>
    </row>
    <row r="449" spans="1:11" ht="18" x14ac:dyDescent="0.4">
      <c r="A449" s="7" t="s">
        <v>719</v>
      </c>
      <c r="B449" s="7" t="s">
        <v>412</v>
      </c>
      <c r="C449" s="8">
        <v>11431</v>
      </c>
      <c r="D449" s="9">
        <v>463411530</v>
      </c>
      <c r="E449" s="57">
        <v>500</v>
      </c>
      <c r="F449" s="10" t="s">
        <v>413</v>
      </c>
      <c r="G449" s="9">
        <v>0</v>
      </c>
      <c r="H449" s="70">
        <f t="shared" si="6"/>
        <v>0</v>
      </c>
      <c r="I449" s="11">
        <v>46071</v>
      </c>
      <c r="J449" s="11">
        <v>46070</v>
      </c>
      <c r="K449" s="13"/>
    </row>
    <row r="450" spans="1:11" ht="18" x14ac:dyDescent="0.4">
      <c r="A450" s="7" t="s">
        <v>719</v>
      </c>
      <c r="B450" s="7" t="s">
        <v>414</v>
      </c>
      <c r="C450" s="8">
        <v>21570</v>
      </c>
      <c r="D450" s="9">
        <v>552754290</v>
      </c>
      <c r="E450" s="57">
        <v>800</v>
      </c>
      <c r="F450" s="10" t="s">
        <v>415</v>
      </c>
      <c r="G450" s="9">
        <v>6400</v>
      </c>
      <c r="H450" s="70">
        <f t="shared" si="6"/>
        <v>8</v>
      </c>
      <c r="I450" s="11">
        <v>46071</v>
      </c>
      <c r="J450" s="11">
        <v>46070</v>
      </c>
      <c r="K450" s="13"/>
    </row>
    <row r="451" spans="1:11" ht="18" x14ac:dyDescent="0.4">
      <c r="A451" s="7" t="s">
        <v>719</v>
      </c>
      <c r="B451" s="7" t="s">
        <v>414</v>
      </c>
      <c r="C451" s="8">
        <v>21570</v>
      </c>
      <c r="D451" s="9">
        <v>552682660</v>
      </c>
      <c r="E451" s="57">
        <v>1800</v>
      </c>
      <c r="F451" s="10" t="s">
        <v>416</v>
      </c>
      <c r="G451" s="9">
        <v>1800</v>
      </c>
      <c r="H451" s="70">
        <f t="shared" si="6"/>
        <v>1</v>
      </c>
      <c r="I451" s="11">
        <v>46071</v>
      </c>
      <c r="J451" s="11">
        <v>46070</v>
      </c>
      <c r="K451" s="13"/>
    </row>
    <row r="452" spans="1:11" ht="18" x14ac:dyDescent="0.4">
      <c r="A452" s="7" t="s">
        <v>719</v>
      </c>
      <c r="B452" s="7" t="s">
        <v>417</v>
      </c>
      <c r="C452" s="8">
        <v>23480</v>
      </c>
      <c r="D452" s="9">
        <v>552677420</v>
      </c>
      <c r="E452" s="57">
        <v>2475</v>
      </c>
      <c r="F452" s="10" t="s">
        <v>418</v>
      </c>
      <c r="G452" s="9">
        <v>2475</v>
      </c>
      <c r="H452" s="70">
        <f t="shared" si="6"/>
        <v>1</v>
      </c>
      <c r="I452" s="11">
        <v>46071</v>
      </c>
      <c r="J452" s="11">
        <v>46070</v>
      </c>
      <c r="K452" s="13"/>
    </row>
    <row r="453" spans="1:11" ht="18" x14ac:dyDescent="0.4">
      <c r="A453" s="7" t="s">
        <v>719</v>
      </c>
      <c r="B453" s="7" t="s">
        <v>417</v>
      </c>
      <c r="C453" s="8">
        <v>23480</v>
      </c>
      <c r="D453" s="9">
        <v>144576800</v>
      </c>
      <c r="E453" s="57">
        <v>1000</v>
      </c>
      <c r="F453" s="10" t="s">
        <v>419</v>
      </c>
      <c r="G453" s="9">
        <v>0</v>
      </c>
      <c r="H453" s="70">
        <f t="shared" si="6"/>
        <v>0</v>
      </c>
      <c r="I453" s="11">
        <v>46071</v>
      </c>
      <c r="J453" s="11">
        <v>46070</v>
      </c>
      <c r="K453" s="13"/>
    </row>
    <row r="454" spans="1:11" ht="18" x14ac:dyDescent="0.4">
      <c r="A454" s="7" t="s">
        <v>719</v>
      </c>
      <c r="B454" s="7" t="s">
        <v>417</v>
      </c>
      <c r="C454" s="8">
        <v>23480</v>
      </c>
      <c r="D454" s="9">
        <v>144534810</v>
      </c>
      <c r="E454" s="57">
        <v>4000</v>
      </c>
      <c r="F454" s="10" t="s">
        <v>420</v>
      </c>
      <c r="G454" s="9">
        <v>0</v>
      </c>
      <c r="H454" s="70">
        <f t="shared" si="6"/>
        <v>0</v>
      </c>
      <c r="I454" s="11">
        <v>46071</v>
      </c>
      <c r="J454" s="11">
        <v>46070</v>
      </c>
      <c r="K454" s="13"/>
    </row>
    <row r="455" spans="1:11" ht="18" x14ac:dyDescent="0.4">
      <c r="A455" s="7" t="s">
        <v>719</v>
      </c>
      <c r="B455" s="7" t="s">
        <v>421</v>
      </c>
      <c r="C455" s="8">
        <v>23481</v>
      </c>
      <c r="D455" s="9">
        <v>463411500</v>
      </c>
      <c r="E455" s="57">
        <v>1200</v>
      </c>
      <c r="F455" s="10" t="s">
        <v>224</v>
      </c>
      <c r="G455" s="9">
        <v>0</v>
      </c>
      <c r="H455" s="70">
        <f t="shared" si="6"/>
        <v>0</v>
      </c>
      <c r="I455" s="11">
        <v>46071</v>
      </c>
      <c r="J455" s="11">
        <v>46070</v>
      </c>
      <c r="K455" s="13"/>
    </row>
    <row r="456" spans="1:11" ht="18" x14ac:dyDescent="0.4">
      <c r="A456" s="7" t="s">
        <v>719</v>
      </c>
      <c r="B456" s="7" t="s">
        <v>422</v>
      </c>
      <c r="C456" s="8">
        <v>21342</v>
      </c>
      <c r="D456" s="9">
        <v>463509950</v>
      </c>
      <c r="E456" s="57">
        <v>30</v>
      </c>
      <c r="F456" s="10" t="s">
        <v>423</v>
      </c>
      <c r="G456" s="9">
        <v>0</v>
      </c>
      <c r="H456" s="70">
        <f t="shared" si="6"/>
        <v>0</v>
      </c>
      <c r="I456" s="11">
        <v>46071</v>
      </c>
      <c r="J456" s="11">
        <v>46070</v>
      </c>
      <c r="K456" s="13"/>
    </row>
    <row r="457" spans="1:11" ht="18" x14ac:dyDescent="0.4">
      <c r="A457" s="7" t="s">
        <v>719</v>
      </c>
      <c r="B457" s="7" t="s">
        <v>422</v>
      </c>
      <c r="C457" s="8">
        <v>21342</v>
      </c>
      <c r="D457" s="9">
        <v>463509960</v>
      </c>
      <c r="E457" s="57">
        <v>300</v>
      </c>
      <c r="F457" s="10" t="s">
        <v>424</v>
      </c>
      <c r="G457" s="9">
        <v>300</v>
      </c>
      <c r="H457" s="70">
        <f t="shared" si="6"/>
        <v>1</v>
      </c>
      <c r="I457" s="11">
        <v>46071</v>
      </c>
      <c r="J457" s="11">
        <v>46070</v>
      </c>
      <c r="K457" s="13"/>
    </row>
    <row r="458" spans="1:11" ht="18" x14ac:dyDescent="0.4">
      <c r="A458" s="7" t="s">
        <v>719</v>
      </c>
      <c r="B458" s="7" t="s">
        <v>422</v>
      </c>
      <c r="C458" s="8">
        <v>21342</v>
      </c>
      <c r="D458" s="9">
        <v>463462820</v>
      </c>
      <c r="E458" s="57">
        <v>480</v>
      </c>
      <c r="F458" s="10" t="s">
        <v>425</v>
      </c>
      <c r="G458" s="9">
        <v>1440</v>
      </c>
      <c r="H458" s="70">
        <f t="shared" si="6"/>
        <v>3</v>
      </c>
      <c r="I458" s="11">
        <v>46071</v>
      </c>
      <c r="J458" s="11">
        <v>46070</v>
      </c>
      <c r="K458" s="13"/>
    </row>
    <row r="459" spans="1:11" ht="18" x14ac:dyDescent="0.4">
      <c r="A459" s="7" t="s">
        <v>719</v>
      </c>
      <c r="B459" s="7" t="s">
        <v>422</v>
      </c>
      <c r="C459" s="8">
        <v>21342</v>
      </c>
      <c r="D459" s="9">
        <v>463462910</v>
      </c>
      <c r="E459" s="57">
        <v>420</v>
      </c>
      <c r="F459" s="10" t="s">
        <v>426</v>
      </c>
      <c r="G459" s="9">
        <v>0</v>
      </c>
      <c r="H459" s="70">
        <f t="shared" si="6"/>
        <v>0</v>
      </c>
      <c r="I459" s="11">
        <v>46071</v>
      </c>
      <c r="J459" s="11">
        <v>46070</v>
      </c>
      <c r="K459" s="13"/>
    </row>
    <row r="460" spans="1:11" ht="18" x14ac:dyDescent="0.4">
      <c r="A460" s="7" t="s">
        <v>719</v>
      </c>
      <c r="B460" s="7" t="s">
        <v>427</v>
      </c>
      <c r="C460" s="8">
        <v>14837</v>
      </c>
      <c r="D460" s="9">
        <v>552796450</v>
      </c>
      <c r="E460" s="57">
        <v>30</v>
      </c>
      <c r="F460" s="10" t="s">
        <v>428</v>
      </c>
      <c r="G460" s="9">
        <v>3000</v>
      </c>
      <c r="H460" s="70">
        <f t="shared" si="6"/>
        <v>100</v>
      </c>
      <c r="I460" s="11">
        <v>46071</v>
      </c>
      <c r="J460" s="11">
        <v>46070</v>
      </c>
      <c r="K460" s="13"/>
    </row>
    <row r="461" spans="1:11" ht="18" x14ac:dyDescent="0.4">
      <c r="A461" s="7" t="s">
        <v>719</v>
      </c>
      <c r="B461" s="7" t="s">
        <v>427</v>
      </c>
      <c r="C461" s="8">
        <v>14837</v>
      </c>
      <c r="D461" s="9">
        <v>463508220</v>
      </c>
      <c r="E461" s="57">
        <v>30</v>
      </c>
      <c r="F461" s="10" t="s">
        <v>428</v>
      </c>
      <c r="G461" s="9">
        <v>0</v>
      </c>
      <c r="H461" s="70">
        <f t="shared" si="6"/>
        <v>0</v>
      </c>
      <c r="I461" s="11">
        <v>46071</v>
      </c>
      <c r="J461" s="11">
        <v>46070</v>
      </c>
      <c r="K461" s="13"/>
    </row>
    <row r="462" spans="1:11" ht="18" x14ac:dyDescent="0.4">
      <c r="A462" s="7" t="s">
        <v>719</v>
      </c>
      <c r="B462" s="7" t="s">
        <v>429</v>
      </c>
      <c r="C462" s="8">
        <v>1097</v>
      </c>
      <c r="D462" s="9">
        <v>463550730</v>
      </c>
      <c r="E462" s="57">
        <v>24</v>
      </c>
      <c r="F462" s="10" t="s">
        <v>430</v>
      </c>
      <c r="G462" s="9">
        <v>816</v>
      </c>
      <c r="H462" s="70">
        <f t="shared" si="6"/>
        <v>34</v>
      </c>
      <c r="I462" s="11">
        <v>46071</v>
      </c>
      <c r="J462" s="11">
        <v>46070</v>
      </c>
      <c r="K462" s="13"/>
    </row>
    <row r="463" spans="1:11" ht="18" x14ac:dyDescent="0.4">
      <c r="A463" s="7" t="s">
        <v>719</v>
      </c>
      <c r="B463" s="7" t="s">
        <v>429</v>
      </c>
      <c r="C463" s="8">
        <v>1097</v>
      </c>
      <c r="D463" s="9">
        <v>463443560</v>
      </c>
      <c r="E463" s="57">
        <v>24</v>
      </c>
      <c r="F463" s="10" t="s">
        <v>431</v>
      </c>
      <c r="G463" s="9">
        <v>240</v>
      </c>
      <c r="H463" s="70">
        <f t="shared" si="6"/>
        <v>10</v>
      </c>
      <c r="I463" s="11">
        <v>46071</v>
      </c>
      <c r="J463" s="11">
        <v>46070</v>
      </c>
      <c r="K463" s="13"/>
    </row>
    <row r="464" spans="1:11" ht="18" x14ac:dyDescent="0.4">
      <c r="A464" s="7" t="s">
        <v>719</v>
      </c>
      <c r="B464" s="7" t="s">
        <v>429</v>
      </c>
      <c r="C464" s="8">
        <v>1097</v>
      </c>
      <c r="D464" s="9">
        <v>463555740</v>
      </c>
      <c r="E464" s="57">
        <v>24</v>
      </c>
      <c r="F464" s="10" t="s">
        <v>432</v>
      </c>
      <c r="G464" s="9">
        <v>864</v>
      </c>
      <c r="H464" s="70">
        <f t="shared" si="6"/>
        <v>36</v>
      </c>
      <c r="I464" s="11">
        <v>46071</v>
      </c>
      <c r="J464" s="11">
        <v>46070</v>
      </c>
      <c r="K464" s="13"/>
    </row>
    <row r="465" spans="1:11" ht="18" x14ac:dyDescent="0.4">
      <c r="A465" s="7" t="s">
        <v>719</v>
      </c>
      <c r="B465" s="7" t="s">
        <v>429</v>
      </c>
      <c r="C465" s="8">
        <v>1097</v>
      </c>
      <c r="D465" s="9">
        <v>463526980</v>
      </c>
      <c r="E465" s="57">
        <v>24</v>
      </c>
      <c r="F465" s="10" t="s">
        <v>433</v>
      </c>
      <c r="G465" s="9">
        <v>0</v>
      </c>
      <c r="H465" s="70">
        <f t="shared" si="6"/>
        <v>0</v>
      </c>
      <c r="I465" s="11">
        <v>46071</v>
      </c>
      <c r="J465" s="11">
        <v>46070</v>
      </c>
      <c r="K465" s="13"/>
    </row>
    <row r="466" spans="1:11" ht="18" x14ac:dyDescent="0.4">
      <c r="A466" s="7" t="s">
        <v>719</v>
      </c>
      <c r="B466" s="7" t="s">
        <v>434</v>
      </c>
      <c r="C466" s="8">
        <v>51620</v>
      </c>
      <c r="D466" s="9">
        <v>552685780</v>
      </c>
      <c r="E466" s="57">
        <v>840</v>
      </c>
      <c r="F466" s="10" t="s">
        <v>435</v>
      </c>
      <c r="G466" s="9">
        <v>840</v>
      </c>
      <c r="H466" s="70">
        <f t="shared" si="6"/>
        <v>1</v>
      </c>
      <c r="I466" s="11">
        <v>46071</v>
      </c>
      <c r="J466" s="11">
        <v>46070</v>
      </c>
      <c r="K466" s="13"/>
    </row>
    <row r="467" spans="1:11" ht="18" x14ac:dyDescent="0.4">
      <c r="A467" s="7" t="s">
        <v>719</v>
      </c>
      <c r="B467" s="7" t="s">
        <v>434</v>
      </c>
      <c r="C467" s="8">
        <v>51620</v>
      </c>
      <c r="D467" s="9">
        <v>552685800</v>
      </c>
      <c r="E467" s="57">
        <v>1440</v>
      </c>
      <c r="F467" s="10" t="s">
        <v>436</v>
      </c>
      <c r="G467" s="9">
        <v>7200</v>
      </c>
      <c r="H467" s="70">
        <f t="shared" si="6"/>
        <v>5</v>
      </c>
      <c r="I467" s="11">
        <v>46071</v>
      </c>
      <c r="J467" s="11">
        <v>46070</v>
      </c>
      <c r="K467" s="13"/>
    </row>
    <row r="468" spans="1:11" ht="18" x14ac:dyDescent="0.4">
      <c r="A468" s="7" t="s">
        <v>719</v>
      </c>
      <c r="B468" s="7" t="s">
        <v>434</v>
      </c>
      <c r="C468" s="8">
        <v>51620</v>
      </c>
      <c r="D468" s="9">
        <v>552685820</v>
      </c>
      <c r="E468" s="57">
        <v>840</v>
      </c>
      <c r="F468" s="10" t="s">
        <v>437</v>
      </c>
      <c r="G468" s="9">
        <v>840</v>
      </c>
      <c r="H468" s="70">
        <f t="shared" si="6"/>
        <v>1</v>
      </c>
      <c r="I468" s="11">
        <v>46071</v>
      </c>
      <c r="J468" s="11">
        <v>46070</v>
      </c>
      <c r="K468" s="13"/>
    </row>
    <row r="469" spans="1:11" ht="18" x14ac:dyDescent="0.4">
      <c r="A469" s="7" t="s">
        <v>719</v>
      </c>
      <c r="B469" s="7" t="s">
        <v>434</v>
      </c>
      <c r="C469" s="8">
        <v>51620</v>
      </c>
      <c r="D469" s="9">
        <v>552820620</v>
      </c>
      <c r="E469" s="57">
        <v>840</v>
      </c>
      <c r="F469" s="10" t="s">
        <v>435</v>
      </c>
      <c r="G469" s="9">
        <v>0</v>
      </c>
      <c r="H469" s="70">
        <f t="shared" si="6"/>
        <v>0</v>
      </c>
      <c r="I469" s="11">
        <v>46071</v>
      </c>
      <c r="J469" s="11">
        <v>46070</v>
      </c>
      <c r="K469" s="13"/>
    </row>
    <row r="470" spans="1:11" ht="18" x14ac:dyDescent="0.4">
      <c r="A470" s="7" t="s">
        <v>719</v>
      </c>
      <c r="B470" s="7" t="s">
        <v>434</v>
      </c>
      <c r="C470" s="8">
        <v>51620</v>
      </c>
      <c r="D470" s="9">
        <v>552820640</v>
      </c>
      <c r="E470" s="57">
        <v>1440</v>
      </c>
      <c r="F470" s="10" t="s">
        <v>436</v>
      </c>
      <c r="G470" s="9">
        <v>2880</v>
      </c>
      <c r="H470" s="70">
        <f t="shared" si="6"/>
        <v>2</v>
      </c>
      <c r="I470" s="11">
        <v>46071</v>
      </c>
      <c r="J470" s="11">
        <v>46070</v>
      </c>
      <c r="K470" s="13"/>
    </row>
    <row r="471" spans="1:11" ht="18" x14ac:dyDescent="0.4">
      <c r="A471" s="7" t="s">
        <v>719</v>
      </c>
      <c r="B471" s="7" t="s">
        <v>434</v>
      </c>
      <c r="C471" s="8">
        <v>51620</v>
      </c>
      <c r="D471" s="9">
        <v>552820660</v>
      </c>
      <c r="E471" s="57">
        <v>840</v>
      </c>
      <c r="F471" s="37" t="s">
        <v>437</v>
      </c>
      <c r="G471" s="9">
        <v>840</v>
      </c>
      <c r="H471" s="70">
        <f t="shared" si="6"/>
        <v>1</v>
      </c>
      <c r="I471" s="11">
        <v>46071</v>
      </c>
      <c r="J471" s="11">
        <v>46070</v>
      </c>
      <c r="K471" s="13"/>
    </row>
    <row r="472" spans="1:11" ht="18" x14ac:dyDescent="0.4">
      <c r="A472" s="7" t="s">
        <v>719</v>
      </c>
      <c r="B472" s="7" t="s">
        <v>434</v>
      </c>
      <c r="C472" s="8">
        <v>51620</v>
      </c>
      <c r="D472" s="9">
        <v>552685720</v>
      </c>
      <c r="E472" s="57">
        <v>4000</v>
      </c>
      <c r="F472" s="10" t="s">
        <v>438</v>
      </c>
      <c r="G472" s="9">
        <v>0</v>
      </c>
      <c r="H472" s="70">
        <f t="shared" si="6"/>
        <v>0</v>
      </c>
      <c r="I472" s="11">
        <v>46071</v>
      </c>
      <c r="J472" s="11">
        <v>46070</v>
      </c>
      <c r="K472" s="13"/>
    </row>
    <row r="473" spans="1:11" ht="18" x14ac:dyDescent="0.4">
      <c r="A473" s="7" t="s">
        <v>719</v>
      </c>
      <c r="B473" s="7" t="s">
        <v>439</v>
      </c>
      <c r="C473" s="8">
        <v>40840</v>
      </c>
      <c r="D473" s="9">
        <v>552731550</v>
      </c>
      <c r="E473" s="57">
        <v>1000</v>
      </c>
      <c r="F473" s="10" t="s">
        <v>440</v>
      </c>
      <c r="G473" s="9">
        <v>0</v>
      </c>
      <c r="H473" s="70">
        <f t="shared" si="6"/>
        <v>0</v>
      </c>
      <c r="I473" s="11">
        <v>46071</v>
      </c>
      <c r="J473" s="11">
        <v>46070</v>
      </c>
      <c r="K473" s="13"/>
    </row>
    <row r="474" spans="1:11" ht="18" x14ac:dyDescent="0.4">
      <c r="A474" s="7" t="s">
        <v>719</v>
      </c>
      <c r="B474" s="7" t="s">
        <v>439</v>
      </c>
      <c r="C474" s="8">
        <v>40840</v>
      </c>
      <c r="D474" s="9">
        <v>552716380</v>
      </c>
      <c r="E474" s="57">
        <v>500</v>
      </c>
      <c r="F474" s="10" t="s">
        <v>441</v>
      </c>
      <c r="G474" s="9">
        <v>0</v>
      </c>
      <c r="H474" s="70">
        <f t="shared" si="6"/>
        <v>0</v>
      </c>
      <c r="I474" s="11">
        <v>46071</v>
      </c>
      <c r="J474" s="11">
        <v>46070</v>
      </c>
      <c r="K474" s="13"/>
    </row>
    <row r="475" spans="1:11" ht="18" x14ac:dyDescent="0.4">
      <c r="A475" s="7" t="s">
        <v>719</v>
      </c>
      <c r="B475" s="7" t="s">
        <v>439</v>
      </c>
      <c r="C475" s="8">
        <v>40840</v>
      </c>
      <c r="D475" s="9">
        <v>552679610</v>
      </c>
      <c r="E475" s="57">
        <v>100</v>
      </c>
      <c r="F475" s="10" t="s">
        <v>442</v>
      </c>
      <c r="G475" s="9">
        <v>0</v>
      </c>
      <c r="H475" s="70">
        <f t="shared" si="6"/>
        <v>0</v>
      </c>
      <c r="I475" s="11">
        <v>46071</v>
      </c>
      <c r="J475" s="11">
        <v>46070</v>
      </c>
      <c r="K475" s="13"/>
    </row>
    <row r="476" spans="1:11" ht="18" x14ac:dyDescent="0.4">
      <c r="A476" s="7" t="s">
        <v>719</v>
      </c>
      <c r="B476" s="7" t="s">
        <v>439</v>
      </c>
      <c r="C476" s="8">
        <v>40840</v>
      </c>
      <c r="D476" s="9">
        <v>187503240</v>
      </c>
      <c r="E476" s="57">
        <v>1000</v>
      </c>
      <c r="F476" s="10" t="s">
        <v>443</v>
      </c>
      <c r="G476" s="9">
        <v>0</v>
      </c>
      <c r="H476" s="70">
        <f t="shared" si="6"/>
        <v>0</v>
      </c>
      <c r="I476" s="11">
        <v>46071</v>
      </c>
      <c r="J476" s="11">
        <v>46070</v>
      </c>
      <c r="K476" s="13"/>
    </row>
    <row r="477" spans="1:11" ht="18" x14ac:dyDescent="0.4">
      <c r="A477" s="7" t="s">
        <v>719</v>
      </c>
      <c r="B477" s="7" t="s">
        <v>439</v>
      </c>
      <c r="C477" s="8">
        <v>40840</v>
      </c>
      <c r="D477" s="9">
        <v>162859210</v>
      </c>
      <c r="E477" s="57">
        <v>1000</v>
      </c>
      <c r="F477" s="10" t="s">
        <v>444</v>
      </c>
      <c r="G477" s="9">
        <v>0</v>
      </c>
      <c r="H477" s="70">
        <f t="shared" si="6"/>
        <v>0</v>
      </c>
      <c r="I477" s="11">
        <v>46071</v>
      </c>
      <c r="J477" s="11">
        <v>46070</v>
      </c>
      <c r="K477" s="13"/>
    </row>
    <row r="478" spans="1:11" ht="18" x14ac:dyDescent="0.4">
      <c r="A478" s="7" t="s">
        <v>719</v>
      </c>
      <c r="B478" s="7" t="s">
        <v>439</v>
      </c>
      <c r="C478" s="8">
        <v>40840</v>
      </c>
      <c r="D478" s="9">
        <v>114843240</v>
      </c>
      <c r="E478" s="57">
        <v>1000</v>
      </c>
      <c r="F478" s="10" t="s">
        <v>445</v>
      </c>
      <c r="G478" s="9">
        <v>0</v>
      </c>
      <c r="H478" s="70">
        <f t="shared" si="6"/>
        <v>0</v>
      </c>
      <c r="I478" s="11">
        <v>46071</v>
      </c>
      <c r="J478" s="11">
        <v>46070</v>
      </c>
      <c r="K478" s="13"/>
    </row>
    <row r="479" spans="1:11" ht="18" x14ac:dyDescent="0.4">
      <c r="A479" s="7" t="s">
        <v>719</v>
      </c>
      <c r="B479" s="7" t="s">
        <v>446</v>
      </c>
      <c r="C479" s="8">
        <v>50111</v>
      </c>
      <c r="D479" s="9">
        <v>552679380</v>
      </c>
      <c r="E479" s="57">
        <v>5600</v>
      </c>
      <c r="F479" s="10" t="s">
        <v>447</v>
      </c>
      <c r="G479" s="9">
        <v>16800</v>
      </c>
      <c r="H479" s="70">
        <f t="shared" si="6"/>
        <v>3</v>
      </c>
      <c r="I479" s="11">
        <v>46071</v>
      </c>
      <c r="J479" s="11">
        <v>46070</v>
      </c>
      <c r="K479" s="13"/>
    </row>
    <row r="480" spans="1:11" ht="18" x14ac:dyDescent="0.4">
      <c r="A480" s="7" t="s">
        <v>719</v>
      </c>
      <c r="B480" s="7" t="s">
        <v>448</v>
      </c>
      <c r="C480" s="8">
        <v>33518</v>
      </c>
      <c r="D480" s="9">
        <v>552681850</v>
      </c>
      <c r="E480" s="57">
        <v>64</v>
      </c>
      <c r="F480" s="10" t="s">
        <v>449</v>
      </c>
      <c r="G480" s="9">
        <v>1024</v>
      </c>
      <c r="H480" s="70">
        <f t="shared" ref="H480:H543" si="7">+G480/E480</f>
        <v>16</v>
      </c>
      <c r="I480" s="11">
        <v>46071</v>
      </c>
      <c r="J480" s="11">
        <v>46070</v>
      </c>
      <c r="K480" s="13"/>
    </row>
    <row r="481" spans="1:11" ht="18" x14ac:dyDescent="0.4">
      <c r="A481" s="7" t="s">
        <v>719</v>
      </c>
      <c r="B481" s="7" t="s">
        <v>448</v>
      </c>
      <c r="C481" s="8">
        <v>33518</v>
      </c>
      <c r="D481" s="9">
        <v>552667970</v>
      </c>
      <c r="E481" s="57">
        <v>96</v>
      </c>
      <c r="F481" s="10" t="s">
        <v>450</v>
      </c>
      <c r="G481" s="9">
        <v>192</v>
      </c>
      <c r="H481" s="70">
        <f t="shared" si="7"/>
        <v>2</v>
      </c>
      <c r="I481" s="11">
        <v>46071</v>
      </c>
      <c r="J481" s="11">
        <v>46070</v>
      </c>
      <c r="K481" s="13"/>
    </row>
    <row r="482" spans="1:11" ht="18" x14ac:dyDescent="0.4">
      <c r="A482" s="7" t="s">
        <v>719</v>
      </c>
      <c r="B482" s="7" t="s">
        <v>448</v>
      </c>
      <c r="C482" s="8">
        <v>33518</v>
      </c>
      <c r="D482" s="9">
        <v>463411480</v>
      </c>
      <c r="E482" s="57">
        <v>96</v>
      </c>
      <c r="F482" s="10" t="s">
        <v>450</v>
      </c>
      <c r="G482" s="9">
        <v>0</v>
      </c>
      <c r="H482" s="70">
        <f t="shared" si="7"/>
        <v>0</v>
      </c>
      <c r="I482" s="11">
        <v>46071</v>
      </c>
      <c r="J482" s="11">
        <v>46070</v>
      </c>
      <c r="K482" s="13"/>
    </row>
    <row r="483" spans="1:11" ht="18" x14ac:dyDescent="0.4">
      <c r="A483" s="7" t="s">
        <v>719</v>
      </c>
      <c r="B483" s="7" t="s">
        <v>451</v>
      </c>
      <c r="C483" s="8">
        <v>30467</v>
      </c>
      <c r="D483" s="9">
        <v>552703690</v>
      </c>
      <c r="E483" s="57">
        <v>2000</v>
      </c>
      <c r="F483" s="10" t="s">
        <v>184</v>
      </c>
      <c r="G483" s="9">
        <v>0</v>
      </c>
      <c r="H483" s="70">
        <f t="shared" si="7"/>
        <v>0</v>
      </c>
      <c r="I483" s="11">
        <v>46071</v>
      </c>
      <c r="J483" s="11">
        <v>46070</v>
      </c>
      <c r="K483" s="13"/>
    </row>
    <row r="484" spans="1:11" ht="18" x14ac:dyDescent="0.4">
      <c r="A484" s="7" t="s">
        <v>719</v>
      </c>
      <c r="B484" s="7" t="s">
        <v>452</v>
      </c>
      <c r="C484" s="8">
        <v>56589</v>
      </c>
      <c r="D484" s="9">
        <v>552681677</v>
      </c>
      <c r="E484" s="57">
        <v>48</v>
      </c>
      <c r="F484" s="10" t="s">
        <v>453</v>
      </c>
      <c r="G484" s="9">
        <v>624</v>
      </c>
      <c r="H484" s="70">
        <f t="shared" si="7"/>
        <v>13</v>
      </c>
      <c r="I484" s="11">
        <v>46071</v>
      </c>
      <c r="J484" s="11">
        <v>46070</v>
      </c>
      <c r="K484" s="13"/>
    </row>
    <row r="485" spans="1:11" ht="18" x14ac:dyDescent="0.4">
      <c r="A485" s="7" t="s">
        <v>719</v>
      </c>
      <c r="B485" s="7" t="s">
        <v>452</v>
      </c>
      <c r="C485" s="8">
        <v>56589</v>
      </c>
      <c r="D485" s="9">
        <v>552657037</v>
      </c>
      <c r="E485" s="57">
        <v>48</v>
      </c>
      <c r="F485" s="10" t="s">
        <v>454</v>
      </c>
      <c r="G485" s="9">
        <v>0</v>
      </c>
      <c r="H485" s="70">
        <f t="shared" si="7"/>
        <v>0</v>
      </c>
      <c r="I485" s="11">
        <v>46071</v>
      </c>
      <c r="J485" s="11">
        <v>46070</v>
      </c>
      <c r="K485" s="13"/>
    </row>
    <row r="486" spans="1:11" ht="18" x14ac:dyDescent="0.4">
      <c r="A486" s="7" t="s">
        <v>719</v>
      </c>
      <c r="B486" s="7" t="s">
        <v>452</v>
      </c>
      <c r="C486" s="8">
        <v>56589</v>
      </c>
      <c r="D486" s="9">
        <v>552681750</v>
      </c>
      <c r="E486" s="57">
        <v>120</v>
      </c>
      <c r="F486" s="10" t="s">
        <v>455</v>
      </c>
      <c r="G486" s="9">
        <v>1200</v>
      </c>
      <c r="H486" s="70">
        <f t="shared" si="7"/>
        <v>10</v>
      </c>
      <c r="I486" s="11">
        <v>46071</v>
      </c>
      <c r="J486" s="11">
        <v>46070</v>
      </c>
      <c r="K486" s="13"/>
    </row>
    <row r="487" spans="1:11" ht="18" x14ac:dyDescent="0.4">
      <c r="A487" s="7" t="s">
        <v>719</v>
      </c>
      <c r="B487" s="7" t="s">
        <v>452</v>
      </c>
      <c r="C487" s="8">
        <v>56589</v>
      </c>
      <c r="D487" s="9">
        <v>552680020</v>
      </c>
      <c r="E487" s="57">
        <v>120</v>
      </c>
      <c r="F487" s="10" t="s">
        <v>456</v>
      </c>
      <c r="G487" s="9">
        <v>480</v>
      </c>
      <c r="H487" s="70">
        <f t="shared" si="7"/>
        <v>4</v>
      </c>
      <c r="I487" s="11">
        <v>46071</v>
      </c>
      <c r="J487" s="11">
        <v>46070</v>
      </c>
      <c r="K487" s="13"/>
    </row>
    <row r="488" spans="1:11" ht="18" x14ac:dyDescent="0.4">
      <c r="A488" s="7" t="s">
        <v>719</v>
      </c>
      <c r="B488" s="7" t="s">
        <v>457</v>
      </c>
      <c r="C488" s="8">
        <v>35657</v>
      </c>
      <c r="D488" s="9">
        <v>552677430</v>
      </c>
      <c r="E488" s="57">
        <v>6000</v>
      </c>
      <c r="F488" s="10" t="s">
        <v>243</v>
      </c>
      <c r="G488" s="9">
        <v>0</v>
      </c>
      <c r="H488" s="70">
        <f t="shared" si="7"/>
        <v>0</v>
      </c>
      <c r="I488" s="11">
        <v>46071</v>
      </c>
      <c r="J488" s="11">
        <v>46070</v>
      </c>
      <c r="K488" s="13"/>
    </row>
    <row r="489" spans="1:11" ht="18" x14ac:dyDescent="0.4">
      <c r="A489" s="7" t="s">
        <v>719</v>
      </c>
      <c r="B489" s="7" t="s">
        <v>458</v>
      </c>
      <c r="C489" s="8">
        <v>68265</v>
      </c>
      <c r="D489" s="9">
        <v>463375350</v>
      </c>
      <c r="E489" s="57">
        <v>7200</v>
      </c>
      <c r="F489" s="10" t="s">
        <v>459</v>
      </c>
      <c r="G489" s="9">
        <v>14400</v>
      </c>
      <c r="H489" s="70">
        <f t="shared" si="7"/>
        <v>2</v>
      </c>
      <c r="I489" s="11">
        <v>46071</v>
      </c>
      <c r="J489" s="11">
        <v>46070</v>
      </c>
      <c r="K489" s="13"/>
    </row>
    <row r="490" spans="1:11" ht="18" x14ac:dyDescent="0.4">
      <c r="A490" s="7" t="s">
        <v>719</v>
      </c>
      <c r="B490" s="7" t="s">
        <v>458</v>
      </c>
      <c r="C490" s="8">
        <v>68265</v>
      </c>
      <c r="D490" s="9">
        <v>552679420</v>
      </c>
      <c r="E490" s="57">
        <v>3360</v>
      </c>
      <c r="F490" s="10" t="s">
        <v>460</v>
      </c>
      <c r="G490" s="9">
        <v>16800</v>
      </c>
      <c r="H490" s="70">
        <f t="shared" si="7"/>
        <v>5</v>
      </c>
      <c r="I490" s="11">
        <v>46071</v>
      </c>
      <c r="J490" s="11">
        <v>46070</v>
      </c>
      <c r="K490" s="13"/>
    </row>
    <row r="491" spans="1:11" ht="18" x14ac:dyDescent="0.4">
      <c r="A491" s="7" t="s">
        <v>719</v>
      </c>
      <c r="B491" s="7" t="s">
        <v>458</v>
      </c>
      <c r="C491" s="8">
        <v>68265</v>
      </c>
      <c r="D491" s="9">
        <v>463541260</v>
      </c>
      <c r="E491" s="57">
        <v>120</v>
      </c>
      <c r="F491" s="10" t="s">
        <v>461</v>
      </c>
      <c r="G491" s="9">
        <v>480</v>
      </c>
      <c r="H491" s="70">
        <f t="shared" si="7"/>
        <v>4</v>
      </c>
      <c r="I491" s="11">
        <v>46071</v>
      </c>
      <c r="J491" s="11">
        <v>46070</v>
      </c>
      <c r="K491" s="13"/>
    </row>
    <row r="492" spans="1:11" ht="18" x14ac:dyDescent="0.4">
      <c r="A492" s="7" t="s">
        <v>719</v>
      </c>
      <c r="B492" s="7" t="s">
        <v>458</v>
      </c>
      <c r="C492" s="8">
        <v>68265</v>
      </c>
      <c r="D492" s="9">
        <v>463541240</v>
      </c>
      <c r="E492" s="57">
        <v>120</v>
      </c>
      <c r="F492" s="10" t="s">
        <v>462</v>
      </c>
      <c r="G492" s="9">
        <v>720</v>
      </c>
      <c r="H492" s="70">
        <f t="shared" si="7"/>
        <v>6</v>
      </c>
      <c r="I492" s="11">
        <v>46071</v>
      </c>
      <c r="J492" s="11">
        <v>46070</v>
      </c>
      <c r="K492" s="13"/>
    </row>
    <row r="493" spans="1:11" ht="21" customHeight="1" x14ac:dyDescent="0.4">
      <c r="A493" s="7" t="s">
        <v>719</v>
      </c>
      <c r="B493" s="7" t="s">
        <v>463</v>
      </c>
      <c r="C493" s="8">
        <v>1020</v>
      </c>
      <c r="D493" s="9">
        <v>552732717</v>
      </c>
      <c r="E493" s="57">
        <v>30</v>
      </c>
      <c r="F493" s="10" t="s">
        <v>464</v>
      </c>
      <c r="G493" s="9">
        <v>600</v>
      </c>
      <c r="H493" s="70">
        <f t="shared" si="7"/>
        <v>20</v>
      </c>
      <c r="I493" s="11">
        <v>46071</v>
      </c>
      <c r="J493" s="11">
        <v>46070</v>
      </c>
      <c r="K493" s="13"/>
    </row>
    <row r="494" spans="1:11" ht="18" x14ac:dyDescent="0.4">
      <c r="A494" s="7" t="s">
        <v>719</v>
      </c>
      <c r="B494" s="7" t="s">
        <v>463</v>
      </c>
      <c r="C494" s="8">
        <v>1020</v>
      </c>
      <c r="D494" s="9">
        <v>552732747</v>
      </c>
      <c r="E494" s="57">
        <v>30</v>
      </c>
      <c r="F494" s="10" t="s">
        <v>465</v>
      </c>
      <c r="G494" s="9">
        <v>1800</v>
      </c>
      <c r="H494" s="70">
        <f t="shared" si="7"/>
        <v>60</v>
      </c>
      <c r="I494" s="11">
        <v>46071</v>
      </c>
      <c r="J494" s="11">
        <v>46070</v>
      </c>
      <c r="K494" s="13"/>
    </row>
    <row r="495" spans="1:11" ht="18" x14ac:dyDescent="0.4">
      <c r="A495" s="7" t="s">
        <v>719</v>
      </c>
      <c r="B495" s="7" t="s">
        <v>463</v>
      </c>
      <c r="C495" s="8">
        <v>1020</v>
      </c>
      <c r="D495" s="9">
        <v>552821208</v>
      </c>
      <c r="E495" s="57">
        <v>24</v>
      </c>
      <c r="F495" s="10" t="s">
        <v>466</v>
      </c>
      <c r="G495" s="9">
        <v>0</v>
      </c>
      <c r="H495" s="70">
        <f t="shared" si="7"/>
        <v>0</v>
      </c>
      <c r="I495" s="11">
        <v>46071</v>
      </c>
      <c r="J495" s="11">
        <v>46070</v>
      </c>
      <c r="K495" s="13"/>
    </row>
    <row r="496" spans="1:11" ht="18" x14ac:dyDescent="0.4">
      <c r="A496" s="7" t="s">
        <v>719</v>
      </c>
      <c r="B496" s="7" t="s">
        <v>463</v>
      </c>
      <c r="C496" s="8">
        <v>1020</v>
      </c>
      <c r="D496" s="9">
        <v>463404768</v>
      </c>
      <c r="E496" s="57">
        <v>24</v>
      </c>
      <c r="F496" s="10" t="s">
        <v>466</v>
      </c>
      <c r="G496" s="9">
        <v>1800</v>
      </c>
      <c r="H496" s="70">
        <f t="shared" si="7"/>
        <v>75</v>
      </c>
      <c r="I496" s="11">
        <v>46071</v>
      </c>
      <c r="J496" s="11">
        <v>46070</v>
      </c>
      <c r="K496" s="13"/>
    </row>
    <row r="497" spans="1:11" ht="18" x14ac:dyDescent="0.4">
      <c r="A497" s="7" t="s">
        <v>719</v>
      </c>
      <c r="B497" s="7" t="s">
        <v>463</v>
      </c>
      <c r="C497" s="8">
        <v>1020</v>
      </c>
      <c r="D497" s="9">
        <v>552821178</v>
      </c>
      <c r="E497" s="57">
        <v>24</v>
      </c>
      <c r="F497" s="10" t="s">
        <v>467</v>
      </c>
      <c r="G497" s="9">
        <v>624</v>
      </c>
      <c r="H497" s="70">
        <f t="shared" si="7"/>
        <v>26</v>
      </c>
      <c r="I497" s="11">
        <v>46071</v>
      </c>
      <c r="J497" s="11">
        <v>46070</v>
      </c>
      <c r="K497" s="13"/>
    </row>
    <row r="498" spans="1:11" ht="25.5" customHeight="1" x14ac:dyDescent="0.4">
      <c r="A498" s="7" t="s">
        <v>719</v>
      </c>
      <c r="B498" s="7" t="s">
        <v>95</v>
      </c>
      <c r="C498" s="8">
        <v>45150</v>
      </c>
      <c r="D498" s="9">
        <v>552681821</v>
      </c>
      <c r="E498" s="57">
        <v>40</v>
      </c>
      <c r="F498" s="37" t="s">
        <v>468</v>
      </c>
      <c r="G498" s="9">
        <v>1000</v>
      </c>
      <c r="H498" s="70">
        <f t="shared" si="7"/>
        <v>25</v>
      </c>
      <c r="I498" s="11">
        <v>46071</v>
      </c>
      <c r="J498" s="11">
        <v>46070</v>
      </c>
      <c r="K498" s="13"/>
    </row>
    <row r="499" spans="1:11" ht="18" x14ac:dyDescent="0.4">
      <c r="A499" s="7" t="s">
        <v>719</v>
      </c>
      <c r="B499" s="7" t="s">
        <v>95</v>
      </c>
      <c r="C499" s="8">
        <v>45150</v>
      </c>
      <c r="D499" s="9">
        <v>552677041</v>
      </c>
      <c r="E499" s="57">
        <v>40</v>
      </c>
      <c r="F499" s="10" t="s">
        <v>469</v>
      </c>
      <c r="G499" s="9">
        <v>600</v>
      </c>
      <c r="H499" s="70">
        <f t="shared" si="7"/>
        <v>15</v>
      </c>
      <c r="I499" s="11">
        <v>46071</v>
      </c>
      <c r="J499" s="11">
        <v>46070</v>
      </c>
      <c r="K499" s="13"/>
    </row>
    <row r="500" spans="1:11" ht="18" x14ac:dyDescent="0.4">
      <c r="A500" s="7" t="s">
        <v>719</v>
      </c>
      <c r="B500" s="7" t="s">
        <v>470</v>
      </c>
      <c r="C500" s="8">
        <v>21796</v>
      </c>
      <c r="D500" s="9">
        <v>552808040</v>
      </c>
      <c r="E500" s="57">
        <v>1920</v>
      </c>
      <c r="F500" s="10" t="s">
        <v>154</v>
      </c>
      <c r="G500" s="9">
        <v>5760</v>
      </c>
      <c r="H500" s="70">
        <f t="shared" si="7"/>
        <v>3</v>
      </c>
      <c r="I500" s="11">
        <v>46071</v>
      </c>
      <c r="J500" s="11">
        <v>46070</v>
      </c>
      <c r="K500" s="13"/>
    </row>
    <row r="501" spans="1:11" ht="18" x14ac:dyDescent="0.4">
      <c r="A501" s="7" t="s">
        <v>719</v>
      </c>
      <c r="B501" s="7" t="s">
        <v>471</v>
      </c>
      <c r="C501" s="8">
        <v>42932</v>
      </c>
      <c r="D501" s="9">
        <v>463404510</v>
      </c>
      <c r="E501" s="57">
        <v>60</v>
      </c>
      <c r="F501" s="10" t="s">
        <v>155</v>
      </c>
      <c r="G501" s="9">
        <v>600</v>
      </c>
      <c r="H501" s="70">
        <f t="shared" si="7"/>
        <v>10</v>
      </c>
      <c r="I501" s="11">
        <v>46071</v>
      </c>
      <c r="J501" s="11">
        <v>46070</v>
      </c>
      <c r="K501" s="13"/>
    </row>
    <row r="502" spans="1:11" ht="18" x14ac:dyDescent="0.4">
      <c r="A502" s="7" t="s">
        <v>719</v>
      </c>
      <c r="B502" s="7" t="s">
        <v>471</v>
      </c>
      <c r="C502" s="8">
        <v>42932</v>
      </c>
      <c r="D502" s="9">
        <v>463404780</v>
      </c>
      <c r="E502" s="57">
        <v>60</v>
      </c>
      <c r="F502" s="10" t="s">
        <v>155</v>
      </c>
      <c r="G502" s="9">
        <v>1920</v>
      </c>
      <c r="H502" s="70">
        <f t="shared" si="7"/>
        <v>32</v>
      </c>
      <c r="I502" s="11">
        <v>46071</v>
      </c>
      <c r="J502" s="11">
        <v>46070</v>
      </c>
      <c r="K502" s="13"/>
    </row>
    <row r="503" spans="1:11" ht="18" x14ac:dyDescent="0.4">
      <c r="A503" s="7" t="s">
        <v>719</v>
      </c>
      <c r="B503" s="7" t="s">
        <v>472</v>
      </c>
      <c r="C503" s="8">
        <v>41469</v>
      </c>
      <c r="D503" s="9">
        <v>463462830</v>
      </c>
      <c r="E503" s="57">
        <v>30</v>
      </c>
      <c r="F503" s="10" t="s">
        <v>428</v>
      </c>
      <c r="G503" s="9">
        <v>1050</v>
      </c>
      <c r="H503" s="70">
        <f t="shared" si="7"/>
        <v>35</v>
      </c>
      <c r="I503" s="11">
        <v>46071</v>
      </c>
      <c r="J503" s="11">
        <v>46070</v>
      </c>
      <c r="K503" s="12"/>
    </row>
    <row r="504" spans="1:11" ht="18" x14ac:dyDescent="0.4">
      <c r="A504" s="43" t="s">
        <v>719</v>
      </c>
      <c r="B504" s="43" t="s">
        <v>473</v>
      </c>
      <c r="C504" s="44">
        <v>31775</v>
      </c>
      <c r="D504" s="45">
        <v>463530880</v>
      </c>
      <c r="E504" s="65">
        <v>30</v>
      </c>
      <c r="F504" s="46" t="s">
        <v>474</v>
      </c>
      <c r="G504" s="45">
        <v>6000</v>
      </c>
      <c r="H504" s="70">
        <f t="shared" si="7"/>
        <v>200</v>
      </c>
      <c r="I504" s="11">
        <v>46071</v>
      </c>
      <c r="J504" s="47">
        <v>46070</v>
      </c>
      <c r="K504" s="48"/>
    </row>
    <row r="505" spans="1:11" ht="18" x14ac:dyDescent="0.4">
      <c r="A505" s="7" t="s">
        <v>475</v>
      </c>
      <c r="B505" s="16" t="s">
        <v>451</v>
      </c>
      <c r="C505" s="8">
        <v>30460</v>
      </c>
      <c r="D505" s="9">
        <v>463557158</v>
      </c>
      <c r="E505" s="57">
        <v>672</v>
      </c>
      <c r="F505" s="10" t="s">
        <v>476</v>
      </c>
      <c r="G505" s="9">
        <v>1344</v>
      </c>
      <c r="H505" s="70">
        <f t="shared" si="7"/>
        <v>2</v>
      </c>
      <c r="I505" s="11">
        <v>46071</v>
      </c>
      <c r="J505" s="11">
        <v>46070</v>
      </c>
      <c r="K505" s="8"/>
    </row>
    <row r="506" spans="1:11" ht="18" x14ac:dyDescent="0.4">
      <c r="A506" s="7" t="s">
        <v>475</v>
      </c>
      <c r="B506" s="16" t="s">
        <v>451</v>
      </c>
      <c r="C506" s="8">
        <v>30460</v>
      </c>
      <c r="D506" s="9">
        <v>463557148</v>
      </c>
      <c r="E506" s="57">
        <v>672</v>
      </c>
      <c r="F506" s="10" t="s">
        <v>477</v>
      </c>
      <c r="G506" s="9">
        <v>0</v>
      </c>
      <c r="H506" s="70">
        <f t="shared" si="7"/>
        <v>0</v>
      </c>
      <c r="I506" s="11">
        <v>46071</v>
      </c>
      <c r="J506" s="11">
        <v>46070</v>
      </c>
      <c r="K506" s="8"/>
    </row>
    <row r="507" spans="1:11" ht="18" x14ac:dyDescent="0.4">
      <c r="A507" s="7" t="s">
        <v>475</v>
      </c>
      <c r="B507" s="16" t="s">
        <v>451</v>
      </c>
      <c r="C507" s="8">
        <v>30460</v>
      </c>
      <c r="D507" s="9">
        <v>552664537</v>
      </c>
      <c r="E507" s="57">
        <v>792</v>
      </c>
      <c r="F507" s="10" t="s">
        <v>478</v>
      </c>
      <c r="G507" s="9">
        <v>2376</v>
      </c>
      <c r="H507" s="70">
        <f t="shared" si="7"/>
        <v>3</v>
      </c>
      <c r="I507" s="11">
        <v>46071</v>
      </c>
      <c r="J507" s="11">
        <v>46070</v>
      </c>
      <c r="K507" s="8"/>
    </row>
    <row r="508" spans="1:11" ht="18" x14ac:dyDescent="0.4">
      <c r="A508" s="7" t="s">
        <v>475</v>
      </c>
      <c r="B508" s="16" t="s">
        <v>451</v>
      </c>
      <c r="C508" s="8">
        <v>30460</v>
      </c>
      <c r="D508" s="9">
        <v>552664527</v>
      </c>
      <c r="E508" s="57">
        <v>792</v>
      </c>
      <c r="F508" s="10" t="s">
        <v>479</v>
      </c>
      <c r="G508" s="9">
        <v>0</v>
      </c>
      <c r="H508" s="70">
        <f t="shared" si="7"/>
        <v>0</v>
      </c>
      <c r="I508" s="11">
        <v>46071</v>
      </c>
      <c r="J508" s="11">
        <v>46070</v>
      </c>
      <c r="K508" s="8"/>
    </row>
    <row r="509" spans="1:11" ht="18" x14ac:dyDescent="0.4">
      <c r="A509" s="7" t="s">
        <v>475</v>
      </c>
      <c r="B509" s="16" t="s">
        <v>451</v>
      </c>
      <c r="C509" s="8">
        <v>30460</v>
      </c>
      <c r="D509" s="9">
        <v>552664547</v>
      </c>
      <c r="E509" s="57">
        <v>672</v>
      </c>
      <c r="F509" s="10" t="s">
        <v>480</v>
      </c>
      <c r="G509" s="9">
        <v>2016</v>
      </c>
      <c r="H509" s="70">
        <f t="shared" si="7"/>
        <v>3</v>
      </c>
      <c r="I509" s="11">
        <v>46071</v>
      </c>
      <c r="J509" s="11">
        <v>46070</v>
      </c>
      <c r="K509" s="8"/>
    </row>
    <row r="510" spans="1:11" ht="18" x14ac:dyDescent="0.4">
      <c r="A510" s="7" t="s">
        <v>475</v>
      </c>
      <c r="B510" s="16" t="s">
        <v>451</v>
      </c>
      <c r="C510" s="8">
        <v>30460</v>
      </c>
      <c r="D510" s="9">
        <v>552664557</v>
      </c>
      <c r="E510" s="57">
        <v>672</v>
      </c>
      <c r="F510" s="10" t="s">
        <v>481</v>
      </c>
      <c r="G510" s="9">
        <v>0</v>
      </c>
      <c r="H510" s="70">
        <f t="shared" si="7"/>
        <v>0</v>
      </c>
      <c r="I510" s="11">
        <v>46071</v>
      </c>
      <c r="J510" s="11">
        <v>46070</v>
      </c>
      <c r="K510" s="8"/>
    </row>
    <row r="511" spans="1:11" ht="18" x14ac:dyDescent="0.4">
      <c r="A511" s="7" t="s">
        <v>475</v>
      </c>
      <c r="B511" s="16" t="s">
        <v>451</v>
      </c>
      <c r="C511" s="8">
        <v>30460</v>
      </c>
      <c r="D511" s="9">
        <v>552664567</v>
      </c>
      <c r="E511" s="57">
        <v>756</v>
      </c>
      <c r="F511" s="10" t="s">
        <v>482</v>
      </c>
      <c r="G511" s="9">
        <v>1512</v>
      </c>
      <c r="H511" s="70">
        <f t="shared" si="7"/>
        <v>2</v>
      </c>
      <c r="I511" s="11">
        <v>46071</v>
      </c>
      <c r="J511" s="11">
        <v>46070</v>
      </c>
      <c r="K511" s="8"/>
    </row>
    <row r="512" spans="1:11" ht="18" x14ac:dyDescent="0.4">
      <c r="A512" s="7" t="s">
        <v>475</v>
      </c>
      <c r="B512" s="16" t="s">
        <v>451</v>
      </c>
      <c r="C512" s="8">
        <v>30460</v>
      </c>
      <c r="D512" s="9">
        <v>552664577</v>
      </c>
      <c r="E512" s="57">
        <v>756</v>
      </c>
      <c r="F512" s="10" t="s">
        <v>483</v>
      </c>
      <c r="G512" s="9">
        <v>0</v>
      </c>
      <c r="H512" s="70">
        <f t="shared" si="7"/>
        <v>0</v>
      </c>
      <c r="I512" s="11">
        <v>46071</v>
      </c>
      <c r="J512" s="11">
        <v>46070</v>
      </c>
      <c r="K512" s="8"/>
    </row>
    <row r="513" spans="1:11" ht="18" x14ac:dyDescent="0.4">
      <c r="A513" s="7" t="s">
        <v>475</v>
      </c>
      <c r="B513" s="16" t="s">
        <v>451</v>
      </c>
      <c r="C513" s="8">
        <v>30460</v>
      </c>
      <c r="D513" s="9">
        <v>463555108</v>
      </c>
      <c r="E513" s="57">
        <v>588</v>
      </c>
      <c r="F513" s="10" t="s">
        <v>484</v>
      </c>
      <c r="G513" s="9">
        <v>0</v>
      </c>
      <c r="H513" s="70">
        <f t="shared" si="7"/>
        <v>0</v>
      </c>
      <c r="I513" s="11">
        <v>46071</v>
      </c>
      <c r="J513" s="11">
        <v>46070</v>
      </c>
      <c r="K513" s="8"/>
    </row>
    <row r="514" spans="1:11" ht="18" x14ac:dyDescent="0.4">
      <c r="A514" s="7" t="s">
        <v>475</v>
      </c>
      <c r="B514" s="16" t="s">
        <v>451</v>
      </c>
      <c r="C514" s="8">
        <v>30460</v>
      </c>
      <c r="D514" s="9">
        <v>552086937</v>
      </c>
      <c r="E514" s="57">
        <v>588</v>
      </c>
      <c r="F514" s="10" t="s">
        <v>485</v>
      </c>
      <c r="G514" s="9">
        <v>0</v>
      </c>
      <c r="H514" s="70">
        <f t="shared" si="7"/>
        <v>0</v>
      </c>
      <c r="I514" s="11">
        <v>46071</v>
      </c>
      <c r="J514" s="11">
        <v>46070</v>
      </c>
      <c r="K514" s="8"/>
    </row>
    <row r="515" spans="1:11" ht="18" x14ac:dyDescent="0.4">
      <c r="A515" s="7" t="s">
        <v>475</v>
      </c>
      <c r="B515" s="16" t="s">
        <v>451</v>
      </c>
      <c r="C515" s="8">
        <v>30460</v>
      </c>
      <c r="D515" s="9">
        <v>463555088</v>
      </c>
      <c r="E515" s="57">
        <v>588</v>
      </c>
      <c r="F515" s="10" t="s">
        <v>486</v>
      </c>
      <c r="G515" s="9">
        <v>0</v>
      </c>
      <c r="H515" s="70">
        <f t="shared" si="7"/>
        <v>0</v>
      </c>
      <c r="I515" s="11">
        <v>46071</v>
      </c>
      <c r="J515" s="11">
        <v>46070</v>
      </c>
      <c r="K515" s="8"/>
    </row>
    <row r="516" spans="1:11" ht="18" x14ac:dyDescent="0.4">
      <c r="A516" s="7" t="s">
        <v>475</v>
      </c>
      <c r="B516" s="16" t="s">
        <v>451</v>
      </c>
      <c r="C516" s="8">
        <v>30460</v>
      </c>
      <c r="D516" s="9">
        <v>552086957</v>
      </c>
      <c r="E516" s="57">
        <v>588</v>
      </c>
      <c r="F516" s="10" t="s">
        <v>487</v>
      </c>
      <c r="G516" s="9">
        <v>0</v>
      </c>
      <c r="H516" s="70">
        <f t="shared" si="7"/>
        <v>0</v>
      </c>
      <c r="I516" s="11">
        <v>46071</v>
      </c>
      <c r="J516" s="11">
        <v>46070</v>
      </c>
      <c r="K516" s="8"/>
    </row>
    <row r="517" spans="1:11" ht="18" x14ac:dyDescent="0.4">
      <c r="A517" s="7" t="s">
        <v>475</v>
      </c>
      <c r="B517" s="16" t="s">
        <v>451</v>
      </c>
      <c r="C517" s="8">
        <v>30460</v>
      </c>
      <c r="D517" s="9">
        <v>552724278</v>
      </c>
      <c r="E517" s="57">
        <v>588</v>
      </c>
      <c r="F517" s="10" t="s">
        <v>488</v>
      </c>
      <c r="G517" s="9">
        <v>1176</v>
      </c>
      <c r="H517" s="70">
        <f t="shared" si="7"/>
        <v>2</v>
      </c>
      <c r="I517" s="11">
        <v>46071</v>
      </c>
      <c r="J517" s="11">
        <v>46070</v>
      </c>
      <c r="K517" s="8"/>
    </row>
    <row r="518" spans="1:11" ht="18" x14ac:dyDescent="0.4">
      <c r="A518" s="7" t="s">
        <v>475</v>
      </c>
      <c r="B518" s="16" t="s">
        <v>451</v>
      </c>
      <c r="C518" s="8">
        <v>30460</v>
      </c>
      <c r="D518" s="9">
        <v>552086967</v>
      </c>
      <c r="E518" s="57">
        <v>294</v>
      </c>
      <c r="F518" s="10" t="s">
        <v>489</v>
      </c>
      <c r="G518" s="9">
        <v>0</v>
      </c>
      <c r="H518" s="70">
        <f t="shared" si="7"/>
        <v>0</v>
      </c>
      <c r="I518" s="11">
        <v>46071</v>
      </c>
      <c r="J518" s="11">
        <v>46070</v>
      </c>
      <c r="K518" s="8"/>
    </row>
    <row r="519" spans="1:11" ht="18" x14ac:dyDescent="0.4">
      <c r="A519" s="7" t="s">
        <v>475</v>
      </c>
      <c r="B519" s="16" t="s">
        <v>451</v>
      </c>
      <c r="C519" s="8">
        <v>30460</v>
      </c>
      <c r="D519" s="9">
        <v>552086977</v>
      </c>
      <c r="E519" s="57">
        <v>294</v>
      </c>
      <c r="F519" s="10" t="s">
        <v>490</v>
      </c>
      <c r="G519" s="9">
        <v>0</v>
      </c>
      <c r="H519" s="70">
        <f t="shared" si="7"/>
        <v>0</v>
      </c>
      <c r="I519" s="11">
        <v>46071</v>
      </c>
      <c r="J519" s="11">
        <v>46070</v>
      </c>
      <c r="K519" s="8"/>
    </row>
    <row r="520" spans="1:11" ht="18" x14ac:dyDescent="0.4">
      <c r="A520" s="7" t="s">
        <v>475</v>
      </c>
      <c r="B520" s="16" t="s">
        <v>451</v>
      </c>
      <c r="C520" s="8">
        <v>30460</v>
      </c>
      <c r="D520" s="9">
        <v>77579477</v>
      </c>
      <c r="E520" s="57">
        <v>294</v>
      </c>
      <c r="F520" s="10" t="s">
        <v>491</v>
      </c>
      <c r="G520" s="9">
        <v>0</v>
      </c>
      <c r="H520" s="70">
        <f t="shared" si="7"/>
        <v>0</v>
      </c>
      <c r="I520" s="11">
        <v>46071</v>
      </c>
      <c r="J520" s="11">
        <v>46070</v>
      </c>
      <c r="K520" s="8"/>
    </row>
    <row r="521" spans="1:11" ht="18" x14ac:dyDescent="0.4">
      <c r="A521" s="7" t="s">
        <v>475</v>
      </c>
      <c r="B521" s="16" t="s">
        <v>451</v>
      </c>
      <c r="C521" s="8">
        <v>30460</v>
      </c>
      <c r="D521" s="9">
        <v>552698778</v>
      </c>
      <c r="E521" s="57">
        <v>672</v>
      </c>
      <c r="F521" s="10" t="s">
        <v>492</v>
      </c>
      <c r="G521" s="9">
        <v>0</v>
      </c>
      <c r="H521" s="70">
        <f t="shared" si="7"/>
        <v>0</v>
      </c>
      <c r="I521" s="11">
        <v>46071</v>
      </c>
      <c r="J521" s="11">
        <v>46070</v>
      </c>
      <c r="K521" s="8"/>
    </row>
    <row r="522" spans="1:11" ht="18" x14ac:dyDescent="0.4">
      <c r="A522" s="7" t="s">
        <v>475</v>
      </c>
      <c r="B522" s="16" t="s">
        <v>451</v>
      </c>
      <c r="C522" s="8">
        <v>30460</v>
      </c>
      <c r="D522" s="9">
        <v>552698768</v>
      </c>
      <c r="E522" s="57">
        <v>672</v>
      </c>
      <c r="F522" s="10" t="s">
        <v>493</v>
      </c>
      <c r="G522" s="9">
        <v>0</v>
      </c>
      <c r="H522" s="70">
        <f t="shared" si="7"/>
        <v>0</v>
      </c>
      <c r="I522" s="11">
        <v>46071</v>
      </c>
      <c r="J522" s="11">
        <v>46070</v>
      </c>
      <c r="K522" s="8"/>
    </row>
    <row r="523" spans="1:11" ht="18" x14ac:dyDescent="0.4">
      <c r="A523" s="7" t="s">
        <v>475</v>
      </c>
      <c r="B523" s="16" t="s">
        <v>451</v>
      </c>
      <c r="C523" s="8">
        <v>30460</v>
      </c>
      <c r="D523" s="9">
        <v>552698758</v>
      </c>
      <c r="E523" s="57">
        <v>672</v>
      </c>
      <c r="F523" s="10" t="s">
        <v>494</v>
      </c>
      <c r="G523" s="9">
        <v>0</v>
      </c>
      <c r="H523" s="70">
        <f t="shared" si="7"/>
        <v>0</v>
      </c>
      <c r="I523" s="11">
        <v>46071</v>
      </c>
      <c r="J523" s="11">
        <v>46070</v>
      </c>
      <c r="K523" s="8"/>
    </row>
    <row r="524" spans="1:11" ht="18" x14ac:dyDescent="0.4">
      <c r="A524" s="7" t="s">
        <v>475</v>
      </c>
      <c r="B524" s="16" t="s">
        <v>451</v>
      </c>
      <c r="C524" s="8">
        <v>30460</v>
      </c>
      <c r="D524" s="9">
        <v>552698748</v>
      </c>
      <c r="E524" s="57">
        <v>672</v>
      </c>
      <c r="F524" s="10" t="s">
        <v>495</v>
      </c>
      <c r="G524" s="9">
        <v>0</v>
      </c>
      <c r="H524" s="70">
        <f t="shared" si="7"/>
        <v>0</v>
      </c>
      <c r="I524" s="11">
        <v>46071</v>
      </c>
      <c r="J524" s="11">
        <v>46070</v>
      </c>
      <c r="K524" s="8"/>
    </row>
    <row r="525" spans="1:11" ht="18" x14ac:dyDescent="0.4">
      <c r="A525" s="7" t="s">
        <v>475</v>
      </c>
      <c r="B525" s="16" t="s">
        <v>451</v>
      </c>
      <c r="C525" s="8">
        <v>30460</v>
      </c>
      <c r="D525" s="9">
        <v>552724288</v>
      </c>
      <c r="E525" s="57">
        <v>672</v>
      </c>
      <c r="F525" s="10" t="s">
        <v>496</v>
      </c>
      <c r="G525" s="9">
        <v>0</v>
      </c>
      <c r="H525" s="70">
        <f t="shared" si="7"/>
        <v>0</v>
      </c>
      <c r="I525" s="11">
        <v>46071</v>
      </c>
      <c r="J525" s="11">
        <v>46070</v>
      </c>
      <c r="K525" s="8"/>
    </row>
    <row r="526" spans="1:11" ht="18" x14ac:dyDescent="0.4">
      <c r="A526" s="7" t="s">
        <v>475</v>
      </c>
      <c r="B526" s="16" t="s">
        <v>451</v>
      </c>
      <c r="C526" s="8">
        <v>30460</v>
      </c>
      <c r="D526" s="9">
        <v>467670637</v>
      </c>
      <c r="E526" s="57">
        <v>792</v>
      </c>
      <c r="F526" s="10" t="s">
        <v>497</v>
      </c>
      <c r="G526" s="9">
        <v>4752</v>
      </c>
      <c r="H526" s="70">
        <f t="shared" si="7"/>
        <v>6</v>
      </c>
      <c r="I526" s="11">
        <v>46071</v>
      </c>
      <c r="J526" s="11">
        <v>46070</v>
      </c>
      <c r="K526" s="8"/>
    </row>
    <row r="527" spans="1:11" ht="18" x14ac:dyDescent="0.4">
      <c r="A527" s="7" t="s">
        <v>475</v>
      </c>
      <c r="B527" s="16" t="s">
        <v>451</v>
      </c>
      <c r="C527" s="8">
        <v>30460</v>
      </c>
      <c r="D527" s="9">
        <v>552030228</v>
      </c>
      <c r="E527" s="57">
        <v>392</v>
      </c>
      <c r="F527" s="10" t="s">
        <v>498</v>
      </c>
      <c r="G527" s="9">
        <v>0</v>
      </c>
      <c r="H527" s="70">
        <f t="shared" si="7"/>
        <v>0</v>
      </c>
      <c r="I527" s="11">
        <v>46071</v>
      </c>
      <c r="J527" s="11">
        <v>46070</v>
      </c>
      <c r="K527" s="8"/>
    </row>
    <row r="528" spans="1:11" ht="18" x14ac:dyDescent="0.4">
      <c r="A528" s="7" t="s">
        <v>475</v>
      </c>
      <c r="B528" s="16" t="s">
        <v>451</v>
      </c>
      <c r="C528" s="8">
        <v>30460</v>
      </c>
      <c r="D528" s="9">
        <v>467784288</v>
      </c>
      <c r="E528" s="57">
        <v>392</v>
      </c>
      <c r="F528" s="10" t="s">
        <v>499</v>
      </c>
      <c r="G528" s="9">
        <v>1568</v>
      </c>
      <c r="H528" s="70">
        <f t="shared" si="7"/>
        <v>4</v>
      </c>
      <c r="I528" s="11">
        <v>46071</v>
      </c>
      <c r="J528" s="11">
        <v>46070</v>
      </c>
      <c r="K528" s="8"/>
    </row>
    <row r="529" spans="1:11" ht="18" x14ac:dyDescent="0.4">
      <c r="A529" s="7" t="s">
        <v>475</v>
      </c>
      <c r="B529" s="16" t="s">
        <v>451</v>
      </c>
      <c r="C529" s="8">
        <v>30460</v>
      </c>
      <c r="D529" s="9">
        <v>467784297</v>
      </c>
      <c r="E529" s="57">
        <v>392</v>
      </c>
      <c r="F529" s="10" t="s">
        <v>500</v>
      </c>
      <c r="G529" s="9">
        <v>0</v>
      </c>
      <c r="H529" s="70">
        <f t="shared" si="7"/>
        <v>0</v>
      </c>
      <c r="I529" s="11">
        <v>46071</v>
      </c>
      <c r="J529" s="11">
        <v>46070</v>
      </c>
      <c r="K529" s="8"/>
    </row>
    <row r="530" spans="1:11" ht="18" x14ac:dyDescent="0.4">
      <c r="A530" s="7" t="s">
        <v>475</v>
      </c>
      <c r="B530" s="16" t="s">
        <v>451</v>
      </c>
      <c r="C530" s="8">
        <v>30460</v>
      </c>
      <c r="D530" s="9">
        <v>551824567</v>
      </c>
      <c r="E530" s="57">
        <v>392</v>
      </c>
      <c r="F530" s="10" t="s">
        <v>501</v>
      </c>
      <c r="G530" s="9">
        <v>0</v>
      </c>
      <c r="H530" s="70">
        <f t="shared" si="7"/>
        <v>0</v>
      </c>
      <c r="I530" s="11">
        <v>46071</v>
      </c>
      <c r="J530" s="11">
        <v>46070</v>
      </c>
      <c r="K530" s="8"/>
    </row>
    <row r="531" spans="1:11" ht="18" x14ac:dyDescent="0.4">
      <c r="A531" s="7" t="s">
        <v>475</v>
      </c>
      <c r="B531" s="16" t="s">
        <v>451</v>
      </c>
      <c r="C531" s="8">
        <v>30460</v>
      </c>
      <c r="D531" s="9">
        <v>552433468</v>
      </c>
      <c r="E531" s="57">
        <v>392</v>
      </c>
      <c r="F531" s="10" t="s">
        <v>502</v>
      </c>
      <c r="G531" s="9">
        <v>0</v>
      </c>
      <c r="H531" s="70">
        <f t="shared" si="7"/>
        <v>0</v>
      </c>
      <c r="I531" s="11">
        <v>46071</v>
      </c>
      <c r="J531" s="11">
        <v>46070</v>
      </c>
      <c r="K531" s="8"/>
    </row>
    <row r="532" spans="1:11" ht="18" x14ac:dyDescent="0.4">
      <c r="A532" s="7" t="s">
        <v>475</v>
      </c>
      <c r="B532" s="16" t="s">
        <v>451</v>
      </c>
      <c r="C532" s="8">
        <v>30460</v>
      </c>
      <c r="D532" s="9">
        <v>463503958</v>
      </c>
      <c r="E532" s="57">
        <v>392</v>
      </c>
      <c r="F532" s="10" t="s">
        <v>503</v>
      </c>
      <c r="G532" s="9">
        <v>3528</v>
      </c>
      <c r="H532" s="70">
        <f t="shared" si="7"/>
        <v>9</v>
      </c>
      <c r="I532" s="11">
        <v>46071</v>
      </c>
      <c r="J532" s="11">
        <v>46070</v>
      </c>
      <c r="K532" s="8"/>
    </row>
    <row r="533" spans="1:11" ht="18" x14ac:dyDescent="0.4">
      <c r="A533" s="7" t="s">
        <v>475</v>
      </c>
      <c r="B533" s="16" t="s">
        <v>451</v>
      </c>
      <c r="C533" s="8">
        <v>30460</v>
      </c>
      <c r="D533" s="9">
        <v>552486498</v>
      </c>
      <c r="E533" s="57">
        <v>392</v>
      </c>
      <c r="F533" s="10" t="s">
        <v>504</v>
      </c>
      <c r="G533" s="9">
        <v>0</v>
      </c>
      <c r="H533" s="70">
        <f t="shared" si="7"/>
        <v>0</v>
      </c>
      <c r="I533" s="11">
        <v>46071</v>
      </c>
      <c r="J533" s="11">
        <v>46070</v>
      </c>
      <c r="K533" s="8"/>
    </row>
    <row r="534" spans="1:11" ht="18" x14ac:dyDescent="0.4">
      <c r="A534" s="7" t="s">
        <v>475</v>
      </c>
      <c r="B534" s="16" t="s">
        <v>451</v>
      </c>
      <c r="C534" s="8">
        <v>30460</v>
      </c>
      <c r="D534" s="9">
        <v>468076307</v>
      </c>
      <c r="E534" s="57">
        <v>546</v>
      </c>
      <c r="F534" s="10" t="s">
        <v>505</v>
      </c>
      <c r="G534" s="9">
        <v>0</v>
      </c>
      <c r="H534" s="70">
        <f t="shared" si="7"/>
        <v>0</v>
      </c>
      <c r="I534" s="11">
        <v>46071</v>
      </c>
      <c r="J534" s="11">
        <v>46070</v>
      </c>
      <c r="K534" s="8"/>
    </row>
    <row r="535" spans="1:11" ht="18" x14ac:dyDescent="0.4">
      <c r="A535" s="7" t="s">
        <v>475</v>
      </c>
      <c r="B535" s="16" t="s">
        <v>451</v>
      </c>
      <c r="C535" s="8">
        <v>30460</v>
      </c>
      <c r="D535" s="9">
        <v>468084487</v>
      </c>
      <c r="E535" s="57">
        <v>546</v>
      </c>
      <c r="F535" s="10" t="s">
        <v>506</v>
      </c>
      <c r="G535" s="9">
        <v>0</v>
      </c>
      <c r="H535" s="70">
        <f t="shared" si="7"/>
        <v>0</v>
      </c>
      <c r="I535" s="11">
        <v>46071</v>
      </c>
      <c r="J535" s="11">
        <v>46070</v>
      </c>
      <c r="K535" s="8"/>
    </row>
    <row r="536" spans="1:11" ht="18" x14ac:dyDescent="0.4">
      <c r="A536" s="7" t="s">
        <v>475</v>
      </c>
      <c r="B536" s="16" t="s">
        <v>451</v>
      </c>
      <c r="C536" s="8">
        <v>30460</v>
      </c>
      <c r="D536" s="9">
        <v>552727098</v>
      </c>
      <c r="E536" s="57">
        <v>546</v>
      </c>
      <c r="F536" s="10" t="s">
        <v>507</v>
      </c>
      <c r="G536" s="9">
        <v>6552</v>
      </c>
      <c r="H536" s="70">
        <f t="shared" si="7"/>
        <v>12</v>
      </c>
      <c r="I536" s="11">
        <v>46071</v>
      </c>
      <c r="J536" s="11">
        <v>46070</v>
      </c>
      <c r="K536" s="8"/>
    </row>
    <row r="537" spans="1:11" ht="18" x14ac:dyDescent="0.4">
      <c r="A537" s="7" t="s">
        <v>475</v>
      </c>
      <c r="B537" s="16" t="s">
        <v>451</v>
      </c>
      <c r="C537" s="8">
        <v>30460</v>
      </c>
      <c r="D537" s="9">
        <v>552792228</v>
      </c>
      <c r="E537" s="57">
        <v>546</v>
      </c>
      <c r="F537" s="10" t="s">
        <v>508</v>
      </c>
      <c r="G537" s="9">
        <v>0</v>
      </c>
      <c r="H537" s="70">
        <f t="shared" si="7"/>
        <v>0</v>
      </c>
      <c r="I537" s="11">
        <v>46071</v>
      </c>
      <c r="J537" s="11">
        <v>46070</v>
      </c>
      <c r="K537" s="8"/>
    </row>
    <row r="538" spans="1:11" ht="18" x14ac:dyDescent="0.4">
      <c r="A538" s="7" t="s">
        <v>475</v>
      </c>
      <c r="B538" s="16" t="s">
        <v>451</v>
      </c>
      <c r="C538" s="8">
        <v>30460</v>
      </c>
      <c r="D538" s="9">
        <v>59507209</v>
      </c>
      <c r="E538" s="57">
        <v>450</v>
      </c>
      <c r="F538" s="10" t="s">
        <v>509</v>
      </c>
      <c r="G538" s="9">
        <v>4500</v>
      </c>
      <c r="H538" s="70">
        <f t="shared" si="7"/>
        <v>10</v>
      </c>
      <c r="I538" s="11">
        <v>46071</v>
      </c>
      <c r="J538" s="11">
        <v>46070</v>
      </c>
      <c r="K538" s="8"/>
    </row>
    <row r="539" spans="1:11" ht="18" x14ac:dyDescent="0.4">
      <c r="A539" s="7" t="s">
        <v>475</v>
      </c>
      <c r="B539" s="16" t="s">
        <v>451</v>
      </c>
      <c r="C539" s="8">
        <v>30460</v>
      </c>
      <c r="D539" s="9">
        <v>77894039</v>
      </c>
      <c r="E539" s="57">
        <v>2880</v>
      </c>
      <c r="F539" s="10" t="s">
        <v>510</v>
      </c>
      <c r="G539" s="9">
        <v>0</v>
      </c>
      <c r="H539" s="70">
        <f t="shared" si="7"/>
        <v>0</v>
      </c>
      <c r="I539" s="11">
        <v>46071</v>
      </c>
      <c r="J539" s="11">
        <v>46070</v>
      </c>
      <c r="K539" s="8"/>
    </row>
    <row r="540" spans="1:11" ht="18" x14ac:dyDescent="0.4">
      <c r="A540" s="7" t="s">
        <v>475</v>
      </c>
      <c r="B540" s="16" t="s">
        <v>451</v>
      </c>
      <c r="C540" s="8">
        <v>30460</v>
      </c>
      <c r="D540" s="9">
        <v>551955737</v>
      </c>
      <c r="E540" s="57">
        <v>700</v>
      </c>
      <c r="F540" s="10" t="s">
        <v>511</v>
      </c>
      <c r="G540" s="9">
        <v>1400</v>
      </c>
      <c r="H540" s="70">
        <f t="shared" si="7"/>
        <v>2</v>
      </c>
      <c r="I540" s="11">
        <v>46071</v>
      </c>
      <c r="J540" s="11">
        <v>46070</v>
      </c>
      <c r="K540" s="8"/>
    </row>
    <row r="541" spans="1:11" ht="18" x14ac:dyDescent="0.4">
      <c r="A541" s="7" t="s">
        <v>475</v>
      </c>
      <c r="B541" s="16" t="s">
        <v>451</v>
      </c>
      <c r="C541" s="8">
        <v>30460</v>
      </c>
      <c r="D541" s="9">
        <v>551955748</v>
      </c>
      <c r="E541" s="57">
        <v>700</v>
      </c>
      <c r="F541" s="10" t="s">
        <v>512</v>
      </c>
      <c r="G541" s="9">
        <v>0</v>
      </c>
      <c r="H541" s="70">
        <f t="shared" si="7"/>
        <v>0</v>
      </c>
      <c r="I541" s="11">
        <v>46071</v>
      </c>
      <c r="J541" s="11">
        <v>46070</v>
      </c>
      <c r="K541" s="8"/>
    </row>
    <row r="542" spans="1:11" ht="18" x14ac:dyDescent="0.4">
      <c r="A542" s="7" t="s">
        <v>475</v>
      </c>
      <c r="B542" s="16" t="s">
        <v>451</v>
      </c>
      <c r="C542" s="8">
        <v>30460</v>
      </c>
      <c r="D542" s="9">
        <v>552792238</v>
      </c>
      <c r="E542" s="57">
        <v>700</v>
      </c>
      <c r="F542" s="10" t="s">
        <v>513</v>
      </c>
      <c r="G542" s="9">
        <v>0</v>
      </c>
      <c r="H542" s="70">
        <f t="shared" si="7"/>
        <v>0</v>
      </c>
      <c r="I542" s="11">
        <v>46071</v>
      </c>
      <c r="J542" s="11">
        <v>46070</v>
      </c>
      <c r="K542" s="8"/>
    </row>
    <row r="543" spans="1:11" ht="18" x14ac:dyDescent="0.4">
      <c r="A543" s="60" t="s">
        <v>475</v>
      </c>
      <c r="B543" s="81" t="s">
        <v>451</v>
      </c>
      <c r="C543" s="60">
        <v>30460</v>
      </c>
      <c r="D543" s="61">
        <v>463458098</v>
      </c>
      <c r="E543" s="57">
        <v>1650</v>
      </c>
      <c r="F543" s="10" t="s">
        <v>514</v>
      </c>
      <c r="G543" s="9">
        <v>1650</v>
      </c>
      <c r="H543" s="70">
        <f t="shared" si="7"/>
        <v>1</v>
      </c>
      <c r="I543" s="11">
        <v>46071</v>
      </c>
      <c r="J543" s="11">
        <v>46070</v>
      </c>
      <c r="K543" s="8"/>
    </row>
    <row r="544" spans="1:11" ht="18" x14ac:dyDescent="0.4">
      <c r="A544" s="7" t="s">
        <v>475</v>
      </c>
      <c r="B544" s="7" t="s">
        <v>95</v>
      </c>
      <c r="C544" s="8">
        <v>45150</v>
      </c>
      <c r="D544" s="9">
        <v>77894011</v>
      </c>
      <c r="E544" s="57">
        <v>300</v>
      </c>
      <c r="F544" s="10" t="s">
        <v>515</v>
      </c>
      <c r="G544" s="9">
        <v>1800</v>
      </c>
      <c r="H544" s="70">
        <f t="shared" ref="H544:H607" si="8">+G544/E544</f>
        <v>6</v>
      </c>
      <c r="I544" s="11">
        <v>46071</v>
      </c>
      <c r="J544" s="11">
        <v>46070</v>
      </c>
      <c r="K544" s="8"/>
    </row>
    <row r="545" spans="1:11" ht="18" x14ac:dyDescent="0.4">
      <c r="A545" s="7" t="s">
        <v>475</v>
      </c>
      <c r="B545" s="7" t="s">
        <v>95</v>
      </c>
      <c r="C545" s="8">
        <v>45150</v>
      </c>
      <c r="D545" s="9">
        <v>467721611</v>
      </c>
      <c r="E545" s="57">
        <v>240</v>
      </c>
      <c r="F545" s="10" t="s">
        <v>516</v>
      </c>
      <c r="G545" s="9">
        <v>1680</v>
      </c>
      <c r="H545" s="70">
        <f t="shared" si="8"/>
        <v>7</v>
      </c>
      <c r="I545" s="11">
        <v>46071</v>
      </c>
      <c r="J545" s="11">
        <v>46070</v>
      </c>
      <c r="K545" s="8"/>
    </row>
    <row r="546" spans="1:11" ht="18" x14ac:dyDescent="0.4">
      <c r="A546" s="60" t="s">
        <v>475</v>
      </c>
      <c r="B546" s="60" t="s">
        <v>517</v>
      </c>
      <c r="C546" s="60">
        <v>46051</v>
      </c>
      <c r="D546" s="61">
        <v>463559961</v>
      </c>
      <c r="E546" s="57">
        <v>270</v>
      </c>
      <c r="F546" s="10" t="s">
        <v>518</v>
      </c>
      <c r="G546" s="9">
        <v>0</v>
      </c>
      <c r="H546" s="70">
        <f t="shared" si="8"/>
        <v>0</v>
      </c>
      <c r="I546" s="11">
        <v>46071</v>
      </c>
      <c r="J546" s="11">
        <v>46070</v>
      </c>
      <c r="K546" s="8"/>
    </row>
    <row r="547" spans="1:11" ht="18" x14ac:dyDescent="0.4">
      <c r="A547" s="7" t="s">
        <v>475</v>
      </c>
      <c r="B547" s="7" t="s">
        <v>517</v>
      </c>
      <c r="C547" s="8">
        <v>46051</v>
      </c>
      <c r="D547" s="9">
        <v>75821121</v>
      </c>
      <c r="E547" s="57">
        <v>270</v>
      </c>
      <c r="F547" s="10" t="s">
        <v>519</v>
      </c>
      <c r="G547" s="9">
        <v>0</v>
      </c>
      <c r="H547" s="70">
        <f t="shared" si="8"/>
        <v>0</v>
      </c>
      <c r="I547" s="11">
        <v>46071</v>
      </c>
      <c r="J547" s="11">
        <v>46070</v>
      </c>
      <c r="K547" s="8"/>
    </row>
    <row r="548" spans="1:11" ht="18" x14ac:dyDescent="0.4">
      <c r="A548" s="7" t="s">
        <v>475</v>
      </c>
      <c r="B548" s="7" t="s">
        <v>517</v>
      </c>
      <c r="C548" s="8">
        <v>46051</v>
      </c>
      <c r="D548" s="9">
        <v>463433241</v>
      </c>
      <c r="E548" s="57">
        <v>270</v>
      </c>
      <c r="F548" s="10" t="s">
        <v>520</v>
      </c>
      <c r="G548" s="9">
        <v>2430</v>
      </c>
      <c r="H548" s="70">
        <f t="shared" si="8"/>
        <v>9</v>
      </c>
      <c r="I548" s="11">
        <v>46071</v>
      </c>
      <c r="J548" s="11">
        <v>46070</v>
      </c>
      <c r="K548" s="8"/>
    </row>
    <row r="549" spans="1:11" ht="18" x14ac:dyDescent="0.4">
      <c r="A549" s="7" t="s">
        <v>475</v>
      </c>
      <c r="B549" s="7" t="s">
        <v>517</v>
      </c>
      <c r="C549" s="8">
        <v>46051</v>
      </c>
      <c r="D549" s="9">
        <v>464420321</v>
      </c>
      <c r="E549" s="57">
        <v>270</v>
      </c>
      <c r="F549" s="10" t="s">
        <v>521</v>
      </c>
      <c r="G549" s="9">
        <v>0</v>
      </c>
      <c r="H549" s="70">
        <f t="shared" si="8"/>
        <v>0</v>
      </c>
      <c r="I549" s="11">
        <v>46071</v>
      </c>
      <c r="J549" s="11">
        <v>46070</v>
      </c>
      <c r="K549" s="8"/>
    </row>
    <row r="550" spans="1:11" ht="18" x14ac:dyDescent="0.4">
      <c r="A550" s="7" t="s">
        <v>475</v>
      </c>
      <c r="B550" s="7" t="s">
        <v>517</v>
      </c>
      <c r="C550" s="8">
        <v>46051</v>
      </c>
      <c r="D550" s="9">
        <v>465555151</v>
      </c>
      <c r="E550" s="57">
        <v>270</v>
      </c>
      <c r="F550" s="10" t="s">
        <v>522</v>
      </c>
      <c r="G550" s="9">
        <v>0</v>
      </c>
      <c r="H550" s="70">
        <f t="shared" si="8"/>
        <v>0</v>
      </c>
      <c r="I550" s="11">
        <v>46071</v>
      </c>
      <c r="J550" s="11">
        <v>46070</v>
      </c>
      <c r="K550" s="8"/>
    </row>
    <row r="551" spans="1:11" ht="18" x14ac:dyDescent="0.4">
      <c r="A551" s="7" t="s">
        <v>475</v>
      </c>
      <c r="B551" s="7" t="s">
        <v>517</v>
      </c>
      <c r="C551" s="8">
        <v>46051</v>
      </c>
      <c r="D551" s="9">
        <v>552694438</v>
      </c>
      <c r="E551" s="57">
        <v>270</v>
      </c>
      <c r="F551" s="10" t="s">
        <v>523</v>
      </c>
      <c r="G551" s="9">
        <v>0</v>
      </c>
      <c r="H551" s="70">
        <f t="shared" si="8"/>
        <v>0</v>
      </c>
      <c r="I551" s="11">
        <v>46071</v>
      </c>
      <c r="J551" s="11">
        <v>46070</v>
      </c>
      <c r="K551" s="8"/>
    </row>
    <row r="552" spans="1:11" ht="18" x14ac:dyDescent="0.4">
      <c r="A552" s="7" t="s">
        <v>475</v>
      </c>
      <c r="B552" s="7" t="s">
        <v>517</v>
      </c>
      <c r="C552" s="8">
        <v>46051</v>
      </c>
      <c r="D552" s="9">
        <v>464197038</v>
      </c>
      <c r="E552" s="57">
        <v>270</v>
      </c>
      <c r="F552" s="10" t="s">
        <v>524</v>
      </c>
      <c r="G552" s="9">
        <v>0</v>
      </c>
      <c r="H552" s="70">
        <f t="shared" si="8"/>
        <v>0</v>
      </c>
      <c r="I552" s="11">
        <v>46071</v>
      </c>
      <c r="J552" s="11">
        <v>46070</v>
      </c>
      <c r="K552" s="8"/>
    </row>
    <row r="553" spans="1:11" ht="18" x14ac:dyDescent="0.4">
      <c r="A553" s="7" t="s">
        <v>475</v>
      </c>
      <c r="B553" s="7" t="s">
        <v>517</v>
      </c>
      <c r="C553" s="8">
        <v>46051</v>
      </c>
      <c r="D553" s="9">
        <v>77603518</v>
      </c>
      <c r="E553" s="57">
        <v>270</v>
      </c>
      <c r="F553" s="10" t="s">
        <v>525</v>
      </c>
      <c r="G553" s="9">
        <v>0</v>
      </c>
      <c r="H553" s="70">
        <f t="shared" si="8"/>
        <v>0</v>
      </c>
      <c r="I553" s="11">
        <v>46071</v>
      </c>
      <c r="J553" s="11">
        <v>46070</v>
      </c>
      <c r="K553" s="8"/>
    </row>
    <row r="554" spans="1:11" ht="18" x14ac:dyDescent="0.4">
      <c r="A554" s="60" t="s">
        <v>475</v>
      </c>
      <c r="B554" s="60" t="s">
        <v>517</v>
      </c>
      <c r="C554" s="60">
        <v>46051</v>
      </c>
      <c r="D554" s="61">
        <v>463559978</v>
      </c>
      <c r="E554" s="57">
        <v>270</v>
      </c>
      <c r="F554" s="37" t="s">
        <v>526</v>
      </c>
      <c r="G554" s="9">
        <v>0</v>
      </c>
      <c r="H554" s="70">
        <f t="shared" si="8"/>
        <v>0</v>
      </c>
      <c r="I554" s="11">
        <v>46071</v>
      </c>
      <c r="J554" s="11">
        <v>46070</v>
      </c>
      <c r="K554" s="8"/>
    </row>
    <row r="555" spans="1:11" ht="18" x14ac:dyDescent="0.4">
      <c r="A555" s="7" t="s">
        <v>475</v>
      </c>
      <c r="B555" s="7" t="s">
        <v>517</v>
      </c>
      <c r="C555" s="8">
        <v>46051</v>
      </c>
      <c r="D555" s="9">
        <v>463433238</v>
      </c>
      <c r="E555" s="57">
        <v>270</v>
      </c>
      <c r="F555" s="37" t="s">
        <v>527</v>
      </c>
      <c r="G555" s="9">
        <v>0</v>
      </c>
      <c r="H555" s="70">
        <f t="shared" si="8"/>
        <v>0</v>
      </c>
      <c r="I555" s="11">
        <v>46071</v>
      </c>
      <c r="J555" s="11">
        <v>46070</v>
      </c>
      <c r="K555" s="8"/>
    </row>
    <row r="556" spans="1:11" ht="18" x14ac:dyDescent="0.4">
      <c r="A556" s="60" t="s">
        <v>475</v>
      </c>
      <c r="B556" s="60" t="s">
        <v>517</v>
      </c>
      <c r="C556" s="60">
        <v>46051</v>
      </c>
      <c r="D556" s="61">
        <v>463585598</v>
      </c>
      <c r="E556" s="57">
        <v>270</v>
      </c>
      <c r="F556" s="37" t="s">
        <v>527</v>
      </c>
      <c r="G556" s="9">
        <v>1350</v>
      </c>
      <c r="H556" s="70">
        <f t="shared" si="8"/>
        <v>5</v>
      </c>
      <c r="I556" s="11">
        <v>46071</v>
      </c>
      <c r="J556" s="11">
        <v>46070</v>
      </c>
      <c r="K556" s="8"/>
    </row>
    <row r="557" spans="1:11" ht="18" x14ac:dyDescent="0.4">
      <c r="A557" s="7" t="s">
        <v>475</v>
      </c>
      <c r="B557" s="7" t="s">
        <v>517</v>
      </c>
      <c r="C557" s="8">
        <v>46051</v>
      </c>
      <c r="D557" s="9">
        <v>465555148</v>
      </c>
      <c r="E557" s="57">
        <v>270</v>
      </c>
      <c r="F557" s="37" t="s">
        <v>528</v>
      </c>
      <c r="G557" s="9">
        <v>0</v>
      </c>
      <c r="H557" s="70">
        <f t="shared" si="8"/>
        <v>0</v>
      </c>
      <c r="I557" s="11">
        <v>46071</v>
      </c>
      <c r="J557" s="11">
        <v>46070</v>
      </c>
      <c r="K557" s="8"/>
    </row>
    <row r="558" spans="1:11" ht="18" x14ac:dyDescent="0.4">
      <c r="A558" s="7" t="s">
        <v>475</v>
      </c>
      <c r="B558" s="7" t="s">
        <v>517</v>
      </c>
      <c r="C558" s="8">
        <v>46051</v>
      </c>
      <c r="D558" s="9">
        <v>463496858</v>
      </c>
      <c r="E558" s="57">
        <v>270</v>
      </c>
      <c r="F558" s="37" t="s">
        <v>529</v>
      </c>
      <c r="G558" s="9">
        <v>0</v>
      </c>
      <c r="H558" s="70">
        <f t="shared" si="8"/>
        <v>0</v>
      </c>
      <c r="I558" s="11">
        <v>46071</v>
      </c>
      <c r="J558" s="11">
        <v>46070</v>
      </c>
      <c r="K558" s="8"/>
    </row>
    <row r="559" spans="1:11" ht="18" x14ac:dyDescent="0.4">
      <c r="A559" s="7" t="s">
        <v>475</v>
      </c>
      <c r="B559" s="7" t="s">
        <v>517</v>
      </c>
      <c r="C559" s="8">
        <v>46051</v>
      </c>
      <c r="D559" s="9">
        <v>463535748</v>
      </c>
      <c r="E559" s="57">
        <v>270</v>
      </c>
      <c r="F559" s="37" t="s">
        <v>528</v>
      </c>
      <c r="G559" s="9">
        <v>270</v>
      </c>
      <c r="H559" s="70">
        <f t="shared" si="8"/>
        <v>1</v>
      </c>
      <c r="I559" s="11">
        <v>46071</v>
      </c>
      <c r="J559" s="11">
        <v>46070</v>
      </c>
      <c r="K559" s="8"/>
    </row>
    <row r="560" spans="1:11" ht="18" x14ac:dyDescent="0.4">
      <c r="A560" s="7" t="s">
        <v>475</v>
      </c>
      <c r="B560" s="7" t="s">
        <v>517</v>
      </c>
      <c r="C560" s="8">
        <v>46051</v>
      </c>
      <c r="D560" s="9">
        <v>552694428</v>
      </c>
      <c r="E560" s="57">
        <v>270</v>
      </c>
      <c r="F560" s="10" t="s">
        <v>530</v>
      </c>
      <c r="G560" s="9">
        <v>0</v>
      </c>
      <c r="H560" s="70">
        <f t="shared" si="8"/>
        <v>0</v>
      </c>
      <c r="I560" s="11">
        <v>46071</v>
      </c>
      <c r="J560" s="11">
        <v>46070</v>
      </c>
      <c r="K560" s="8"/>
    </row>
    <row r="561" spans="1:11" ht="18" x14ac:dyDescent="0.4">
      <c r="A561" s="7" t="s">
        <v>475</v>
      </c>
      <c r="B561" s="7" t="s">
        <v>517</v>
      </c>
      <c r="C561" s="8">
        <v>46051</v>
      </c>
      <c r="D561" s="9">
        <v>552571388</v>
      </c>
      <c r="E561" s="57">
        <v>270</v>
      </c>
      <c r="F561" s="37" t="s">
        <v>531</v>
      </c>
      <c r="G561" s="9">
        <v>0</v>
      </c>
      <c r="H561" s="70">
        <f t="shared" si="8"/>
        <v>0</v>
      </c>
      <c r="I561" s="11">
        <v>46071</v>
      </c>
      <c r="J561" s="11">
        <v>46070</v>
      </c>
      <c r="K561" s="8"/>
    </row>
    <row r="562" spans="1:11" ht="18" x14ac:dyDescent="0.4">
      <c r="A562" s="7" t="s">
        <v>475</v>
      </c>
      <c r="B562" s="7" t="s">
        <v>517</v>
      </c>
      <c r="C562" s="8">
        <v>46051</v>
      </c>
      <c r="D562" s="9">
        <v>552774808</v>
      </c>
      <c r="E562" s="57">
        <v>270</v>
      </c>
      <c r="F562" s="37" t="s">
        <v>532</v>
      </c>
      <c r="G562" s="9">
        <v>0</v>
      </c>
      <c r="H562" s="70">
        <f t="shared" si="8"/>
        <v>0</v>
      </c>
      <c r="I562" s="11">
        <v>46071</v>
      </c>
      <c r="J562" s="11">
        <v>46070</v>
      </c>
      <c r="K562" s="8"/>
    </row>
    <row r="563" spans="1:11" ht="18" x14ac:dyDescent="0.4">
      <c r="A563" s="7" t="s">
        <v>475</v>
      </c>
      <c r="B563" s="7" t="s">
        <v>517</v>
      </c>
      <c r="C563" s="8">
        <v>46051</v>
      </c>
      <c r="D563" s="9">
        <v>463496828</v>
      </c>
      <c r="E563" s="57">
        <v>270</v>
      </c>
      <c r="F563" s="37" t="s">
        <v>533</v>
      </c>
      <c r="G563" s="9">
        <v>0</v>
      </c>
      <c r="H563" s="70">
        <f t="shared" si="8"/>
        <v>0</v>
      </c>
      <c r="I563" s="11">
        <v>46071</v>
      </c>
      <c r="J563" s="11">
        <v>46070</v>
      </c>
      <c r="K563" s="8"/>
    </row>
    <row r="564" spans="1:11" ht="18" x14ac:dyDescent="0.4">
      <c r="A564" s="7" t="s">
        <v>475</v>
      </c>
      <c r="B564" s="7" t="s">
        <v>517</v>
      </c>
      <c r="C564" s="8">
        <v>46051</v>
      </c>
      <c r="D564" s="9">
        <v>552825828</v>
      </c>
      <c r="E564" s="57">
        <v>270</v>
      </c>
      <c r="F564" s="37" t="s">
        <v>534</v>
      </c>
      <c r="G564" s="9">
        <v>0</v>
      </c>
      <c r="H564" s="70">
        <f t="shared" si="8"/>
        <v>0</v>
      </c>
      <c r="I564" s="11">
        <v>46071</v>
      </c>
      <c r="J564" s="11">
        <v>46070</v>
      </c>
      <c r="K564" s="8"/>
    </row>
    <row r="565" spans="1:11" ht="18" x14ac:dyDescent="0.4">
      <c r="A565" s="7" t="s">
        <v>475</v>
      </c>
      <c r="B565" s="7" t="s">
        <v>517</v>
      </c>
      <c r="C565" s="8">
        <v>46051</v>
      </c>
      <c r="D565" s="9">
        <v>552835168</v>
      </c>
      <c r="E565" s="57">
        <v>270</v>
      </c>
      <c r="F565" s="37" t="s">
        <v>535</v>
      </c>
      <c r="G565" s="9">
        <v>0</v>
      </c>
      <c r="H565" s="70">
        <f t="shared" si="8"/>
        <v>0</v>
      </c>
      <c r="I565" s="11">
        <v>46071</v>
      </c>
      <c r="J565" s="11">
        <v>46070</v>
      </c>
      <c r="K565" s="8"/>
    </row>
    <row r="566" spans="1:11" ht="18" x14ac:dyDescent="0.4">
      <c r="A566" s="7" t="s">
        <v>475</v>
      </c>
      <c r="B566" s="7" t="s">
        <v>517</v>
      </c>
      <c r="C566" s="8">
        <v>46051</v>
      </c>
      <c r="D566" s="9">
        <v>551957818</v>
      </c>
      <c r="E566" s="57">
        <v>270</v>
      </c>
      <c r="F566" s="37" t="s">
        <v>536</v>
      </c>
      <c r="G566" s="9">
        <v>0</v>
      </c>
      <c r="H566" s="70">
        <f t="shared" si="8"/>
        <v>0</v>
      </c>
      <c r="I566" s="11">
        <v>46071</v>
      </c>
      <c r="J566" s="11">
        <v>46070</v>
      </c>
      <c r="K566" s="8"/>
    </row>
    <row r="567" spans="1:11" ht="18" x14ac:dyDescent="0.4">
      <c r="A567" s="7" t="s">
        <v>475</v>
      </c>
      <c r="B567" s="7" t="s">
        <v>517</v>
      </c>
      <c r="C567" s="8">
        <v>46051</v>
      </c>
      <c r="D567" s="9">
        <v>463496838</v>
      </c>
      <c r="E567" s="57">
        <v>270</v>
      </c>
      <c r="F567" s="37" t="s">
        <v>536</v>
      </c>
      <c r="G567" s="9">
        <v>0</v>
      </c>
      <c r="H567" s="70">
        <f t="shared" si="8"/>
        <v>0</v>
      </c>
      <c r="I567" s="11">
        <v>46071</v>
      </c>
      <c r="J567" s="11">
        <v>46070</v>
      </c>
      <c r="K567" s="8"/>
    </row>
    <row r="568" spans="1:11" ht="18" x14ac:dyDescent="0.4">
      <c r="A568" s="7" t="s">
        <v>475</v>
      </c>
      <c r="B568" s="7" t="s">
        <v>517</v>
      </c>
      <c r="C568" s="8">
        <v>46051</v>
      </c>
      <c r="D568" s="9">
        <v>552284868</v>
      </c>
      <c r="E568" s="57">
        <v>270</v>
      </c>
      <c r="F568" s="37" t="s">
        <v>537</v>
      </c>
      <c r="G568" s="9">
        <v>0</v>
      </c>
      <c r="H568" s="70">
        <f t="shared" si="8"/>
        <v>0</v>
      </c>
      <c r="I568" s="11">
        <v>46071</v>
      </c>
      <c r="J568" s="11">
        <v>46070</v>
      </c>
      <c r="K568" s="8"/>
    </row>
    <row r="569" spans="1:11" ht="18" x14ac:dyDescent="0.4">
      <c r="A569" s="7" t="s">
        <v>475</v>
      </c>
      <c r="B569" s="7" t="s">
        <v>517</v>
      </c>
      <c r="C569" s="8">
        <v>46051</v>
      </c>
      <c r="D569" s="9">
        <v>463496848</v>
      </c>
      <c r="E569" s="57">
        <v>270</v>
      </c>
      <c r="F569" s="37" t="s">
        <v>538</v>
      </c>
      <c r="G569" s="9">
        <v>0</v>
      </c>
      <c r="H569" s="70">
        <f t="shared" si="8"/>
        <v>0</v>
      </c>
      <c r="I569" s="11">
        <v>46071</v>
      </c>
      <c r="J569" s="11">
        <v>46070</v>
      </c>
      <c r="K569" s="8"/>
    </row>
    <row r="570" spans="1:11" ht="18" x14ac:dyDescent="0.4">
      <c r="A570" s="7" t="s">
        <v>475</v>
      </c>
      <c r="B570" s="7" t="s">
        <v>517</v>
      </c>
      <c r="C570" s="8">
        <v>46051</v>
      </c>
      <c r="D570" s="9">
        <v>552696328</v>
      </c>
      <c r="E570" s="57">
        <v>180</v>
      </c>
      <c r="F570" s="37" t="s">
        <v>539</v>
      </c>
      <c r="G570" s="9">
        <v>0</v>
      </c>
      <c r="H570" s="70">
        <f t="shared" si="8"/>
        <v>0</v>
      </c>
      <c r="I570" s="11">
        <v>46071</v>
      </c>
      <c r="J570" s="11">
        <v>46070</v>
      </c>
      <c r="K570" s="8"/>
    </row>
    <row r="571" spans="1:11" ht="18" x14ac:dyDescent="0.4">
      <c r="A571" s="7" t="s">
        <v>475</v>
      </c>
      <c r="B571" s="7" t="s">
        <v>517</v>
      </c>
      <c r="C571" s="8">
        <v>46051</v>
      </c>
      <c r="D571" s="9">
        <v>463496868</v>
      </c>
      <c r="E571" s="57">
        <v>180</v>
      </c>
      <c r="F571" s="38" t="s">
        <v>540</v>
      </c>
      <c r="G571" s="9">
        <v>0</v>
      </c>
      <c r="H571" s="70">
        <f t="shared" si="8"/>
        <v>0</v>
      </c>
      <c r="I571" s="11">
        <v>46071</v>
      </c>
      <c r="J571" s="11">
        <v>46070</v>
      </c>
      <c r="K571" s="8"/>
    </row>
    <row r="572" spans="1:11" ht="18" x14ac:dyDescent="0.4">
      <c r="A572" s="39" t="s">
        <v>475</v>
      </c>
      <c r="B572" s="39" t="s">
        <v>517</v>
      </c>
      <c r="C572" s="40">
        <v>46051</v>
      </c>
      <c r="D572" s="41">
        <v>552727078</v>
      </c>
      <c r="E572" s="66">
        <v>180</v>
      </c>
      <c r="F572" s="42" t="s">
        <v>541</v>
      </c>
      <c r="G572" s="9">
        <v>0</v>
      </c>
      <c r="H572" s="70">
        <f t="shared" si="8"/>
        <v>0</v>
      </c>
      <c r="I572" s="11">
        <v>46071</v>
      </c>
      <c r="J572" s="11">
        <v>46070</v>
      </c>
      <c r="K572" s="8"/>
    </row>
    <row r="573" spans="1:11" ht="33" customHeight="1" x14ac:dyDescent="0.4">
      <c r="A573" s="39" t="s">
        <v>475</v>
      </c>
      <c r="B573" s="39" t="s">
        <v>517</v>
      </c>
      <c r="C573" s="40">
        <v>46051</v>
      </c>
      <c r="D573" s="41">
        <v>552770948</v>
      </c>
      <c r="E573" s="66">
        <v>180</v>
      </c>
      <c r="F573" s="42" t="s">
        <v>542</v>
      </c>
      <c r="G573" s="9">
        <v>0</v>
      </c>
      <c r="H573" s="70">
        <f t="shared" si="8"/>
        <v>0</v>
      </c>
      <c r="I573" s="11">
        <v>46071</v>
      </c>
      <c r="J573" s="11">
        <v>46070</v>
      </c>
      <c r="K573" s="8"/>
    </row>
    <row r="574" spans="1:11" ht="18" x14ac:dyDescent="0.4">
      <c r="A574" s="7" t="s">
        <v>475</v>
      </c>
      <c r="B574" s="7" t="s">
        <v>517</v>
      </c>
      <c r="C574" s="8">
        <v>46051</v>
      </c>
      <c r="D574" s="9">
        <v>468084498</v>
      </c>
      <c r="E574" s="57">
        <v>180</v>
      </c>
      <c r="F574" s="37" t="s">
        <v>543</v>
      </c>
      <c r="G574" s="9">
        <v>0</v>
      </c>
      <c r="H574" s="70">
        <f t="shared" si="8"/>
        <v>0</v>
      </c>
      <c r="I574" s="11">
        <v>46071</v>
      </c>
      <c r="J574" s="11">
        <v>46070</v>
      </c>
      <c r="K574" s="8"/>
    </row>
    <row r="575" spans="1:11" ht="18" x14ac:dyDescent="0.4">
      <c r="A575" s="7" t="s">
        <v>475</v>
      </c>
      <c r="B575" s="7" t="s">
        <v>517</v>
      </c>
      <c r="C575" s="8">
        <v>46051</v>
      </c>
      <c r="D575" s="9">
        <v>463496808</v>
      </c>
      <c r="E575" s="57">
        <v>180</v>
      </c>
      <c r="F575" s="37" t="s">
        <v>543</v>
      </c>
      <c r="G575" s="9">
        <v>0</v>
      </c>
      <c r="H575" s="70">
        <f t="shared" si="8"/>
        <v>0</v>
      </c>
      <c r="I575" s="11">
        <v>46071</v>
      </c>
      <c r="J575" s="11">
        <v>46070</v>
      </c>
      <c r="K575" s="8"/>
    </row>
    <row r="576" spans="1:11" ht="18" x14ac:dyDescent="0.4">
      <c r="A576" s="7" t="s">
        <v>475</v>
      </c>
      <c r="B576" s="7" t="s">
        <v>517</v>
      </c>
      <c r="C576" s="8">
        <v>46051</v>
      </c>
      <c r="D576" s="9">
        <v>552792188</v>
      </c>
      <c r="E576" s="57">
        <v>180</v>
      </c>
      <c r="F576" s="37" t="s">
        <v>544</v>
      </c>
      <c r="G576" s="9">
        <v>0</v>
      </c>
      <c r="H576" s="70">
        <f t="shared" si="8"/>
        <v>0</v>
      </c>
      <c r="I576" s="11">
        <v>46071</v>
      </c>
      <c r="J576" s="11">
        <v>46070</v>
      </c>
      <c r="K576" s="8"/>
    </row>
    <row r="577" spans="1:14" ht="18" x14ac:dyDescent="0.4">
      <c r="A577" s="7" t="s">
        <v>475</v>
      </c>
      <c r="B577" s="7" t="s">
        <v>517</v>
      </c>
      <c r="C577" s="8">
        <v>46051</v>
      </c>
      <c r="D577" s="9">
        <v>463504548</v>
      </c>
      <c r="E577" s="57">
        <v>180</v>
      </c>
      <c r="F577" s="37" t="s">
        <v>545</v>
      </c>
      <c r="G577" s="9">
        <v>0</v>
      </c>
      <c r="H577" s="70">
        <f t="shared" si="8"/>
        <v>0</v>
      </c>
      <c r="I577" s="11">
        <v>46071</v>
      </c>
      <c r="J577" s="11">
        <v>46070</v>
      </c>
      <c r="K577" s="8"/>
    </row>
    <row r="578" spans="1:14" ht="18" x14ac:dyDescent="0.4">
      <c r="A578" s="7" t="s">
        <v>475</v>
      </c>
      <c r="B578" s="7" t="s">
        <v>517</v>
      </c>
      <c r="C578" s="8">
        <v>46051</v>
      </c>
      <c r="D578" s="9">
        <v>468085168</v>
      </c>
      <c r="E578" s="57">
        <v>180</v>
      </c>
      <c r="F578" s="37" t="s">
        <v>546</v>
      </c>
      <c r="G578" s="9">
        <v>0</v>
      </c>
      <c r="H578" s="70">
        <f t="shared" si="8"/>
        <v>0</v>
      </c>
      <c r="I578" s="11">
        <v>46071</v>
      </c>
      <c r="J578" s="11">
        <v>46070</v>
      </c>
      <c r="K578" s="8"/>
    </row>
    <row r="579" spans="1:14" ht="18" x14ac:dyDescent="0.4">
      <c r="A579" s="7" t="s">
        <v>475</v>
      </c>
      <c r="B579" s="7" t="s">
        <v>517</v>
      </c>
      <c r="C579" s="8">
        <v>46051</v>
      </c>
      <c r="D579" s="9">
        <v>468085188</v>
      </c>
      <c r="E579" s="57">
        <v>180</v>
      </c>
      <c r="F579" s="37" t="s">
        <v>547</v>
      </c>
      <c r="G579" s="9">
        <v>0</v>
      </c>
      <c r="H579" s="70">
        <f t="shared" si="8"/>
        <v>0</v>
      </c>
      <c r="I579" s="11">
        <v>46071</v>
      </c>
      <c r="J579" s="11">
        <v>46070</v>
      </c>
      <c r="K579" s="8"/>
    </row>
    <row r="580" spans="1:14" ht="18" x14ac:dyDescent="0.4">
      <c r="A580" s="7" t="s">
        <v>475</v>
      </c>
      <c r="B580" s="7" t="s">
        <v>517</v>
      </c>
      <c r="C580" s="8">
        <v>46051</v>
      </c>
      <c r="D580" s="9">
        <v>552049748</v>
      </c>
      <c r="E580" s="57">
        <v>180</v>
      </c>
      <c r="F580" s="37" t="s">
        <v>545</v>
      </c>
      <c r="G580" s="9">
        <v>0</v>
      </c>
      <c r="H580" s="70">
        <f t="shared" si="8"/>
        <v>0</v>
      </c>
      <c r="I580" s="11">
        <v>46071</v>
      </c>
      <c r="J580" s="11">
        <v>46070</v>
      </c>
      <c r="K580" s="8"/>
    </row>
    <row r="581" spans="1:14" ht="18" x14ac:dyDescent="0.4">
      <c r="A581" s="7" t="s">
        <v>475</v>
      </c>
      <c r="B581" s="7" t="s">
        <v>517</v>
      </c>
      <c r="C581" s="8">
        <v>46051</v>
      </c>
      <c r="D581" s="9">
        <v>552486488</v>
      </c>
      <c r="E581" s="57">
        <v>180</v>
      </c>
      <c r="F581" s="37" t="s">
        <v>548</v>
      </c>
      <c r="G581" s="9">
        <v>0</v>
      </c>
      <c r="H581" s="70">
        <f t="shared" si="8"/>
        <v>0</v>
      </c>
      <c r="I581" s="11">
        <v>46071</v>
      </c>
      <c r="J581" s="11">
        <v>46070</v>
      </c>
      <c r="K581" s="8"/>
    </row>
    <row r="582" spans="1:14" ht="18" x14ac:dyDescent="0.4">
      <c r="A582" s="7" t="s">
        <v>475</v>
      </c>
      <c r="B582" s="7" t="s">
        <v>517</v>
      </c>
      <c r="C582" s="8">
        <v>46051</v>
      </c>
      <c r="D582" s="9">
        <v>463508568</v>
      </c>
      <c r="E582" s="57">
        <v>180</v>
      </c>
      <c r="F582" s="37" t="s">
        <v>549</v>
      </c>
      <c r="G582" s="9">
        <v>3420</v>
      </c>
      <c r="H582" s="70">
        <f t="shared" si="8"/>
        <v>19</v>
      </c>
      <c r="I582" s="11">
        <v>46071</v>
      </c>
      <c r="J582" s="11">
        <v>46070</v>
      </c>
      <c r="K582" s="8"/>
      <c r="N582" s="26"/>
    </row>
    <row r="583" spans="1:14" ht="18" x14ac:dyDescent="0.4">
      <c r="A583" s="7" t="s">
        <v>475</v>
      </c>
      <c r="B583" s="7" t="s">
        <v>517</v>
      </c>
      <c r="C583" s="8">
        <v>46051</v>
      </c>
      <c r="D583" s="9">
        <v>463503948</v>
      </c>
      <c r="E583" s="57">
        <v>180</v>
      </c>
      <c r="F583" s="37" t="s">
        <v>550</v>
      </c>
      <c r="G583" s="9">
        <v>0</v>
      </c>
      <c r="H583" s="70">
        <f t="shared" si="8"/>
        <v>0</v>
      </c>
      <c r="I583" s="11">
        <v>46071</v>
      </c>
      <c r="J583" s="11">
        <v>46070</v>
      </c>
      <c r="K583" s="8"/>
    </row>
    <row r="584" spans="1:14" ht="18" x14ac:dyDescent="0.4">
      <c r="A584" s="7" t="s">
        <v>475</v>
      </c>
      <c r="B584" s="7" t="s">
        <v>517</v>
      </c>
      <c r="C584" s="8">
        <v>46051</v>
      </c>
      <c r="D584" s="9">
        <v>463496798</v>
      </c>
      <c r="E584" s="57">
        <v>180</v>
      </c>
      <c r="F584" s="37" t="s">
        <v>551</v>
      </c>
      <c r="G584" s="9">
        <v>0</v>
      </c>
      <c r="H584" s="70">
        <f t="shared" si="8"/>
        <v>0</v>
      </c>
      <c r="I584" s="11">
        <v>46071</v>
      </c>
      <c r="J584" s="11">
        <v>46070</v>
      </c>
      <c r="K584" s="8"/>
    </row>
    <row r="585" spans="1:14" ht="18" x14ac:dyDescent="0.4">
      <c r="A585" s="7" t="s">
        <v>475</v>
      </c>
      <c r="B585" s="7" t="s">
        <v>517</v>
      </c>
      <c r="C585" s="8">
        <v>46051</v>
      </c>
      <c r="D585" s="9">
        <v>552696318</v>
      </c>
      <c r="E585" s="57">
        <v>180</v>
      </c>
      <c r="F585" s="37" t="s">
        <v>551</v>
      </c>
      <c r="G585" s="9">
        <v>0</v>
      </c>
      <c r="H585" s="70">
        <f t="shared" si="8"/>
        <v>0</v>
      </c>
      <c r="I585" s="11">
        <v>46071</v>
      </c>
      <c r="J585" s="11">
        <v>46070</v>
      </c>
      <c r="K585" s="8"/>
    </row>
    <row r="586" spans="1:14" ht="18" x14ac:dyDescent="0.4">
      <c r="A586" s="92" t="s">
        <v>475</v>
      </c>
      <c r="B586" s="22" t="s">
        <v>552</v>
      </c>
      <c r="C586" s="23">
        <v>19414</v>
      </c>
      <c r="D586" s="24">
        <v>76779780</v>
      </c>
      <c r="E586" s="67">
        <v>300</v>
      </c>
      <c r="F586" s="25" t="s">
        <v>553</v>
      </c>
      <c r="G586" s="99">
        <v>0</v>
      </c>
      <c r="H586" s="70">
        <f t="shared" si="8"/>
        <v>0</v>
      </c>
      <c r="I586" s="11">
        <v>46071</v>
      </c>
      <c r="J586" s="11">
        <v>46070</v>
      </c>
      <c r="K586" s="13"/>
    </row>
    <row r="587" spans="1:14" ht="18" x14ac:dyDescent="0.4">
      <c r="A587" s="93" t="s">
        <v>475</v>
      </c>
      <c r="B587" s="16" t="s">
        <v>552</v>
      </c>
      <c r="C587" s="8">
        <v>19414</v>
      </c>
      <c r="D587" s="9">
        <v>135549210</v>
      </c>
      <c r="E587" s="57">
        <v>250</v>
      </c>
      <c r="F587" s="10" t="s">
        <v>554</v>
      </c>
      <c r="G587" s="94">
        <v>0</v>
      </c>
      <c r="H587" s="70">
        <f t="shared" si="8"/>
        <v>0</v>
      </c>
      <c r="I587" s="11">
        <v>46071</v>
      </c>
      <c r="J587" s="11">
        <v>46070</v>
      </c>
      <c r="K587" s="13"/>
    </row>
    <row r="588" spans="1:14" ht="18" x14ac:dyDescent="0.4">
      <c r="A588" s="93" t="s">
        <v>475</v>
      </c>
      <c r="B588" s="16" t="s">
        <v>552</v>
      </c>
      <c r="C588" s="8">
        <v>19414</v>
      </c>
      <c r="D588" s="9">
        <v>149359240</v>
      </c>
      <c r="E588" s="57">
        <v>1000</v>
      </c>
      <c r="F588" s="10" t="s">
        <v>555</v>
      </c>
      <c r="G588" s="94">
        <v>0</v>
      </c>
      <c r="H588" s="70">
        <f t="shared" si="8"/>
        <v>0</v>
      </c>
      <c r="I588" s="11">
        <v>46071</v>
      </c>
      <c r="J588" s="11">
        <v>46070</v>
      </c>
      <c r="K588" s="13"/>
    </row>
    <row r="589" spans="1:14" ht="18" x14ac:dyDescent="0.4">
      <c r="A589" s="93" t="s">
        <v>475</v>
      </c>
      <c r="B589" s="16" t="s">
        <v>552</v>
      </c>
      <c r="C589" s="8">
        <v>19414</v>
      </c>
      <c r="D589" s="9">
        <v>162876210</v>
      </c>
      <c r="E589" s="57">
        <v>500</v>
      </c>
      <c r="F589" s="10" t="s">
        <v>556</v>
      </c>
      <c r="G589" s="94">
        <v>0</v>
      </c>
      <c r="H589" s="70">
        <f t="shared" si="8"/>
        <v>0</v>
      </c>
      <c r="I589" s="11">
        <v>46071</v>
      </c>
      <c r="J589" s="11">
        <v>46070</v>
      </c>
      <c r="K589" s="13"/>
    </row>
    <row r="590" spans="1:14" ht="18" x14ac:dyDescent="0.4">
      <c r="A590" s="93" t="s">
        <v>475</v>
      </c>
      <c r="B590" s="16" t="s">
        <v>552</v>
      </c>
      <c r="C590" s="8">
        <v>19414</v>
      </c>
      <c r="D590" s="9">
        <v>162885240</v>
      </c>
      <c r="E590" s="57">
        <v>300</v>
      </c>
      <c r="F590" s="10" t="s">
        <v>557</v>
      </c>
      <c r="G590" s="94">
        <v>0</v>
      </c>
      <c r="H590" s="70">
        <f t="shared" si="8"/>
        <v>0</v>
      </c>
      <c r="I590" s="11">
        <v>46071</v>
      </c>
      <c r="J590" s="11">
        <v>46070</v>
      </c>
      <c r="K590" s="13"/>
    </row>
    <row r="591" spans="1:14" ht="18" x14ac:dyDescent="0.4">
      <c r="A591" s="93" t="s">
        <v>475</v>
      </c>
      <c r="B591" s="16" t="s">
        <v>552</v>
      </c>
      <c r="C591" s="8">
        <v>19414</v>
      </c>
      <c r="D591" s="9">
        <v>187519210</v>
      </c>
      <c r="E591" s="57">
        <v>400</v>
      </c>
      <c r="F591" s="10" t="s">
        <v>558</v>
      </c>
      <c r="G591" s="94">
        <v>47600</v>
      </c>
      <c r="H591" s="70">
        <f t="shared" si="8"/>
        <v>119</v>
      </c>
      <c r="I591" s="11">
        <v>46071</v>
      </c>
      <c r="J591" s="11">
        <v>46070</v>
      </c>
      <c r="K591" s="13"/>
    </row>
    <row r="592" spans="1:14" ht="18" x14ac:dyDescent="0.4">
      <c r="A592" s="93" t="s">
        <v>475</v>
      </c>
      <c r="B592" s="16" t="s">
        <v>552</v>
      </c>
      <c r="C592" s="8">
        <v>19414</v>
      </c>
      <c r="D592" s="9">
        <v>187525210</v>
      </c>
      <c r="E592" s="57">
        <v>500</v>
      </c>
      <c r="F592" s="10" t="s">
        <v>559</v>
      </c>
      <c r="G592" s="94">
        <v>0</v>
      </c>
      <c r="H592" s="70">
        <f t="shared" si="8"/>
        <v>0</v>
      </c>
      <c r="I592" s="11">
        <v>46071</v>
      </c>
      <c r="J592" s="11">
        <v>46070</v>
      </c>
      <c r="K592" s="13"/>
    </row>
    <row r="593" spans="1:11" ht="18" x14ac:dyDescent="0.4">
      <c r="A593" s="93" t="s">
        <v>475</v>
      </c>
      <c r="B593" s="16" t="s">
        <v>552</v>
      </c>
      <c r="C593" s="8">
        <v>19414</v>
      </c>
      <c r="D593" s="9">
        <v>187527210</v>
      </c>
      <c r="E593" s="57">
        <v>500</v>
      </c>
      <c r="F593" s="10" t="s">
        <v>560</v>
      </c>
      <c r="G593" s="94">
        <v>18000</v>
      </c>
      <c r="H593" s="70">
        <f t="shared" si="8"/>
        <v>36</v>
      </c>
      <c r="I593" s="11">
        <v>46071</v>
      </c>
      <c r="J593" s="11">
        <v>46070</v>
      </c>
      <c r="K593" s="13"/>
    </row>
    <row r="594" spans="1:11" ht="18" x14ac:dyDescent="0.4">
      <c r="A594" s="93" t="s">
        <v>475</v>
      </c>
      <c r="B594" s="16" t="s">
        <v>552</v>
      </c>
      <c r="C594" s="8">
        <v>19414</v>
      </c>
      <c r="D594" s="9">
        <v>187530210</v>
      </c>
      <c r="E594" s="57">
        <v>500</v>
      </c>
      <c r="F594" s="10" t="s">
        <v>561</v>
      </c>
      <c r="G594" s="94">
        <v>0</v>
      </c>
      <c r="H594" s="70">
        <f t="shared" si="8"/>
        <v>0</v>
      </c>
      <c r="I594" s="11">
        <v>46071</v>
      </c>
      <c r="J594" s="11">
        <v>46070</v>
      </c>
      <c r="K594" s="13"/>
    </row>
    <row r="595" spans="1:11" ht="18" x14ac:dyDescent="0.4">
      <c r="A595" s="93" t="s">
        <v>475</v>
      </c>
      <c r="B595" s="16" t="s">
        <v>552</v>
      </c>
      <c r="C595" s="8">
        <v>19414</v>
      </c>
      <c r="D595" s="9">
        <v>464555000</v>
      </c>
      <c r="E595" s="57">
        <v>250</v>
      </c>
      <c r="F595" s="10" t="s">
        <v>562</v>
      </c>
      <c r="G595" s="94">
        <v>3200</v>
      </c>
      <c r="H595" s="70">
        <f t="shared" si="8"/>
        <v>12.8</v>
      </c>
      <c r="I595" s="11">
        <v>46071</v>
      </c>
      <c r="J595" s="11">
        <v>46070</v>
      </c>
      <c r="K595" s="13"/>
    </row>
    <row r="596" spans="1:11" ht="18" x14ac:dyDescent="0.4">
      <c r="A596" s="93" t="s">
        <v>475</v>
      </c>
      <c r="B596" s="16" t="s">
        <v>552</v>
      </c>
      <c r="C596" s="8">
        <v>19414</v>
      </c>
      <c r="D596" s="9">
        <v>43913530</v>
      </c>
      <c r="E596" s="57">
        <v>400</v>
      </c>
      <c r="F596" s="10" t="s">
        <v>563</v>
      </c>
      <c r="G596" s="94">
        <v>0</v>
      </c>
      <c r="H596" s="70">
        <f t="shared" si="8"/>
        <v>0</v>
      </c>
      <c r="I596" s="11">
        <v>46071</v>
      </c>
      <c r="J596" s="11">
        <v>46070</v>
      </c>
      <c r="K596" s="13"/>
    </row>
    <row r="597" spans="1:11" ht="18" x14ac:dyDescent="0.4">
      <c r="A597" s="93" t="s">
        <v>475</v>
      </c>
      <c r="B597" s="16" t="s">
        <v>552</v>
      </c>
      <c r="C597" s="8">
        <v>19414</v>
      </c>
      <c r="D597" s="9">
        <v>75754720</v>
      </c>
      <c r="E597" s="57">
        <v>1500</v>
      </c>
      <c r="F597" s="10" t="s">
        <v>564</v>
      </c>
      <c r="G597" s="94">
        <v>15000</v>
      </c>
      <c r="H597" s="70">
        <f t="shared" si="8"/>
        <v>10</v>
      </c>
      <c r="I597" s="11">
        <v>46071</v>
      </c>
      <c r="J597" s="11">
        <v>46070</v>
      </c>
      <c r="K597" s="13"/>
    </row>
    <row r="598" spans="1:11" ht="18" x14ac:dyDescent="0.4">
      <c r="A598" s="93" t="s">
        <v>475</v>
      </c>
      <c r="B598" s="16" t="s">
        <v>552</v>
      </c>
      <c r="C598" s="8">
        <v>19414</v>
      </c>
      <c r="D598" s="9">
        <v>76648820</v>
      </c>
      <c r="E598" s="57">
        <v>300</v>
      </c>
      <c r="F598" s="10" t="s">
        <v>565</v>
      </c>
      <c r="G598" s="94">
        <v>0</v>
      </c>
      <c r="H598" s="70">
        <f t="shared" si="8"/>
        <v>0</v>
      </c>
      <c r="I598" s="11">
        <v>46071</v>
      </c>
      <c r="J598" s="11">
        <v>46070</v>
      </c>
      <c r="K598" s="13"/>
    </row>
    <row r="599" spans="1:11" ht="18" x14ac:dyDescent="0.4">
      <c r="A599" s="93" t="s">
        <v>475</v>
      </c>
      <c r="B599" s="16" t="s">
        <v>552</v>
      </c>
      <c r="C599" s="8">
        <v>19414</v>
      </c>
      <c r="D599" s="9">
        <v>162970240</v>
      </c>
      <c r="E599" s="57">
        <v>1200</v>
      </c>
      <c r="F599" s="10" t="s">
        <v>196</v>
      </c>
      <c r="G599" s="94">
        <v>0</v>
      </c>
      <c r="H599" s="70">
        <f t="shared" si="8"/>
        <v>0</v>
      </c>
      <c r="I599" s="11">
        <v>46071</v>
      </c>
      <c r="J599" s="11">
        <v>46070</v>
      </c>
      <c r="K599" s="13"/>
    </row>
    <row r="600" spans="1:11" ht="18" x14ac:dyDescent="0.4">
      <c r="A600" s="93" t="s">
        <v>475</v>
      </c>
      <c r="B600" s="7" t="s">
        <v>552</v>
      </c>
      <c r="C600" s="8">
        <v>19414</v>
      </c>
      <c r="D600" s="9">
        <v>552599580</v>
      </c>
      <c r="E600" s="57">
        <v>800</v>
      </c>
      <c r="F600" s="18" t="s">
        <v>566</v>
      </c>
      <c r="G600" s="94">
        <v>0</v>
      </c>
      <c r="H600" s="70">
        <f t="shared" si="8"/>
        <v>0</v>
      </c>
      <c r="I600" s="11">
        <v>46071</v>
      </c>
      <c r="J600" s="11">
        <v>46070</v>
      </c>
      <c r="K600" s="13"/>
    </row>
    <row r="601" spans="1:11" ht="18" x14ac:dyDescent="0.4">
      <c r="A601" s="93" t="s">
        <v>475</v>
      </c>
      <c r="B601" s="7" t="s">
        <v>552</v>
      </c>
      <c r="C601" s="8">
        <v>19414</v>
      </c>
      <c r="D601" s="9">
        <v>552599570</v>
      </c>
      <c r="E601" s="57">
        <v>1400</v>
      </c>
      <c r="F601" s="18" t="s">
        <v>566</v>
      </c>
      <c r="G601" s="94">
        <v>4200</v>
      </c>
      <c r="H601" s="70">
        <f t="shared" si="8"/>
        <v>3</v>
      </c>
      <c r="I601" s="11">
        <v>46071</v>
      </c>
      <c r="J601" s="11">
        <v>46070</v>
      </c>
      <c r="K601" s="13"/>
    </row>
    <row r="602" spans="1:11" ht="18" x14ac:dyDescent="0.4">
      <c r="A602" s="93" t="s">
        <v>475</v>
      </c>
      <c r="B602" s="7" t="s">
        <v>567</v>
      </c>
      <c r="C602" s="8">
        <v>19271</v>
      </c>
      <c r="D602" s="9">
        <v>75810590</v>
      </c>
      <c r="E602" s="57">
        <v>900</v>
      </c>
      <c r="F602" s="18" t="s">
        <v>568</v>
      </c>
      <c r="G602" s="94">
        <v>0</v>
      </c>
      <c r="H602" s="70">
        <f t="shared" si="8"/>
        <v>0</v>
      </c>
      <c r="I602" s="11">
        <v>46071</v>
      </c>
      <c r="J602" s="11">
        <v>46070</v>
      </c>
      <c r="K602" s="13"/>
    </row>
    <row r="603" spans="1:11" ht="18" x14ac:dyDescent="0.4">
      <c r="A603" s="93" t="s">
        <v>475</v>
      </c>
      <c r="B603" s="7" t="s">
        <v>567</v>
      </c>
      <c r="C603" s="8">
        <v>19271</v>
      </c>
      <c r="D603" s="9">
        <v>465162750</v>
      </c>
      <c r="E603" s="57">
        <v>1620</v>
      </c>
      <c r="F603" s="18" t="s">
        <v>569</v>
      </c>
      <c r="G603" s="94">
        <v>1620</v>
      </c>
      <c r="H603" s="70">
        <f t="shared" si="8"/>
        <v>1</v>
      </c>
      <c r="I603" s="11">
        <v>46071</v>
      </c>
      <c r="J603" s="11">
        <v>46070</v>
      </c>
      <c r="K603" s="13"/>
    </row>
    <row r="604" spans="1:11" ht="18" x14ac:dyDescent="0.4">
      <c r="A604" s="93" t="s">
        <v>475</v>
      </c>
      <c r="B604" s="7" t="s">
        <v>567</v>
      </c>
      <c r="C604" s="8">
        <v>19271</v>
      </c>
      <c r="D604" s="9">
        <v>468147230</v>
      </c>
      <c r="E604" s="57">
        <v>1600</v>
      </c>
      <c r="F604" s="18" t="s">
        <v>570</v>
      </c>
      <c r="G604" s="94">
        <v>1600</v>
      </c>
      <c r="H604" s="70">
        <f t="shared" si="8"/>
        <v>1</v>
      </c>
      <c r="I604" s="11">
        <v>46071</v>
      </c>
      <c r="J604" s="11">
        <v>46070</v>
      </c>
      <c r="K604" s="13"/>
    </row>
    <row r="605" spans="1:11" ht="18" x14ac:dyDescent="0.4">
      <c r="A605" s="93" t="s">
        <v>475</v>
      </c>
      <c r="B605" s="7" t="s">
        <v>567</v>
      </c>
      <c r="C605" s="8">
        <v>19271</v>
      </c>
      <c r="D605" s="9">
        <v>552547090</v>
      </c>
      <c r="E605" s="57">
        <v>270</v>
      </c>
      <c r="F605" s="18" t="s">
        <v>571</v>
      </c>
      <c r="G605" s="94">
        <v>0</v>
      </c>
      <c r="H605" s="70">
        <f t="shared" si="8"/>
        <v>0</v>
      </c>
      <c r="I605" s="11">
        <v>46071</v>
      </c>
      <c r="J605" s="11">
        <v>46070</v>
      </c>
      <c r="K605" s="13"/>
    </row>
    <row r="606" spans="1:11" ht="18" x14ac:dyDescent="0.4">
      <c r="A606" s="93" t="s">
        <v>475</v>
      </c>
      <c r="B606" s="7" t="s">
        <v>567</v>
      </c>
      <c r="C606" s="8">
        <v>19271</v>
      </c>
      <c r="D606" s="9">
        <v>552551360</v>
      </c>
      <c r="E606" s="57">
        <v>360</v>
      </c>
      <c r="F606" s="18" t="s">
        <v>572</v>
      </c>
      <c r="G606" s="94">
        <v>0</v>
      </c>
      <c r="H606" s="70">
        <f t="shared" si="8"/>
        <v>0</v>
      </c>
      <c r="I606" s="11">
        <v>46071</v>
      </c>
      <c r="J606" s="11">
        <v>46070</v>
      </c>
      <c r="K606" s="13"/>
    </row>
    <row r="607" spans="1:11" ht="18" x14ac:dyDescent="0.4">
      <c r="A607" s="93" t="s">
        <v>475</v>
      </c>
      <c r="B607" s="7" t="s">
        <v>567</v>
      </c>
      <c r="C607" s="8">
        <v>19271</v>
      </c>
      <c r="D607" s="9">
        <v>735017020</v>
      </c>
      <c r="E607" s="57">
        <v>1440</v>
      </c>
      <c r="F607" s="18" t="s">
        <v>573</v>
      </c>
      <c r="G607" s="94">
        <v>2880</v>
      </c>
      <c r="H607" s="70">
        <f t="shared" si="8"/>
        <v>2</v>
      </c>
      <c r="I607" s="11">
        <v>46071</v>
      </c>
      <c r="J607" s="11">
        <v>46070</v>
      </c>
      <c r="K607" s="13"/>
    </row>
    <row r="608" spans="1:11" ht="18" x14ac:dyDescent="0.4">
      <c r="A608" s="93" t="s">
        <v>475</v>
      </c>
      <c r="B608" s="7" t="s">
        <v>567</v>
      </c>
      <c r="C608" s="8">
        <v>19271</v>
      </c>
      <c r="D608" s="9">
        <v>552054650</v>
      </c>
      <c r="E608" s="57">
        <v>1440</v>
      </c>
      <c r="F608" s="18" t="s">
        <v>574</v>
      </c>
      <c r="G608" s="94">
        <v>1440</v>
      </c>
      <c r="H608" s="70">
        <f t="shared" ref="H608:H671" si="9">+G608/E608</f>
        <v>1</v>
      </c>
      <c r="I608" s="11">
        <v>46071</v>
      </c>
      <c r="J608" s="11">
        <v>46070</v>
      </c>
      <c r="K608" s="13"/>
    </row>
    <row r="609" spans="1:11" ht="18" x14ac:dyDescent="0.4">
      <c r="A609" s="93" t="s">
        <v>475</v>
      </c>
      <c r="B609" s="16" t="s">
        <v>567</v>
      </c>
      <c r="C609" s="8">
        <v>19271</v>
      </c>
      <c r="D609" s="9">
        <v>463409620</v>
      </c>
      <c r="E609" s="57">
        <v>360</v>
      </c>
      <c r="F609" s="10" t="s">
        <v>572</v>
      </c>
      <c r="G609" s="94">
        <v>0</v>
      </c>
      <c r="H609" s="70">
        <f t="shared" si="9"/>
        <v>0</v>
      </c>
      <c r="I609" s="11">
        <v>46071</v>
      </c>
      <c r="J609" s="11">
        <v>46070</v>
      </c>
      <c r="K609" s="13"/>
    </row>
    <row r="610" spans="1:11" ht="18" x14ac:dyDescent="0.4">
      <c r="A610" s="93" t="s">
        <v>475</v>
      </c>
      <c r="B610" s="16" t="s">
        <v>567</v>
      </c>
      <c r="C610" s="8">
        <v>19271</v>
      </c>
      <c r="D610" s="9">
        <v>463409610</v>
      </c>
      <c r="E610" s="57">
        <v>360</v>
      </c>
      <c r="F610" s="10" t="s">
        <v>575</v>
      </c>
      <c r="G610" s="94">
        <v>1440</v>
      </c>
      <c r="H610" s="70">
        <f t="shared" si="9"/>
        <v>4</v>
      </c>
      <c r="I610" s="11">
        <v>46071</v>
      </c>
      <c r="J610" s="11">
        <v>46070</v>
      </c>
      <c r="K610" s="13"/>
    </row>
    <row r="611" spans="1:11" ht="18" x14ac:dyDescent="0.4">
      <c r="A611" s="93" t="s">
        <v>475</v>
      </c>
      <c r="B611" s="16" t="s">
        <v>576</v>
      </c>
      <c r="C611" s="8">
        <v>19807</v>
      </c>
      <c r="D611" s="9">
        <v>552594720</v>
      </c>
      <c r="E611" s="57">
        <v>900</v>
      </c>
      <c r="F611" s="10" t="s">
        <v>577</v>
      </c>
      <c r="G611" s="94">
        <v>3600</v>
      </c>
      <c r="H611" s="70">
        <f t="shared" si="9"/>
        <v>4</v>
      </c>
      <c r="I611" s="11">
        <v>46071</v>
      </c>
      <c r="J611" s="11">
        <v>46070</v>
      </c>
      <c r="K611" s="13"/>
    </row>
    <row r="612" spans="1:11" ht="18" x14ac:dyDescent="0.4">
      <c r="A612" s="93" t="s">
        <v>475</v>
      </c>
      <c r="B612" s="16" t="s">
        <v>576</v>
      </c>
      <c r="C612" s="8">
        <v>19807</v>
      </c>
      <c r="D612" s="9">
        <v>463602340</v>
      </c>
      <c r="E612" s="57">
        <v>900</v>
      </c>
      <c r="F612" s="10" t="s">
        <v>578</v>
      </c>
      <c r="G612" s="94">
        <v>0</v>
      </c>
      <c r="H612" s="70">
        <f t="shared" si="9"/>
        <v>0</v>
      </c>
      <c r="I612" s="11">
        <v>46071</v>
      </c>
      <c r="J612" s="11">
        <v>46070</v>
      </c>
      <c r="K612" s="13"/>
    </row>
    <row r="613" spans="1:11" ht="18" x14ac:dyDescent="0.4">
      <c r="A613" s="93" t="s">
        <v>475</v>
      </c>
      <c r="B613" s="16" t="s">
        <v>576</v>
      </c>
      <c r="C613" s="8">
        <v>19807</v>
      </c>
      <c r="D613" s="9">
        <v>552594730</v>
      </c>
      <c r="E613" s="57">
        <v>900</v>
      </c>
      <c r="F613" s="10" t="s">
        <v>579</v>
      </c>
      <c r="G613" s="94">
        <v>3600</v>
      </c>
      <c r="H613" s="70">
        <f t="shared" si="9"/>
        <v>4</v>
      </c>
      <c r="I613" s="11">
        <v>46071</v>
      </c>
      <c r="J613" s="11">
        <v>46070</v>
      </c>
      <c r="K613" s="13"/>
    </row>
    <row r="614" spans="1:11" ht="18" x14ac:dyDescent="0.4">
      <c r="A614" s="93" t="s">
        <v>475</v>
      </c>
      <c r="B614" s="16" t="s">
        <v>576</v>
      </c>
      <c r="C614" s="8">
        <v>19807</v>
      </c>
      <c r="D614" s="9">
        <v>463602350</v>
      </c>
      <c r="E614" s="57">
        <v>900</v>
      </c>
      <c r="F614" s="10" t="s">
        <v>580</v>
      </c>
      <c r="G614" s="94">
        <v>0</v>
      </c>
      <c r="H614" s="70">
        <f t="shared" si="9"/>
        <v>0</v>
      </c>
      <c r="I614" s="11">
        <v>46071</v>
      </c>
      <c r="J614" s="11">
        <v>46070</v>
      </c>
      <c r="K614" s="13"/>
    </row>
    <row r="615" spans="1:11" ht="18" x14ac:dyDescent="0.4">
      <c r="A615" s="93" t="s">
        <v>475</v>
      </c>
      <c r="B615" s="16" t="s">
        <v>372</v>
      </c>
      <c r="C615" s="8">
        <v>27951</v>
      </c>
      <c r="D615" s="9">
        <v>76779780</v>
      </c>
      <c r="E615" s="57">
        <v>300</v>
      </c>
      <c r="F615" s="10" t="s">
        <v>553</v>
      </c>
      <c r="G615" s="94">
        <v>3600</v>
      </c>
      <c r="H615" s="70">
        <f t="shared" si="9"/>
        <v>12</v>
      </c>
      <c r="I615" s="11">
        <v>46071</v>
      </c>
      <c r="J615" s="11">
        <v>46070</v>
      </c>
      <c r="K615" s="13"/>
    </row>
    <row r="616" spans="1:11" ht="18" x14ac:dyDescent="0.4">
      <c r="A616" s="93" t="s">
        <v>475</v>
      </c>
      <c r="B616" s="16" t="s">
        <v>372</v>
      </c>
      <c r="C616" s="8">
        <v>27951</v>
      </c>
      <c r="D616" s="9">
        <v>187538210</v>
      </c>
      <c r="E616" s="57">
        <v>180</v>
      </c>
      <c r="F616" s="10" t="s">
        <v>581</v>
      </c>
      <c r="G616" s="94">
        <v>2160</v>
      </c>
      <c r="H616" s="70">
        <f t="shared" si="9"/>
        <v>12</v>
      </c>
      <c r="I616" s="11">
        <v>46071</v>
      </c>
      <c r="J616" s="11">
        <v>46070</v>
      </c>
      <c r="K616" s="13"/>
    </row>
    <row r="617" spans="1:11" ht="18" x14ac:dyDescent="0.4">
      <c r="A617" s="93" t="s">
        <v>475</v>
      </c>
      <c r="B617" s="16" t="s">
        <v>372</v>
      </c>
      <c r="C617" s="8">
        <v>27951</v>
      </c>
      <c r="D617" s="9">
        <v>463436280</v>
      </c>
      <c r="E617" s="57">
        <v>600</v>
      </c>
      <c r="F617" s="10" t="s">
        <v>582</v>
      </c>
      <c r="G617" s="94">
        <v>7200</v>
      </c>
      <c r="H617" s="70">
        <f t="shared" si="9"/>
        <v>12</v>
      </c>
      <c r="I617" s="11">
        <v>46071</v>
      </c>
      <c r="J617" s="11">
        <v>46070</v>
      </c>
      <c r="K617" s="13"/>
    </row>
    <row r="618" spans="1:11" ht="18" x14ac:dyDescent="0.4">
      <c r="A618" s="93" t="s">
        <v>475</v>
      </c>
      <c r="B618" s="16" t="s">
        <v>377</v>
      </c>
      <c r="C618" s="8">
        <v>36019</v>
      </c>
      <c r="D618" s="9">
        <v>160504340</v>
      </c>
      <c r="E618" s="57">
        <v>400</v>
      </c>
      <c r="F618" s="10" t="s">
        <v>583</v>
      </c>
      <c r="G618" s="94">
        <v>8000</v>
      </c>
      <c r="H618" s="70">
        <f t="shared" si="9"/>
        <v>20</v>
      </c>
      <c r="I618" s="11">
        <v>46071</v>
      </c>
      <c r="J618" s="11">
        <v>46070</v>
      </c>
      <c r="K618" s="13"/>
    </row>
    <row r="619" spans="1:11" ht="18" x14ac:dyDescent="0.4">
      <c r="A619" s="93" t="s">
        <v>475</v>
      </c>
      <c r="B619" s="16" t="s">
        <v>377</v>
      </c>
      <c r="C619" s="8">
        <v>36019</v>
      </c>
      <c r="D619" s="9">
        <v>468130270</v>
      </c>
      <c r="E619" s="57">
        <v>1200</v>
      </c>
      <c r="F619" s="10" t="s">
        <v>584</v>
      </c>
      <c r="G619" s="94">
        <v>24000</v>
      </c>
      <c r="H619" s="70">
        <f t="shared" si="9"/>
        <v>20</v>
      </c>
      <c r="I619" s="11">
        <v>46071</v>
      </c>
      <c r="J619" s="11">
        <v>46070</v>
      </c>
      <c r="K619" s="13"/>
    </row>
    <row r="620" spans="1:11" ht="18" x14ac:dyDescent="0.4">
      <c r="A620" s="93" t="s">
        <v>475</v>
      </c>
      <c r="B620" s="16" t="s">
        <v>585</v>
      </c>
      <c r="C620" s="8">
        <v>10429</v>
      </c>
      <c r="D620" s="9">
        <v>467670560</v>
      </c>
      <c r="E620" s="57">
        <v>1152</v>
      </c>
      <c r="F620" s="10" t="s">
        <v>586</v>
      </c>
      <c r="G620" s="94">
        <v>2304</v>
      </c>
      <c r="H620" s="70">
        <f t="shared" si="9"/>
        <v>2</v>
      </c>
      <c r="I620" s="11">
        <v>46071</v>
      </c>
      <c r="J620" s="11">
        <v>46070</v>
      </c>
      <c r="K620" s="13"/>
    </row>
    <row r="621" spans="1:11" ht="18" x14ac:dyDescent="0.4">
      <c r="A621" s="93" t="s">
        <v>475</v>
      </c>
      <c r="B621" s="16" t="s">
        <v>585</v>
      </c>
      <c r="C621" s="8">
        <v>10429</v>
      </c>
      <c r="D621" s="9">
        <v>467689270</v>
      </c>
      <c r="E621" s="57">
        <v>1440</v>
      </c>
      <c r="F621" s="10" t="s">
        <v>587</v>
      </c>
      <c r="G621" s="94">
        <v>2880</v>
      </c>
      <c r="H621" s="70">
        <f t="shared" si="9"/>
        <v>2</v>
      </c>
      <c r="I621" s="11">
        <v>46071</v>
      </c>
      <c r="J621" s="11">
        <v>46070</v>
      </c>
      <c r="K621" s="13"/>
    </row>
    <row r="622" spans="1:11" ht="18" x14ac:dyDescent="0.4">
      <c r="A622" s="93" t="s">
        <v>475</v>
      </c>
      <c r="B622" s="16" t="s">
        <v>585</v>
      </c>
      <c r="C622" s="8">
        <v>10429</v>
      </c>
      <c r="D622" s="9">
        <v>467761970</v>
      </c>
      <c r="E622" s="57">
        <v>1200</v>
      </c>
      <c r="F622" s="10" t="s">
        <v>588</v>
      </c>
      <c r="G622" s="94">
        <v>3600</v>
      </c>
      <c r="H622" s="70">
        <f t="shared" si="9"/>
        <v>3</v>
      </c>
      <c r="I622" s="11">
        <v>46071</v>
      </c>
      <c r="J622" s="11">
        <v>46070</v>
      </c>
      <c r="K622" s="13"/>
    </row>
    <row r="623" spans="1:11" ht="18" x14ac:dyDescent="0.4">
      <c r="A623" s="93" t="s">
        <v>475</v>
      </c>
      <c r="B623" s="16" t="s">
        <v>585</v>
      </c>
      <c r="C623" s="8">
        <v>10429</v>
      </c>
      <c r="D623" s="9">
        <v>467761990</v>
      </c>
      <c r="E623" s="57">
        <v>864</v>
      </c>
      <c r="F623" s="10" t="s">
        <v>589</v>
      </c>
      <c r="G623" s="94">
        <v>6048</v>
      </c>
      <c r="H623" s="70">
        <f t="shared" si="9"/>
        <v>7</v>
      </c>
      <c r="I623" s="11">
        <v>46071</v>
      </c>
      <c r="J623" s="11">
        <v>46070</v>
      </c>
      <c r="K623" s="13"/>
    </row>
    <row r="624" spans="1:11" ht="18" x14ac:dyDescent="0.4">
      <c r="A624" s="93" t="s">
        <v>475</v>
      </c>
      <c r="B624" s="16" t="s">
        <v>585</v>
      </c>
      <c r="C624" s="8">
        <v>10429</v>
      </c>
      <c r="D624" s="9">
        <v>552597100</v>
      </c>
      <c r="E624" s="57">
        <v>1152</v>
      </c>
      <c r="F624" s="10" t="s">
        <v>590</v>
      </c>
      <c r="G624" s="94">
        <v>2340</v>
      </c>
      <c r="H624" s="70">
        <f t="shared" si="9"/>
        <v>2.03125</v>
      </c>
      <c r="I624" s="11">
        <v>46071</v>
      </c>
      <c r="J624" s="11">
        <v>46070</v>
      </c>
      <c r="K624" s="13"/>
    </row>
    <row r="625" spans="1:11" ht="18" x14ac:dyDescent="0.4">
      <c r="A625" s="102" t="s">
        <v>475</v>
      </c>
      <c r="B625" s="103" t="s">
        <v>591</v>
      </c>
      <c r="C625" s="102">
        <v>43749</v>
      </c>
      <c r="D625" s="104">
        <v>400047600</v>
      </c>
      <c r="E625" s="102">
        <v>480</v>
      </c>
      <c r="F625" s="105" t="s">
        <v>592</v>
      </c>
      <c r="G625" s="94">
        <v>0</v>
      </c>
      <c r="H625" s="70">
        <f t="shared" si="9"/>
        <v>0</v>
      </c>
      <c r="I625" s="11">
        <v>46071</v>
      </c>
      <c r="J625" s="11">
        <v>46070</v>
      </c>
      <c r="K625" s="13"/>
    </row>
    <row r="626" spans="1:11" ht="18" x14ac:dyDescent="0.4">
      <c r="A626" s="102" t="s">
        <v>475</v>
      </c>
      <c r="B626" s="103" t="s">
        <v>591</v>
      </c>
      <c r="C626" s="102">
        <v>43749</v>
      </c>
      <c r="D626" s="104">
        <v>400048200</v>
      </c>
      <c r="E626" s="102">
        <v>780</v>
      </c>
      <c r="F626" s="105" t="s">
        <v>593</v>
      </c>
      <c r="G626" s="94">
        <v>0</v>
      </c>
      <c r="H626" s="70">
        <f t="shared" si="9"/>
        <v>0</v>
      </c>
      <c r="I626" s="11">
        <v>46071</v>
      </c>
      <c r="J626" s="11">
        <v>46070</v>
      </c>
      <c r="K626" s="13"/>
    </row>
    <row r="627" spans="1:11" ht="18" x14ac:dyDescent="0.4">
      <c r="A627" s="102" t="s">
        <v>475</v>
      </c>
      <c r="B627" s="103" t="s">
        <v>594</v>
      </c>
      <c r="C627" s="102">
        <v>31107</v>
      </c>
      <c r="D627" s="104">
        <v>552600330</v>
      </c>
      <c r="E627" s="102">
        <v>2700</v>
      </c>
      <c r="F627" s="105" t="s">
        <v>595</v>
      </c>
      <c r="G627" s="94">
        <v>0</v>
      </c>
      <c r="H627" s="70">
        <f t="shared" si="9"/>
        <v>0</v>
      </c>
      <c r="I627" s="11">
        <v>46071</v>
      </c>
      <c r="J627" s="11">
        <v>46070</v>
      </c>
      <c r="K627" s="13"/>
    </row>
    <row r="628" spans="1:11" ht="18" x14ac:dyDescent="0.4">
      <c r="A628" s="102" t="s">
        <v>475</v>
      </c>
      <c r="B628" s="103" t="s">
        <v>596</v>
      </c>
      <c r="C628" s="102">
        <v>33301</v>
      </c>
      <c r="D628" s="104">
        <v>552294200</v>
      </c>
      <c r="E628" s="102">
        <v>240</v>
      </c>
      <c r="F628" s="105" t="s">
        <v>597</v>
      </c>
      <c r="G628" s="94">
        <v>0</v>
      </c>
      <c r="H628" s="70">
        <f t="shared" si="9"/>
        <v>0</v>
      </c>
      <c r="I628" s="11">
        <v>46071</v>
      </c>
      <c r="J628" s="11">
        <v>46070</v>
      </c>
      <c r="K628" s="13"/>
    </row>
    <row r="629" spans="1:11" ht="18" x14ac:dyDescent="0.4">
      <c r="A629" s="102" t="s">
        <v>475</v>
      </c>
      <c r="B629" s="103" t="s">
        <v>596</v>
      </c>
      <c r="C629" s="102">
        <v>33301</v>
      </c>
      <c r="D629" s="104">
        <v>552340160</v>
      </c>
      <c r="E629" s="102">
        <v>240</v>
      </c>
      <c r="F629" s="105" t="s">
        <v>598</v>
      </c>
      <c r="G629" s="94">
        <v>0</v>
      </c>
      <c r="H629" s="70">
        <f t="shared" si="9"/>
        <v>0</v>
      </c>
      <c r="I629" s="11">
        <v>46071</v>
      </c>
      <c r="J629" s="11">
        <v>46070</v>
      </c>
      <c r="K629" s="13"/>
    </row>
    <row r="630" spans="1:11" ht="18" x14ac:dyDescent="0.4">
      <c r="A630" s="93" t="s">
        <v>475</v>
      </c>
      <c r="B630" s="16" t="s">
        <v>414</v>
      </c>
      <c r="C630" s="8">
        <v>21570</v>
      </c>
      <c r="D630" s="9">
        <v>552826500</v>
      </c>
      <c r="E630" s="57">
        <v>900</v>
      </c>
      <c r="F630" s="10" t="s">
        <v>599</v>
      </c>
      <c r="G630" s="94">
        <v>0</v>
      </c>
      <c r="H630" s="70">
        <f t="shared" si="9"/>
        <v>0</v>
      </c>
      <c r="I630" s="11">
        <v>46071</v>
      </c>
      <c r="J630" s="11">
        <v>46070</v>
      </c>
      <c r="K630" s="13"/>
    </row>
    <row r="631" spans="1:11" ht="18" x14ac:dyDescent="0.4">
      <c r="A631" s="93" t="s">
        <v>475</v>
      </c>
      <c r="B631" s="16" t="s">
        <v>414</v>
      </c>
      <c r="C631" s="8">
        <v>21570</v>
      </c>
      <c r="D631" s="9">
        <v>552826470</v>
      </c>
      <c r="E631" s="57">
        <v>1500</v>
      </c>
      <c r="F631" s="10" t="s">
        <v>600</v>
      </c>
      <c r="G631" s="94">
        <v>3000</v>
      </c>
      <c r="H631" s="70">
        <f t="shared" si="9"/>
        <v>2</v>
      </c>
      <c r="I631" s="11">
        <v>46071</v>
      </c>
      <c r="J631" s="11">
        <v>46070</v>
      </c>
      <c r="K631" s="13"/>
    </row>
    <row r="632" spans="1:11" ht="18" x14ac:dyDescent="0.4">
      <c r="A632" s="93" t="s">
        <v>475</v>
      </c>
      <c r="B632" s="16" t="s">
        <v>414</v>
      </c>
      <c r="C632" s="8">
        <v>21570</v>
      </c>
      <c r="D632" s="9">
        <v>552826490</v>
      </c>
      <c r="E632" s="57">
        <v>200</v>
      </c>
      <c r="F632" s="10" t="s">
        <v>601</v>
      </c>
      <c r="G632" s="94">
        <v>1400</v>
      </c>
      <c r="H632" s="70">
        <f t="shared" si="9"/>
        <v>7</v>
      </c>
      <c r="I632" s="11">
        <v>46071</v>
      </c>
      <c r="J632" s="11">
        <v>46070</v>
      </c>
      <c r="K632" s="13"/>
    </row>
    <row r="633" spans="1:11" ht="18" x14ac:dyDescent="0.4">
      <c r="A633" s="93" t="s">
        <v>475</v>
      </c>
      <c r="B633" s="16" t="s">
        <v>414</v>
      </c>
      <c r="C633" s="8">
        <v>21570</v>
      </c>
      <c r="D633" s="9">
        <v>552826480</v>
      </c>
      <c r="E633" s="57">
        <v>200</v>
      </c>
      <c r="F633" s="10" t="s">
        <v>602</v>
      </c>
      <c r="G633" s="94">
        <v>1400</v>
      </c>
      <c r="H633" s="70">
        <f t="shared" si="9"/>
        <v>7</v>
      </c>
      <c r="I633" s="11">
        <v>46071</v>
      </c>
      <c r="J633" s="11">
        <v>46070</v>
      </c>
      <c r="K633" s="13"/>
    </row>
    <row r="634" spans="1:11" ht="18" x14ac:dyDescent="0.4">
      <c r="A634" s="93" t="s">
        <v>475</v>
      </c>
      <c r="B634" s="16" t="s">
        <v>439</v>
      </c>
      <c r="C634" s="8">
        <v>40840</v>
      </c>
      <c r="D634" s="9">
        <v>187521210</v>
      </c>
      <c r="E634" s="57">
        <v>900</v>
      </c>
      <c r="F634" s="95" t="s">
        <v>312</v>
      </c>
      <c r="G634" s="94">
        <v>0</v>
      </c>
      <c r="H634" s="70">
        <f t="shared" si="9"/>
        <v>0</v>
      </c>
      <c r="I634" s="11">
        <v>46071</v>
      </c>
      <c r="J634" s="11">
        <v>46070</v>
      </c>
      <c r="K634" s="13"/>
    </row>
    <row r="635" spans="1:11" ht="18" x14ac:dyDescent="0.4">
      <c r="A635" s="93" t="s">
        <v>475</v>
      </c>
      <c r="B635" s="16" t="s">
        <v>439</v>
      </c>
      <c r="C635" s="8">
        <v>40840</v>
      </c>
      <c r="D635" s="9">
        <v>187543240</v>
      </c>
      <c r="E635" s="57">
        <v>400</v>
      </c>
      <c r="F635" s="95" t="s">
        <v>565</v>
      </c>
      <c r="G635" s="94">
        <v>0</v>
      </c>
      <c r="H635" s="70">
        <f t="shared" si="9"/>
        <v>0</v>
      </c>
      <c r="I635" s="11">
        <v>46071</v>
      </c>
      <c r="J635" s="11">
        <v>46070</v>
      </c>
      <c r="K635" s="13"/>
    </row>
    <row r="636" spans="1:11" ht="18" x14ac:dyDescent="0.4">
      <c r="A636" s="93" t="s">
        <v>475</v>
      </c>
      <c r="B636" s="16" t="s">
        <v>439</v>
      </c>
      <c r="C636" s="8">
        <v>40840</v>
      </c>
      <c r="D636" s="9">
        <v>187532210</v>
      </c>
      <c r="E636" s="57">
        <v>350</v>
      </c>
      <c r="F636" s="95" t="s">
        <v>603</v>
      </c>
      <c r="G636" s="94">
        <v>0</v>
      </c>
      <c r="H636" s="70">
        <f t="shared" si="9"/>
        <v>0</v>
      </c>
      <c r="I636" s="11">
        <v>46071</v>
      </c>
      <c r="J636" s="11">
        <v>46070</v>
      </c>
      <c r="K636" s="13"/>
    </row>
    <row r="637" spans="1:11" ht="18" x14ac:dyDescent="0.4">
      <c r="A637" s="93" t="s">
        <v>475</v>
      </c>
      <c r="B637" s="16" t="s">
        <v>439</v>
      </c>
      <c r="C637" s="8">
        <v>40840</v>
      </c>
      <c r="D637" s="9">
        <v>109026210</v>
      </c>
      <c r="E637" s="57">
        <v>1500</v>
      </c>
      <c r="F637" s="95" t="s">
        <v>604</v>
      </c>
      <c r="G637" s="94">
        <v>0</v>
      </c>
      <c r="H637" s="70">
        <f t="shared" si="9"/>
        <v>0</v>
      </c>
      <c r="I637" s="11">
        <v>46071</v>
      </c>
      <c r="J637" s="11">
        <v>46070</v>
      </c>
      <c r="K637" s="13"/>
    </row>
    <row r="638" spans="1:11" ht="18" x14ac:dyDescent="0.4">
      <c r="A638" s="93" t="s">
        <v>475</v>
      </c>
      <c r="B638" s="16" t="s">
        <v>439</v>
      </c>
      <c r="C638" s="8">
        <v>40840</v>
      </c>
      <c r="D638" s="9">
        <v>162860210</v>
      </c>
      <c r="E638" s="57">
        <v>1750</v>
      </c>
      <c r="F638" s="95" t="s">
        <v>605</v>
      </c>
      <c r="G638" s="94">
        <v>0</v>
      </c>
      <c r="H638" s="70">
        <f t="shared" si="9"/>
        <v>0</v>
      </c>
      <c r="I638" s="11">
        <v>46071</v>
      </c>
      <c r="J638" s="11">
        <v>46070</v>
      </c>
      <c r="K638" s="13"/>
    </row>
    <row r="639" spans="1:11" ht="18" x14ac:dyDescent="0.4">
      <c r="A639" s="93" t="s">
        <v>475</v>
      </c>
      <c r="B639" s="16" t="s">
        <v>606</v>
      </c>
      <c r="C639" s="8">
        <v>23480</v>
      </c>
      <c r="D639" s="9">
        <v>43283640</v>
      </c>
      <c r="E639" s="57">
        <v>2000</v>
      </c>
      <c r="F639" s="10" t="s">
        <v>607</v>
      </c>
      <c r="G639" s="94">
        <v>6000</v>
      </c>
      <c r="H639" s="70">
        <f t="shared" si="9"/>
        <v>3</v>
      </c>
      <c r="I639" s="11">
        <v>46071</v>
      </c>
      <c r="J639" s="11">
        <v>46070</v>
      </c>
      <c r="K639" s="13"/>
    </row>
    <row r="640" spans="1:11" ht="18" x14ac:dyDescent="0.4">
      <c r="A640" s="93" t="s">
        <v>475</v>
      </c>
      <c r="B640" s="16" t="s">
        <v>606</v>
      </c>
      <c r="C640" s="8">
        <v>23480</v>
      </c>
      <c r="D640" s="9">
        <v>75395980</v>
      </c>
      <c r="E640" s="57">
        <v>4000</v>
      </c>
      <c r="F640" s="10" t="s">
        <v>608</v>
      </c>
      <c r="G640" s="94">
        <v>4000</v>
      </c>
      <c r="H640" s="70">
        <f t="shared" si="9"/>
        <v>1</v>
      </c>
      <c r="I640" s="11">
        <v>46071</v>
      </c>
      <c r="J640" s="11">
        <v>46070</v>
      </c>
      <c r="K640" s="13"/>
    </row>
    <row r="641" spans="1:11" ht="18" x14ac:dyDescent="0.4">
      <c r="A641" s="93" t="s">
        <v>475</v>
      </c>
      <c r="B641" s="7" t="s">
        <v>606</v>
      </c>
      <c r="C641" s="8">
        <v>23480</v>
      </c>
      <c r="D641" s="9">
        <v>144557800</v>
      </c>
      <c r="E641" s="57">
        <v>1000</v>
      </c>
      <c r="F641" s="10" t="s">
        <v>609</v>
      </c>
      <c r="G641" s="94">
        <v>0</v>
      </c>
      <c r="H641" s="70">
        <f t="shared" si="9"/>
        <v>0</v>
      </c>
      <c r="I641" s="11">
        <v>46071</v>
      </c>
      <c r="J641" s="11">
        <v>46070</v>
      </c>
      <c r="K641" s="13"/>
    </row>
    <row r="642" spans="1:11" ht="18" x14ac:dyDescent="0.4">
      <c r="A642" s="93" t="s">
        <v>475</v>
      </c>
      <c r="B642" s="16" t="s">
        <v>606</v>
      </c>
      <c r="C642" s="8">
        <v>23480</v>
      </c>
      <c r="D642" s="9">
        <v>500080480</v>
      </c>
      <c r="E642" s="57">
        <v>3000</v>
      </c>
      <c r="F642" s="10" t="s">
        <v>610</v>
      </c>
      <c r="G642" s="94">
        <v>6000</v>
      </c>
      <c r="H642" s="70">
        <f t="shared" si="9"/>
        <v>2</v>
      </c>
      <c r="I642" s="11">
        <v>46071</v>
      </c>
      <c r="J642" s="11">
        <v>46070</v>
      </c>
      <c r="K642" s="13"/>
    </row>
    <row r="643" spans="1:11" ht="18" x14ac:dyDescent="0.4">
      <c r="A643" s="93" t="s">
        <v>475</v>
      </c>
      <c r="B643" s="16" t="s">
        <v>611</v>
      </c>
      <c r="C643" s="8">
        <v>42998</v>
      </c>
      <c r="D643" s="9">
        <v>463545200</v>
      </c>
      <c r="E643" s="57">
        <v>600</v>
      </c>
      <c r="F643" s="10" t="s">
        <v>612</v>
      </c>
      <c r="G643" s="94">
        <v>0</v>
      </c>
      <c r="H643" s="70">
        <f t="shared" si="9"/>
        <v>0</v>
      </c>
      <c r="I643" s="11">
        <v>46071</v>
      </c>
      <c r="J643" s="11">
        <v>46070</v>
      </c>
      <c r="K643" s="13"/>
    </row>
    <row r="644" spans="1:11" ht="18" x14ac:dyDescent="0.4">
      <c r="A644" s="93" t="s">
        <v>475</v>
      </c>
      <c r="B644" s="16" t="s">
        <v>473</v>
      </c>
      <c r="C644" s="8">
        <v>31775</v>
      </c>
      <c r="D644" s="9">
        <v>552597070</v>
      </c>
      <c r="E644" s="57">
        <v>900</v>
      </c>
      <c r="F644" s="10" t="s">
        <v>613</v>
      </c>
      <c r="G644" s="94">
        <v>3600</v>
      </c>
      <c r="H644" s="70">
        <f t="shared" si="9"/>
        <v>4</v>
      </c>
      <c r="I644" s="11">
        <v>46071</v>
      </c>
      <c r="J644" s="11">
        <v>46070</v>
      </c>
      <c r="K644" s="13"/>
    </row>
    <row r="645" spans="1:11" ht="18" x14ac:dyDescent="0.4">
      <c r="A645" s="102" t="s">
        <v>475</v>
      </c>
      <c r="B645" s="103" t="s">
        <v>614</v>
      </c>
      <c r="C645" s="102">
        <v>10627</v>
      </c>
      <c r="D645" s="104">
        <v>77132900</v>
      </c>
      <c r="E645" s="102">
        <v>2500</v>
      </c>
      <c r="F645" s="105" t="s">
        <v>615</v>
      </c>
      <c r="G645" s="94">
        <v>0</v>
      </c>
      <c r="H645" s="70">
        <f t="shared" si="9"/>
        <v>0</v>
      </c>
      <c r="I645" s="11">
        <v>46071</v>
      </c>
      <c r="J645" s="11">
        <v>46070</v>
      </c>
      <c r="K645" s="13"/>
    </row>
    <row r="646" spans="1:11" ht="19.5" x14ac:dyDescent="0.55000000000000004">
      <c r="A646" s="93" t="s">
        <v>475</v>
      </c>
      <c r="B646" s="16" t="s">
        <v>616</v>
      </c>
      <c r="C646" s="8">
        <v>50050</v>
      </c>
      <c r="D646" s="9">
        <v>552807940</v>
      </c>
      <c r="E646" s="57">
        <v>360</v>
      </c>
      <c r="F646" s="10" t="s">
        <v>617</v>
      </c>
      <c r="G646" s="94">
        <v>0</v>
      </c>
      <c r="H646" s="70">
        <f t="shared" si="9"/>
        <v>0</v>
      </c>
      <c r="I646" s="11">
        <v>46071</v>
      </c>
      <c r="J646" s="11">
        <v>46070</v>
      </c>
      <c r="K646" s="58"/>
    </row>
    <row r="647" spans="1:11" ht="19.5" x14ac:dyDescent="0.55000000000000004">
      <c r="A647" s="93" t="s">
        <v>475</v>
      </c>
      <c r="B647" s="16" t="s">
        <v>616</v>
      </c>
      <c r="C647" s="8">
        <v>50050</v>
      </c>
      <c r="D647" s="9">
        <v>552807950</v>
      </c>
      <c r="E647" s="57">
        <v>360</v>
      </c>
      <c r="F647" s="10" t="s">
        <v>618</v>
      </c>
      <c r="G647" s="94">
        <v>0</v>
      </c>
      <c r="H647" s="70">
        <f t="shared" si="9"/>
        <v>0</v>
      </c>
      <c r="I647" s="11">
        <v>46071</v>
      </c>
      <c r="J647" s="11">
        <v>46070</v>
      </c>
      <c r="K647" s="58"/>
    </row>
    <row r="648" spans="1:11" ht="19.5" x14ac:dyDescent="0.55000000000000004">
      <c r="A648" s="93" t="s">
        <v>475</v>
      </c>
      <c r="B648" s="16" t="s">
        <v>616</v>
      </c>
      <c r="C648" s="8">
        <v>50050</v>
      </c>
      <c r="D648" s="9">
        <v>552810000</v>
      </c>
      <c r="E648" s="57">
        <v>450</v>
      </c>
      <c r="F648" s="10" t="s">
        <v>619</v>
      </c>
      <c r="G648" s="94">
        <v>3600</v>
      </c>
      <c r="H648" s="70">
        <f t="shared" si="9"/>
        <v>8</v>
      </c>
      <c r="I648" s="100">
        <v>46071</v>
      </c>
      <c r="J648" s="11">
        <v>46070</v>
      </c>
      <c r="K648" s="101" t="s">
        <v>720</v>
      </c>
    </row>
    <row r="649" spans="1:11" ht="19.5" x14ac:dyDescent="0.55000000000000004">
      <c r="A649" s="93" t="s">
        <v>475</v>
      </c>
      <c r="B649" s="16" t="s">
        <v>616</v>
      </c>
      <c r="C649" s="8">
        <v>50050</v>
      </c>
      <c r="D649" s="9">
        <v>552807960</v>
      </c>
      <c r="E649" s="57">
        <v>180</v>
      </c>
      <c r="F649" s="10" t="s">
        <v>620</v>
      </c>
      <c r="G649" s="94">
        <v>0</v>
      </c>
      <c r="H649" s="70">
        <f t="shared" si="9"/>
        <v>0</v>
      </c>
      <c r="I649" s="11">
        <v>46071</v>
      </c>
      <c r="J649" s="11">
        <v>46070</v>
      </c>
      <c r="K649" s="58"/>
    </row>
    <row r="650" spans="1:11" ht="19.5" x14ac:dyDescent="0.55000000000000004">
      <c r="A650" s="93" t="s">
        <v>475</v>
      </c>
      <c r="B650" s="16" t="s">
        <v>616</v>
      </c>
      <c r="C650" s="8">
        <v>50050</v>
      </c>
      <c r="D650" s="9">
        <v>552512680</v>
      </c>
      <c r="E650" s="57">
        <v>1800</v>
      </c>
      <c r="F650" s="10" t="s">
        <v>621</v>
      </c>
      <c r="G650" s="94">
        <v>3600</v>
      </c>
      <c r="H650" s="70">
        <f t="shared" si="9"/>
        <v>2</v>
      </c>
      <c r="I650" s="11">
        <v>46071</v>
      </c>
      <c r="J650" s="11">
        <v>46070</v>
      </c>
      <c r="K650" s="58"/>
    </row>
    <row r="651" spans="1:11" ht="19.5" x14ac:dyDescent="0.55000000000000004">
      <c r="A651" s="93" t="s">
        <v>475</v>
      </c>
      <c r="B651" s="16" t="s">
        <v>616</v>
      </c>
      <c r="C651" s="8">
        <v>50050</v>
      </c>
      <c r="D651" s="9">
        <v>552500530</v>
      </c>
      <c r="E651" s="57">
        <v>2400</v>
      </c>
      <c r="F651" s="10" t="s">
        <v>621</v>
      </c>
      <c r="G651" s="94">
        <v>0</v>
      </c>
      <c r="H651" s="70">
        <f t="shared" si="9"/>
        <v>0</v>
      </c>
      <c r="I651" s="11">
        <v>46071</v>
      </c>
      <c r="J651" s="11">
        <v>46070</v>
      </c>
      <c r="K651" s="58"/>
    </row>
    <row r="652" spans="1:11" ht="19.5" x14ac:dyDescent="0.55000000000000004">
      <c r="A652" s="93" t="s">
        <v>475</v>
      </c>
      <c r="B652" s="16" t="s">
        <v>616</v>
      </c>
      <c r="C652" s="8">
        <v>50050</v>
      </c>
      <c r="D652" s="9">
        <v>552807970</v>
      </c>
      <c r="E652" s="57">
        <v>180</v>
      </c>
      <c r="F652" s="10" t="s">
        <v>622</v>
      </c>
      <c r="G652" s="94">
        <v>3600</v>
      </c>
      <c r="H652" s="70">
        <f t="shared" si="9"/>
        <v>20</v>
      </c>
      <c r="I652" s="100">
        <v>46071</v>
      </c>
      <c r="J652" s="11">
        <v>46070</v>
      </c>
      <c r="K652" s="101" t="s">
        <v>720</v>
      </c>
    </row>
    <row r="653" spans="1:11" ht="19.5" x14ac:dyDescent="0.55000000000000004">
      <c r="A653" s="93" t="s">
        <v>475</v>
      </c>
      <c r="B653" s="16" t="s">
        <v>286</v>
      </c>
      <c r="C653" s="8">
        <v>51625</v>
      </c>
      <c r="D653" s="9">
        <v>463458000</v>
      </c>
      <c r="E653" s="57">
        <v>1800</v>
      </c>
      <c r="F653" s="10" t="s">
        <v>623</v>
      </c>
      <c r="G653" s="94">
        <v>3600</v>
      </c>
      <c r="H653" s="70">
        <f t="shared" si="9"/>
        <v>2</v>
      </c>
      <c r="I653" s="11">
        <v>46071</v>
      </c>
      <c r="J653" s="11">
        <v>46070</v>
      </c>
      <c r="K653" s="58"/>
    </row>
    <row r="654" spans="1:11" ht="19.5" x14ac:dyDescent="0.55000000000000004">
      <c r="A654" s="93" t="s">
        <v>475</v>
      </c>
      <c r="B654" s="16" t="s">
        <v>286</v>
      </c>
      <c r="C654" s="8">
        <v>51625</v>
      </c>
      <c r="D654" s="9">
        <v>463457980</v>
      </c>
      <c r="E654" s="57">
        <v>1600</v>
      </c>
      <c r="F654" s="10" t="s">
        <v>624</v>
      </c>
      <c r="G654" s="94">
        <v>3200</v>
      </c>
      <c r="H654" s="70">
        <f t="shared" si="9"/>
        <v>2</v>
      </c>
      <c r="I654" s="11">
        <v>46071</v>
      </c>
      <c r="J654" s="11">
        <v>46070</v>
      </c>
      <c r="K654" s="58"/>
    </row>
    <row r="655" spans="1:11" ht="19.5" x14ac:dyDescent="0.55000000000000004">
      <c r="A655" s="93" t="s">
        <v>475</v>
      </c>
      <c r="B655" s="16" t="s">
        <v>286</v>
      </c>
      <c r="C655" s="8">
        <v>51625</v>
      </c>
      <c r="D655" s="9">
        <v>463457990</v>
      </c>
      <c r="E655" s="57">
        <v>1920</v>
      </c>
      <c r="F655" s="10" t="s">
        <v>625</v>
      </c>
      <c r="G655" s="94">
        <v>3480</v>
      </c>
      <c r="H655" s="70">
        <f t="shared" si="9"/>
        <v>1.8125</v>
      </c>
      <c r="I655" s="11">
        <v>46071</v>
      </c>
      <c r="J655" s="11">
        <v>46070</v>
      </c>
      <c r="K655" s="58"/>
    </row>
    <row r="656" spans="1:11" ht="18" x14ac:dyDescent="0.4">
      <c r="A656" s="102" t="s">
        <v>475</v>
      </c>
      <c r="B656" s="103" t="s">
        <v>626</v>
      </c>
      <c r="C656" s="102">
        <v>13093</v>
      </c>
      <c r="D656" s="104">
        <v>552679890</v>
      </c>
      <c r="E656" s="102">
        <v>150</v>
      </c>
      <c r="F656" s="105" t="s">
        <v>627</v>
      </c>
      <c r="G656" s="94">
        <v>0</v>
      </c>
      <c r="H656" s="70">
        <f t="shared" si="9"/>
        <v>0</v>
      </c>
      <c r="I656" s="11">
        <v>46071</v>
      </c>
      <c r="J656" s="11">
        <v>46070</v>
      </c>
      <c r="K656" s="13"/>
    </row>
    <row r="657" spans="1:11" ht="18" x14ac:dyDescent="0.4">
      <c r="A657" s="93" t="s">
        <v>475</v>
      </c>
      <c r="B657" s="16" t="s">
        <v>628</v>
      </c>
      <c r="C657" s="60">
        <v>30467</v>
      </c>
      <c r="D657" s="61">
        <v>552757120</v>
      </c>
      <c r="E657" s="60">
        <v>300</v>
      </c>
      <c r="F657" s="96" t="s">
        <v>629</v>
      </c>
      <c r="G657" s="94">
        <v>6000</v>
      </c>
      <c r="H657" s="70">
        <f t="shared" si="9"/>
        <v>20</v>
      </c>
      <c r="I657" s="11">
        <v>46071</v>
      </c>
      <c r="J657" s="11">
        <v>46070</v>
      </c>
      <c r="K657" s="13"/>
    </row>
    <row r="658" spans="1:11" ht="18" x14ac:dyDescent="0.4">
      <c r="A658" s="93" t="s">
        <v>475</v>
      </c>
      <c r="B658" s="16" t="s">
        <v>628</v>
      </c>
      <c r="C658" s="60">
        <v>30467</v>
      </c>
      <c r="D658" s="61">
        <v>77894039</v>
      </c>
      <c r="E658" s="60">
        <v>2880</v>
      </c>
      <c r="F658" s="96" t="s">
        <v>510</v>
      </c>
      <c r="G658" s="94">
        <v>5760</v>
      </c>
      <c r="H658" s="70">
        <f t="shared" si="9"/>
        <v>2</v>
      </c>
      <c r="I658" s="11">
        <v>46071</v>
      </c>
      <c r="J658" s="11">
        <v>46070</v>
      </c>
      <c r="K658" s="13"/>
    </row>
    <row r="659" spans="1:11" ht="18" x14ac:dyDescent="0.4">
      <c r="A659" s="93" t="s">
        <v>475</v>
      </c>
      <c r="B659" s="16" t="s">
        <v>628</v>
      </c>
      <c r="C659" s="60">
        <v>30467</v>
      </c>
      <c r="D659" s="61">
        <v>463458088</v>
      </c>
      <c r="E659" s="60">
        <v>1440</v>
      </c>
      <c r="F659" s="96" t="s">
        <v>630</v>
      </c>
      <c r="G659" s="94">
        <v>0</v>
      </c>
      <c r="H659" s="70">
        <f t="shared" si="9"/>
        <v>0</v>
      </c>
      <c r="I659" s="11">
        <v>46071</v>
      </c>
      <c r="J659" s="11">
        <v>46070</v>
      </c>
      <c r="K659" s="13"/>
    </row>
    <row r="660" spans="1:11" ht="18" x14ac:dyDescent="0.4">
      <c r="A660" s="93" t="s">
        <v>475</v>
      </c>
      <c r="B660" s="16" t="s">
        <v>631</v>
      </c>
      <c r="C660" s="8">
        <v>60644</v>
      </c>
      <c r="D660" s="9">
        <v>75742790</v>
      </c>
      <c r="E660" s="57">
        <v>400</v>
      </c>
      <c r="F660" s="10" t="s">
        <v>632</v>
      </c>
      <c r="G660" s="94">
        <v>0</v>
      </c>
      <c r="H660" s="70">
        <f t="shared" si="9"/>
        <v>0</v>
      </c>
      <c r="I660" s="11">
        <v>46071</v>
      </c>
      <c r="J660" s="11">
        <v>46070</v>
      </c>
      <c r="K660" s="13"/>
    </row>
    <row r="661" spans="1:11" ht="18" x14ac:dyDescent="0.4">
      <c r="A661" s="93" t="s">
        <v>475</v>
      </c>
      <c r="B661" s="16" t="s">
        <v>631</v>
      </c>
      <c r="C661" s="8">
        <v>60644</v>
      </c>
      <c r="D661" s="9">
        <v>464600430</v>
      </c>
      <c r="E661" s="57">
        <v>72</v>
      </c>
      <c r="F661" s="10" t="s">
        <v>633</v>
      </c>
      <c r="G661" s="94">
        <v>0</v>
      </c>
      <c r="H661" s="70">
        <f t="shared" si="9"/>
        <v>0</v>
      </c>
      <c r="I661" s="11">
        <v>46071</v>
      </c>
      <c r="J661" s="11">
        <v>46070</v>
      </c>
      <c r="K661" s="13"/>
    </row>
    <row r="662" spans="1:11" ht="19.5" x14ac:dyDescent="0.55000000000000004">
      <c r="A662" s="93" t="s">
        <v>475</v>
      </c>
      <c r="B662" s="16" t="s">
        <v>634</v>
      </c>
      <c r="C662" s="8">
        <v>63192</v>
      </c>
      <c r="D662" s="9">
        <v>552044480</v>
      </c>
      <c r="E662" s="57">
        <v>45</v>
      </c>
      <c r="F662" s="10" t="s">
        <v>635</v>
      </c>
      <c r="G662" s="94">
        <v>0</v>
      </c>
      <c r="H662" s="70">
        <f t="shared" si="9"/>
        <v>0</v>
      </c>
      <c r="I662" s="11">
        <v>46071</v>
      </c>
      <c r="J662" s="11">
        <v>46070</v>
      </c>
      <c r="K662" s="59"/>
    </row>
    <row r="663" spans="1:11" ht="19.5" x14ac:dyDescent="0.55000000000000004">
      <c r="A663" s="93" t="s">
        <v>475</v>
      </c>
      <c r="B663" s="16" t="s">
        <v>634</v>
      </c>
      <c r="C663" s="8">
        <v>63192</v>
      </c>
      <c r="D663" s="9">
        <v>552044490</v>
      </c>
      <c r="E663" s="57">
        <v>45</v>
      </c>
      <c r="F663" s="10" t="s">
        <v>635</v>
      </c>
      <c r="G663" s="94">
        <v>0</v>
      </c>
      <c r="H663" s="70">
        <f t="shared" si="9"/>
        <v>0</v>
      </c>
      <c r="I663" s="11">
        <v>46071</v>
      </c>
      <c r="J663" s="11">
        <v>46070</v>
      </c>
      <c r="K663" s="59"/>
    </row>
    <row r="664" spans="1:11" ht="18" x14ac:dyDescent="0.4">
      <c r="A664" s="93" t="s">
        <v>475</v>
      </c>
      <c r="B664" s="16" t="s">
        <v>637</v>
      </c>
      <c r="C664" s="8">
        <v>64641</v>
      </c>
      <c r="D664" s="9">
        <v>143253110</v>
      </c>
      <c r="E664" s="57">
        <v>350</v>
      </c>
      <c r="F664" s="10" t="s">
        <v>638</v>
      </c>
      <c r="G664" s="94">
        <v>7000</v>
      </c>
      <c r="H664" s="70">
        <f t="shared" si="9"/>
        <v>20</v>
      </c>
      <c r="I664" s="11">
        <v>46071</v>
      </c>
      <c r="J664" s="11">
        <v>46070</v>
      </c>
      <c r="K664" s="13"/>
    </row>
    <row r="665" spans="1:11" ht="18" x14ac:dyDescent="0.4">
      <c r="A665" s="93" t="s">
        <v>475</v>
      </c>
      <c r="B665" s="16" t="s">
        <v>639</v>
      </c>
      <c r="C665" s="8">
        <v>29928</v>
      </c>
      <c r="D665" s="9">
        <v>400048200</v>
      </c>
      <c r="E665" s="57">
        <v>480</v>
      </c>
      <c r="F665" s="10" t="s">
        <v>593</v>
      </c>
      <c r="G665" s="94">
        <v>2880</v>
      </c>
      <c r="H665" s="70">
        <f t="shared" si="9"/>
        <v>6</v>
      </c>
      <c r="I665" s="11">
        <v>46071</v>
      </c>
      <c r="J665" s="11">
        <v>46070</v>
      </c>
      <c r="K665" s="13"/>
    </row>
    <row r="666" spans="1:11" ht="18" x14ac:dyDescent="0.4">
      <c r="A666" s="102" t="s">
        <v>475</v>
      </c>
      <c r="B666" s="103" t="s">
        <v>640</v>
      </c>
      <c r="C666" s="102">
        <v>68265</v>
      </c>
      <c r="D666" s="104">
        <v>463415970</v>
      </c>
      <c r="E666" s="102">
        <v>360</v>
      </c>
      <c r="F666" s="105" t="s">
        <v>641</v>
      </c>
      <c r="G666" s="94">
        <v>0</v>
      </c>
      <c r="H666" s="70">
        <f t="shared" si="9"/>
        <v>0</v>
      </c>
      <c r="I666" s="11">
        <v>46071</v>
      </c>
      <c r="J666" s="11">
        <v>46070</v>
      </c>
      <c r="K666" s="13"/>
    </row>
    <row r="667" spans="1:11" ht="18" x14ac:dyDescent="0.4">
      <c r="A667" s="102" t="s">
        <v>475</v>
      </c>
      <c r="B667" s="103" t="s">
        <v>640</v>
      </c>
      <c r="C667" s="102">
        <v>68265</v>
      </c>
      <c r="D667" s="104">
        <v>551914710</v>
      </c>
      <c r="E667" s="102">
        <v>360</v>
      </c>
      <c r="F667" s="105" t="s">
        <v>642</v>
      </c>
      <c r="G667" s="94">
        <v>0</v>
      </c>
      <c r="H667" s="70">
        <f t="shared" si="9"/>
        <v>0</v>
      </c>
      <c r="I667" s="11">
        <v>46071</v>
      </c>
      <c r="J667" s="11">
        <v>46070</v>
      </c>
      <c r="K667" s="13"/>
    </row>
    <row r="668" spans="1:11" ht="18" x14ac:dyDescent="0.4">
      <c r="A668" s="102" t="s">
        <v>475</v>
      </c>
      <c r="B668" s="103" t="s">
        <v>640</v>
      </c>
      <c r="C668" s="102">
        <v>68265</v>
      </c>
      <c r="D668" s="104">
        <v>552444220</v>
      </c>
      <c r="E668" s="102">
        <v>180</v>
      </c>
      <c r="F668" s="105" t="s">
        <v>641</v>
      </c>
      <c r="G668" s="94">
        <v>0</v>
      </c>
      <c r="H668" s="70">
        <f t="shared" si="9"/>
        <v>0</v>
      </c>
      <c r="I668" s="11">
        <v>46071</v>
      </c>
      <c r="J668" s="11">
        <v>46070</v>
      </c>
      <c r="K668" s="13"/>
    </row>
    <row r="669" spans="1:11" ht="18" x14ac:dyDescent="0.4">
      <c r="A669" s="102" t="s">
        <v>475</v>
      </c>
      <c r="B669" s="103" t="s">
        <v>640</v>
      </c>
      <c r="C669" s="102">
        <v>68265</v>
      </c>
      <c r="D669" s="104">
        <v>552701450</v>
      </c>
      <c r="E669" s="102">
        <v>360</v>
      </c>
      <c r="F669" s="105" t="s">
        <v>643</v>
      </c>
      <c r="G669" s="94">
        <v>0</v>
      </c>
      <c r="H669" s="70">
        <f t="shared" si="9"/>
        <v>0</v>
      </c>
      <c r="I669" s="11">
        <v>46071</v>
      </c>
      <c r="J669" s="11">
        <v>46070</v>
      </c>
      <c r="K669" s="13"/>
    </row>
    <row r="670" spans="1:11" ht="18" x14ac:dyDescent="0.4">
      <c r="A670" s="93" t="s">
        <v>475</v>
      </c>
      <c r="B670" s="16" t="s">
        <v>644</v>
      </c>
      <c r="C670" s="8">
        <v>68265</v>
      </c>
      <c r="D670" s="9">
        <v>59999700</v>
      </c>
      <c r="E670" s="57">
        <v>102</v>
      </c>
      <c r="F670" s="10" t="s">
        <v>645</v>
      </c>
      <c r="G670" s="94">
        <v>5100</v>
      </c>
      <c r="H670" s="70">
        <f t="shared" si="9"/>
        <v>50</v>
      </c>
      <c r="I670" s="11">
        <v>46071</v>
      </c>
      <c r="J670" s="11">
        <v>46070</v>
      </c>
      <c r="K670" s="13"/>
    </row>
    <row r="671" spans="1:11" ht="18" x14ac:dyDescent="0.4">
      <c r="A671" s="93" t="s">
        <v>475</v>
      </c>
      <c r="B671" s="16" t="s">
        <v>644</v>
      </c>
      <c r="C671" s="8">
        <v>68265</v>
      </c>
      <c r="D671" s="9">
        <v>75645190</v>
      </c>
      <c r="E671" s="57">
        <v>126</v>
      </c>
      <c r="F671" s="10" t="s">
        <v>646</v>
      </c>
      <c r="G671" s="94">
        <v>6300</v>
      </c>
      <c r="H671" s="70">
        <f t="shared" si="9"/>
        <v>50</v>
      </c>
      <c r="I671" s="11">
        <v>46071</v>
      </c>
      <c r="J671" s="11">
        <v>46070</v>
      </c>
      <c r="K671" s="13"/>
    </row>
    <row r="672" spans="1:11" ht="18" x14ac:dyDescent="0.4">
      <c r="A672" s="93" t="s">
        <v>475</v>
      </c>
      <c r="B672" s="16" t="s">
        <v>644</v>
      </c>
      <c r="C672" s="8">
        <v>68265</v>
      </c>
      <c r="D672" s="9">
        <v>463602640</v>
      </c>
      <c r="E672" s="57">
        <v>144</v>
      </c>
      <c r="F672" s="10" t="s">
        <v>647</v>
      </c>
      <c r="G672" s="94">
        <v>7200</v>
      </c>
      <c r="H672" s="70">
        <f t="shared" ref="H672:H720" si="10">+G672/E672</f>
        <v>50</v>
      </c>
      <c r="I672" s="11">
        <v>46071</v>
      </c>
      <c r="J672" s="11">
        <v>46070</v>
      </c>
      <c r="K672" s="13"/>
    </row>
    <row r="673" spans="1:11" ht="18" x14ac:dyDescent="0.4">
      <c r="A673" s="93" t="s">
        <v>475</v>
      </c>
      <c r="B673" s="16" t="s">
        <v>644</v>
      </c>
      <c r="C673" s="8">
        <v>68265</v>
      </c>
      <c r="D673" s="9">
        <v>75756860</v>
      </c>
      <c r="E673" s="57">
        <v>120</v>
      </c>
      <c r="F673" s="10" t="s">
        <v>648</v>
      </c>
      <c r="G673" s="94">
        <v>6000</v>
      </c>
      <c r="H673" s="70">
        <f t="shared" si="10"/>
        <v>50</v>
      </c>
      <c r="I673" s="11">
        <v>46071</v>
      </c>
      <c r="J673" s="11">
        <v>46070</v>
      </c>
      <c r="K673" s="13"/>
    </row>
    <row r="674" spans="1:11" ht="18" x14ac:dyDescent="0.4">
      <c r="A674" s="93" t="s">
        <v>475</v>
      </c>
      <c r="B674" s="16" t="s">
        <v>644</v>
      </c>
      <c r="C674" s="8">
        <v>68265</v>
      </c>
      <c r="D674" s="9">
        <v>75756870</v>
      </c>
      <c r="E674" s="57">
        <v>204</v>
      </c>
      <c r="F674" s="10" t="s">
        <v>649</v>
      </c>
      <c r="G674" s="94">
        <v>0</v>
      </c>
      <c r="H674" s="70">
        <f t="shared" si="10"/>
        <v>0</v>
      </c>
      <c r="I674" s="11">
        <v>46071</v>
      </c>
      <c r="J674" s="11">
        <v>46070</v>
      </c>
      <c r="K674" s="13"/>
    </row>
    <row r="675" spans="1:11" ht="18" x14ac:dyDescent="0.4">
      <c r="A675" s="93" t="s">
        <v>475</v>
      </c>
      <c r="B675" s="16" t="s">
        <v>644</v>
      </c>
      <c r="C675" s="8">
        <v>68265</v>
      </c>
      <c r="D675" s="9">
        <v>465364600</v>
      </c>
      <c r="E675" s="57">
        <v>90</v>
      </c>
      <c r="F675" s="10" t="s">
        <v>650</v>
      </c>
      <c r="G675" s="94">
        <v>0</v>
      </c>
      <c r="H675" s="70">
        <f t="shared" si="10"/>
        <v>0</v>
      </c>
      <c r="I675" s="11">
        <v>46071</v>
      </c>
      <c r="J675" s="11">
        <v>46070</v>
      </c>
      <c r="K675" s="13"/>
    </row>
    <row r="676" spans="1:11" ht="18" x14ac:dyDescent="0.4">
      <c r="A676" s="93" t="s">
        <v>475</v>
      </c>
      <c r="B676" s="16" t="s">
        <v>644</v>
      </c>
      <c r="C676" s="8">
        <v>68265</v>
      </c>
      <c r="D676" s="9">
        <v>463457970</v>
      </c>
      <c r="E676" s="57">
        <v>2000</v>
      </c>
      <c r="F676" s="10" t="s">
        <v>651</v>
      </c>
      <c r="G676" s="94">
        <v>0</v>
      </c>
      <c r="H676" s="70">
        <f t="shared" si="10"/>
        <v>0</v>
      </c>
      <c r="I676" s="11">
        <v>46071</v>
      </c>
      <c r="J676" s="11">
        <v>46070</v>
      </c>
      <c r="K676" s="13"/>
    </row>
    <row r="677" spans="1:11" ht="18" x14ac:dyDescent="0.4">
      <c r="A677" s="93" t="s">
        <v>475</v>
      </c>
      <c r="B677" s="16" t="s">
        <v>644</v>
      </c>
      <c r="C677" s="8">
        <v>68265</v>
      </c>
      <c r="D677" s="9">
        <v>467761980</v>
      </c>
      <c r="E677" s="57">
        <v>96</v>
      </c>
      <c r="F677" s="10" t="s">
        <v>652</v>
      </c>
      <c r="G677" s="94">
        <v>9600</v>
      </c>
      <c r="H677" s="70">
        <f t="shared" si="10"/>
        <v>100</v>
      </c>
      <c r="I677" s="11">
        <v>46071</v>
      </c>
      <c r="J677" s="11">
        <v>46070</v>
      </c>
      <c r="K677" s="13"/>
    </row>
    <row r="678" spans="1:11" ht="18" x14ac:dyDescent="0.4">
      <c r="A678" s="93" t="s">
        <v>475</v>
      </c>
      <c r="B678" s="16" t="s">
        <v>644</v>
      </c>
      <c r="C678" s="8">
        <v>68265</v>
      </c>
      <c r="D678" s="9">
        <v>467984770</v>
      </c>
      <c r="E678" s="57">
        <v>216</v>
      </c>
      <c r="F678" s="10" t="s">
        <v>653</v>
      </c>
      <c r="G678" s="94">
        <v>0</v>
      </c>
      <c r="H678" s="70">
        <f t="shared" si="10"/>
        <v>0</v>
      </c>
      <c r="I678" s="11">
        <v>46071</v>
      </c>
      <c r="J678" s="11">
        <v>46070</v>
      </c>
      <c r="K678" s="13"/>
    </row>
    <row r="679" spans="1:11" ht="18" x14ac:dyDescent="0.4">
      <c r="A679" s="93" t="s">
        <v>475</v>
      </c>
      <c r="B679" s="16" t="s">
        <v>644</v>
      </c>
      <c r="C679" s="8">
        <v>68265</v>
      </c>
      <c r="D679" s="9">
        <v>552180370</v>
      </c>
      <c r="E679" s="57">
        <v>390</v>
      </c>
      <c r="F679" s="10" t="s">
        <v>654</v>
      </c>
      <c r="G679" s="94">
        <v>3900</v>
      </c>
      <c r="H679" s="70">
        <f t="shared" si="10"/>
        <v>10</v>
      </c>
      <c r="I679" s="11">
        <v>46071</v>
      </c>
      <c r="J679" s="11">
        <v>46070</v>
      </c>
      <c r="K679" s="13"/>
    </row>
    <row r="680" spans="1:11" ht="18" x14ac:dyDescent="0.4">
      <c r="A680" s="93" t="s">
        <v>475</v>
      </c>
      <c r="B680" s="16" t="s">
        <v>644</v>
      </c>
      <c r="C680" s="8">
        <v>68265</v>
      </c>
      <c r="D680" s="9">
        <v>463559990</v>
      </c>
      <c r="E680" s="57">
        <v>102</v>
      </c>
      <c r="F680" s="10" t="s">
        <v>655</v>
      </c>
      <c r="G680" s="94">
        <v>5100</v>
      </c>
      <c r="H680" s="70">
        <f t="shared" si="10"/>
        <v>50</v>
      </c>
      <c r="I680" s="11">
        <v>46071</v>
      </c>
      <c r="J680" s="11">
        <v>46070</v>
      </c>
      <c r="K680" s="13"/>
    </row>
    <row r="681" spans="1:11" ht="18" x14ac:dyDescent="0.4">
      <c r="A681" s="93" t="s">
        <v>475</v>
      </c>
      <c r="B681" s="16" t="s">
        <v>656</v>
      </c>
      <c r="C681" s="8">
        <v>70930</v>
      </c>
      <c r="D681" s="9">
        <v>75095320</v>
      </c>
      <c r="E681" s="57">
        <v>600</v>
      </c>
      <c r="F681" s="10" t="s">
        <v>657</v>
      </c>
      <c r="G681" s="94">
        <v>0</v>
      </c>
      <c r="H681" s="70">
        <f t="shared" si="10"/>
        <v>0</v>
      </c>
      <c r="I681" s="11">
        <v>46071</v>
      </c>
      <c r="J681" s="11">
        <v>46070</v>
      </c>
      <c r="K681" s="13"/>
    </row>
    <row r="682" spans="1:11" ht="18" x14ac:dyDescent="0.4">
      <c r="A682" s="93" t="s">
        <v>475</v>
      </c>
      <c r="B682" s="16" t="s">
        <v>656</v>
      </c>
      <c r="C682" s="8">
        <v>70930</v>
      </c>
      <c r="D682" s="9">
        <v>75095330</v>
      </c>
      <c r="E682" s="57">
        <v>840</v>
      </c>
      <c r="F682" s="10" t="s">
        <v>658</v>
      </c>
      <c r="G682" s="94">
        <v>0</v>
      </c>
      <c r="H682" s="70">
        <f t="shared" si="10"/>
        <v>0</v>
      </c>
      <c r="I682" s="11">
        <v>46071</v>
      </c>
      <c r="J682" s="11">
        <v>46070</v>
      </c>
      <c r="K682" s="13"/>
    </row>
    <row r="683" spans="1:11" ht="18" x14ac:dyDescent="0.4">
      <c r="A683" s="93" t="s">
        <v>475</v>
      </c>
      <c r="B683" s="16" t="s">
        <v>656</v>
      </c>
      <c r="C683" s="8">
        <v>70930</v>
      </c>
      <c r="D683" s="9">
        <v>464752630</v>
      </c>
      <c r="E683" s="57">
        <v>3456</v>
      </c>
      <c r="F683" s="10" t="s">
        <v>659</v>
      </c>
      <c r="G683" s="94">
        <v>0</v>
      </c>
      <c r="H683" s="70">
        <f t="shared" si="10"/>
        <v>0</v>
      </c>
      <c r="I683" s="11">
        <v>46071</v>
      </c>
      <c r="J683" s="11">
        <v>46070</v>
      </c>
      <c r="K683" s="13"/>
    </row>
    <row r="684" spans="1:11" ht="18" x14ac:dyDescent="0.4">
      <c r="A684" s="93" t="s">
        <v>475</v>
      </c>
      <c r="B684" s="16" t="s">
        <v>656</v>
      </c>
      <c r="C684" s="8">
        <v>70930</v>
      </c>
      <c r="D684" s="9">
        <v>464133490</v>
      </c>
      <c r="E684" s="57">
        <v>1152</v>
      </c>
      <c r="F684" s="10" t="s">
        <v>660</v>
      </c>
      <c r="G684" s="94">
        <v>0</v>
      </c>
      <c r="H684" s="70">
        <f t="shared" si="10"/>
        <v>0</v>
      </c>
      <c r="I684" s="11">
        <v>46071</v>
      </c>
      <c r="J684" s="11">
        <v>46070</v>
      </c>
      <c r="K684" s="13"/>
    </row>
    <row r="685" spans="1:11" ht="18" x14ac:dyDescent="0.4">
      <c r="A685" s="93" t="s">
        <v>475</v>
      </c>
      <c r="B685" s="7" t="s">
        <v>656</v>
      </c>
      <c r="C685" s="8">
        <v>70930</v>
      </c>
      <c r="D685" s="9">
        <v>552261480</v>
      </c>
      <c r="E685" s="57">
        <v>1426</v>
      </c>
      <c r="F685" s="10" t="s">
        <v>661</v>
      </c>
      <c r="G685" s="94">
        <v>0</v>
      </c>
      <c r="H685" s="70">
        <f t="shared" si="10"/>
        <v>0</v>
      </c>
      <c r="I685" s="11">
        <v>46071</v>
      </c>
      <c r="J685" s="11">
        <v>46070</v>
      </c>
      <c r="K685" s="13"/>
    </row>
    <row r="686" spans="1:11" ht="18" x14ac:dyDescent="0.4">
      <c r="A686" s="93" t="s">
        <v>475</v>
      </c>
      <c r="B686" s="7" t="s">
        <v>656</v>
      </c>
      <c r="C686" s="8">
        <v>70930</v>
      </c>
      <c r="D686" s="9">
        <v>552261490</v>
      </c>
      <c r="E686" s="57">
        <v>1200</v>
      </c>
      <c r="F686" s="10" t="s">
        <v>662</v>
      </c>
      <c r="G686" s="94">
        <v>0</v>
      </c>
      <c r="H686" s="70">
        <f t="shared" si="10"/>
        <v>0</v>
      </c>
      <c r="I686" s="11">
        <v>46071</v>
      </c>
      <c r="J686" s="11">
        <v>46070</v>
      </c>
      <c r="K686" s="13"/>
    </row>
    <row r="687" spans="1:11" ht="18" x14ac:dyDescent="0.4">
      <c r="A687" s="93" t="s">
        <v>475</v>
      </c>
      <c r="B687" s="7" t="s">
        <v>663</v>
      </c>
      <c r="C687" s="8">
        <v>14872</v>
      </c>
      <c r="D687" s="9">
        <v>77131980</v>
      </c>
      <c r="E687" s="57">
        <v>1000</v>
      </c>
      <c r="F687" s="10" t="s">
        <v>664</v>
      </c>
      <c r="G687" s="94">
        <v>0</v>
      </c>
      <c r="H687" s="70">
        <f t="shared" si="10"/>
        <v>0</v>
      </c>
      <c r="I687" s="11">
        <v>46071</v>
      </c>
      <c r="J687" s="11">
        <v>46070</v>
      </c>
      <c r="K687" s="13"/>
    </row>
    <row r="688" spans="1:11" ht="18" x14ac:dyDescent="0.4">
      <c r="A688" s="93" t="s">
        <v>475</v>
      </c>
      <c r="B688" s="7" t="s">
        <v>663</v>
      </c>
      <c r="C688" s="8">
        <v>14872</v>
      </c>
      <c r="D688" s="9">
        <v>552759150</v>
      </c>
      <c r="E688" s="57">
        <v>1000</v>
      </c>
      <c r="F688" s="10" t="s">
        <v>664</v>
      </c>
      <c r="G688" s="94">
        <v>10000</v>
      </c>
      <c r="H688" s="70">
        <f t="shared" si="10"/>
        <v>10</v>
      </c>
      <c r="I688" s="11">
        <v>46071</v>
      </c>
      <c r="J688" s="11">
        <v>46070</v>
      </c>
      <c r="K688" s="13"/>
    </row>
    <row r="689" spans="1:11" ht="18" x14ac:dyDescent="0.4">
      <c r="A689" s="93" t="s">
        <v>475</v>
      </c>
      <c r="B689" s="7" t="s">
        <v>663</v>
      </c>
      <c r="C689" s="8">
        <v>14872</v>
      </c>
      <c r="D689" s="9">
        <v>77289810</v>
      </c>
      <c r="E689" s="57">
        <v>400</v>
      </c>
      <c r="F689" s="10" t="s">
        <v>665</v>
      </c>
      <c r="G689" s="94">
        <v>0</v>
      </c>
      <c r="H689" s="70">
        <f t="shared" si="10"/>
        <v>0</v>
      </c>
      <c r="I689" s="11">
        <v>46071</v>
      </c>
      <c r="J689" s="11">
        <v>46070</v>
      </c>
      <c r="K689" s="13"/>
    </row>
    <row r="690" spans="1:11" ht="18" x14ac:dyDescent="0.4">
      <c r="A690" s="93" t="s">
        <v>475</v>
      </c>
      <c r="B690" s="7" t="s">
        <v>663</v>
      </c>
      <c r="C690" s="8">
        <v>14872</v>
      </c>
      <c r="D690" s="9">
        <v>77289820</v>
      </c>
      <c r="E690" s="57">
        <v>400</v>
      </c>
      <c r="F690" s="10" t="s">
        <v>666</v>
      </c>
      <c r="G690" s="94">
        <v>0</v>
      </c>
      <c r="H690" s="70">
        <f t="shared" si="10"/>
        <v>0</v>
      </c>
      <c r="I690" s="11">
        <v>46071</v>
      </c>
      <c r="J690" s="11">
        <v>46070</v>
      </c>
      <c r="K690" s="13"/>
    </row>
    <row r="691" spans="1:11" ht="18" x14ac:dyDescent="0.4">
      <c r="A691" s="93" t="s">
        <v>475</v>
      </c>
      <c r="B691" s="7" t="s">
        <v>663</v>
      </c>
      <c r="C691" s="8">
        <v>14872</v>
      </c>
      <c r="D691" s="9">
        <v>77289830</v>
      </c>
      <c r="E691" s="57">
        <v>400</v>
      </c>
      <c r="F691" s="10" t="s">
        <v>667</v>
      </c>
      <c r="G691" s="94">
        <v>0</v>
      </c>
      <c r="H691" s="70">
        <f t="shared" si="10"/>
        <v>0</v>
      </c>
      <c r="I691" s="11">
        <v>46071</v>
      </c>
      <c r="J691" s="11">
        <v>46070</v>
      </c>
      <c r="K691" s="13"/>
    </row>
    <row r="692" spans="1:11" ht="18" x14ac:dyDescent="0.4">
      <c r="A692" s="93" t="s">
        <v>475</v>
      </c>
      <c r="B692" s="7" t="s">
        <v>663</v>
      </c>
      <c r="C692" s="8">
        <v>14872</v>
      </c>
      <c r="D692" s="9">
        <v>77289840</v>
      </c>
      <c r="E692" s="57">
        <v>200</v>
      </c>
      <c r="F692" s="10" t="s">
        <v>668</v>
      </c>
      <c r="G692" s="94">
        <v>0</v>
      </c>
      <c r="H692" s="70">
        <f t="shared" si="10"/>
        <v>0</v>
      </c>
      <c r="I692" s="11">
        <v>46071</v>
      </c>
      <c r="J692" s="11">
        <v>46070</v>
      </c>
      <c r="K692" s="13"/>
    </row>
    <row r="693" spans="1:11" ht="18" x14ac:dyDescent="0.4">
      <c r="A693" s="93" t="s">
        <v>475</v>
      </c>
      <c r="B693" s="7" t="s">
        <v>663</v>
      </c>
      <c r="C693" s="8">
        <v>14872</v>
      </c>
      <c r="D693" s="9">
        <v>77289850</v>
      </c>
      <c r="E693" s="57">
        <v>200</v>
      </c>
      <c r="F693" s="10" t="s">
        <v>669</v>
      </c>
      <c r="G693" s="94">
        <v>2800</v>
      </c>
      <c r="H693" s="70">
        <f t="shared" si="10"/>
        <v>14</v>
      </c>
      <c r="I693" s="11">
        <v>46071</v>
      </c>
      <c r="J693" s="11">
        <v>46070</v>
      </c>
      <c r="K693" s="13"/>
    </row>
    <row r="694" spans="1:11" ht="18" x14ac:dyDescent="0.4">
      <c r="A694" s="93" t="s">
        <v>475</v>
      </c>
      <c r="B694" s="7" t="s">
        <v>663</v>
      </c>
      <c r="C694" s="8">
        <v>14872</v>
      </c>
      <c r="D694" s="9">
        <v>77289860</v>
      </c>
      <c r="E694" s="57">
        <v>150</v>
      </c>
      <c r="F694" s="10" t="s">
        <v>670</v>
      </c>
      <c r="G694" s="94">
        <v>0</v>
      </c>
      <c r="H694" s="70">
        <f t="shared" si="10"/>
        <v>0</v>
      </c>
      <c r="I694" s="11">
        <v>46071</v>
      </c>
      <c r="J694" s="11">
        <v>46070</v>
      </c>
      <c r="K694" s="13"/>
    </row>
    <row r="695" spans="1:11" ht="18" x14ac:dyDescent="0.4">
      <c r="A695" s="93" t="s">
        <v>475</v>
      </c>
      <c r="B695" s="7" t="s">
        <v>663</v>
      </c>
      <c r="C695" s="8">
        <v>14872</v>
      </c>
      <c r="D695" s="9">
        <v>77289870</v>
      </c>
      <c r="E695" s="57">
        <v>400</v>
      </c>
      <c r="F695" s="10" t="s">
        <v>671</v>
      </c>
      <c r="G695" s="94">
        <v>0</v>
      </c>
      <c r="H695" s="70">
        <f t="shared" si="10"/>
        <v>0</v>
      </c>
      <c r="I695" s="11">
        <v>46071</v>
      </c>
      <c r="J695" s="11">
        <v>46070</v>
      </c>
      <c r="K695" s="13"/>
    </row>
    <row r="696" spans="1:11" ht="18" x14ac:dyDescent="0.4">
      <c r="A696" s="93" t="s">
        <v>475</v>
      </c>
      <c r="B696" s="7" t="s">
        <v>663</v>
      </c>
      <c r="C696" s="8">
        <v>14872</v>
      </c>
      <c r="D696" s="9">
        <v>77894040</v>
      </c>
      <c r="E696" s="57">
        <v>200</v>
      </c>
      <c r="F696" s="10" t="s">
        <v>672</v>
      </c>
      <c r="G696" s="94">
        <v>6800</v>
      </c>
      <c r="H696" s="70">
        <f t="shared" si="10"/>
        <v>34</v>
      </c>
      <c r="I696" s="11">
        <v>46071</v>
      </c>
      <c r="J696" s="11">
        <v>46070</v>
      </c>
      <c r="K696" s="13"/>
    </row>
    <row r="697" spans="1:11" ht="18" x14ac:dyDescent="0.4">
      <c r="A697" s="93" t="s">
        <v>475</v>
      </c>
      <c r="B697" s="7" t="s">
        <v>663</v>
      </c>
      <c r="C697" s="8">
        <v>14872</v>
      </c>
      <c r="D697" s="9">
        <v>77894530</v>
      </c>
      <c r="E697" s="57">
        <v>400</v>
      </c>
      <c r="F697" s="10" t="s">
        <v>673</v>
      </c>
      <c r="G697" s="94">
        <v>0</v>
      </c>
      <c r="H697" s="70">
        <f t="shared" si="10"/>
        <v>0</v>
      </c>
      <c r="I697" s="11">
        <v>46071</v>
      </c>
      <c r="J697" s="11">
        <v>46070</v>
      </c>
      <c r="K697" s="13"/>
    </row>
    <row r="698" spans="1:11" ht="18" x14ac:dyDescent="0.4">
      <c r="A698" s="93" t="s">
        <v>475</v>
      </c>
      <c r="B698" s="7" t="s">
        <v>663</v>
      </c>
      <c r="C698" s="8">
        <v>14872</v>
      </c>
      <c r="D698" s="9">
        <v>77894540</v>
      </c>
      <c r="E698" s="57">
        <v>480</v>
      </c>
      <c r="F698" s="10" t="s">
        <v>674</v>
      </c>
      <c r="G698" s="94">
        <v>0</v>
      </c>
      <c r="H698" s="70">
        <f t="shared" si="10"/>
        <v>0</v>
      </c>
      <c r="I698" s="11">
        <v>46071</v>
      </c>
      <c r="J698" s="11">
        <v>46070</v>
      </c>
      <c r="K698" s="13"/>
    </row>
    <row r="699" spans="1:11" ht="18" x14ac:dyDescent="0.4">
      <c r="A699" s="93" t="s">
        <v>475</v>
      </c>
      <c r="B699" s="7" t="s">
        <v>663</v>
      </c>
      <c r="C699" s="8">
        <v>14872</v>
      </c>
      <c r="D699" s="9">
        <v>77894550</v>
      </c>
      <c r="E699" s="57">
        <v>400</v>
      </c>
      <c r="F699" s="10" t="s">
        <v>675</v>
      </c>
      <c r="G699" s="94">
        <v>10000</v>
      </c>
      <c r="H699" s="70">
        <f t="shared" si="10"/>
        <v>25</v>
      </c>
      <c r="I699" s="11">
        <v>46071</v>
      </c>
      <c r="J699" s="11">
        <v>46070</v>
      </c>
      <c r="K699" s="13"/>
    </row>
    <row r="700" spans="1:11" ht="18" x14ac:dyDescent="0.4">
      <c r="A700" s="93" t="s">
        <v>475</v>
      </c>
      <c r="B700" s="7" t="s">
        <v>663</v>
      </c>
      <c r="C700" s="8">
        <v>14872</v>
      </c>
      <c r="D700" s="9">
        <v>77894560</v>
      </c>
      <c r="E700" s="57">
        <v>400</v>
      </c>
      <c r="F700" s="10" t="s">
        <v>676</v>
      </c>
      <c r="G700" s="94">
        <v>11200</v>
      </c>
      <c r="H700" s="70">
        <f t="shared" si="10"/>
        <v>28</v>
      </c>
      <c r="I700" s="11">
        <v>46071</v>
      </c>
      <c r="J700" s="11">
        <v>46070</v>
      </c>
      <c r="K700" s="13"/>
    </row>
    <row r="701" spans="1:11" ht="18" x14ac:dyDescent="0.4">
      <c r="A701" s="93" t="s">
        <v>475</v>
      </c>
      <c r="B701" s="7" t="s">
        <v>663</v>
      </c>
      <c r="C701" s="8">
        <v>14872</v>
      </c>
      <c r="D701" s="9">
        <v>77894570</v>
      </c>
      <c r="E701" s="57">
        <v>400</v>
      </c>
      <c r="F701" s="10" t="s">
        <v>677</v>
      </c>
      <c r="G701" s="94">
        <v>0</v>
      </c>
      <c r="H701" s="70">
        <f t="shared" si="10"/>
        <v>0</v>
      </c>
      <c r="I701" s="11">
        <v>46071</v>
      </c>
      <c r="J701" s="11">
        <v>46070</v>
      </c>
      <c r="K701" s="13"/>
    </row>
    <row r="702" spans="1:11" ht="18" x14ac:dyDescent="0.4">
      <c r="A702" s="93" t="s">
        <v>475</v>
      </c>
      <c r="B702" s="7" t="s">
        <v>663</v>
      </c>
      <c r="C702" s="8">
        <v>14872</v>
      </c>
      <c r="D702" s="9">
        <v>102980600</v>
      </c>
      <c r="E702" s="57">
        <v>2000</v>
      </c>
      <c r="F702" s="10" t="s">
        <v>678</v>
      </c>
      <c r="G702" s="94">
        <v>6000</v>
      </c>
      <c r="H702" s="70">
        <f t="shared" si="10"/>
        <v>3</v>
      </c>
      <c r="I702" s="11">
        <v>46071</v>
      </c>
      <c r="J702" s="11">
        <v>46070</v>
      </c>
      <c r="K702" s="13"/>
    </row>
    <row r="703" spans="1:11" ht="18" x14ac:dyDescent="0.4">
      <c r="A703" s="93" t="s">
        <v>475</v>
      </c>
      <c r="B703" s="16" t="s">
        <v>663</v>
      </c>
      <c r="C703" s="8">
        <v>14872</v>
      </c>
      <c r="D703" s="9">
        <v>126444210</v>
      </c>
      <c r="E703" s="57">
        <v>450</v>
      </c>
      <c r="F703" s="10" t="s">
        <v>679</v>
      </c>
      <c r="G703" s="94">
        <v>0</v>
      </c>
      <c r="H703" s="70">
        <f t="shared" si="10"/>
        <v>0</v>
      </c>
      <c r="I703" s="11">
        <v>46071</v>
      </c>
      <c r="J703" s="11">
        <v>46070</v>
      </c>
      <c r="K703" s="13"/>
    </row>
    <row r="704" spans="1:11" ht="18" x14ac:dyDescent="0.4">
      <c r="A704" s="93" t="s">
        <v>475</v>
      </c>
      <c r="B704" s="16" t="s">
        <v>663</v>
      </c>
      <c r="C704" s="8">
        <v>14872</v>
      </c>
      <c r="D704" s="9">
        <v>552738480</v>
      </c>
      <c r="E704" s="57">
        <v>300</v>
      </c>
      <c r="F704" s="10" t="s">
        <v>680</v>
      </c>
      <c r="G704" s="94">
        <v>6600</v>
      </c>
      <c r="H704" s="70">
        <f t="shared" si="10"/>
        <v>22</v>
      </c>
      <c r="I704" s="11">
        <v>46071</v>
      </c>
      <c r="J704" s="11">
        <v>46070</v>
      </c>
      <c r="K704" s="13"/>
    </row>
    <row r="705" spans="1:11" ht="18" x14ac:dyDescent="0.4">
      <c r="A705" s="102" t="s">
        <v>475</v>
      </c>
      <c r="B705" s="103" t="s">
        <v>681</v>
      </c>
      <c r="C705" s="102">
        <v>61950</v>
      </c>
      <c r="D705" s="104">
        <v>551942240</v>
      </c>
      <c r="E705" s="102">
        <v>100</v>
      </c>
      <c r="F705" s="105" t="s">
        <v>682</v>
      </c>
      <c r="G705" s="94">
        <v>0</v>
      </c>
      <c r="H705" s="70">
        <f t="shared" si="10"/>
        <v>0</v>
      </c>
      <c r="I705" s="11">
        <v>46071</v>
      </c>
      <c r="J705" s="11">
        <v>46070</v>
      </c>
      <c r="K705" s="13"/>
    </row>
    <row r="706" spans="1:11" ht="18" x14ac:dyDescent="0.4">
      <c r="A706" s="102" t="s">
        <v>475</v>
      </c>
      <c r="B706" s="103" t="s">
        <v>681</v>
      </c>
      <c r="C706" s="102">
        <v>61950</v>
      </c>
      <c r="D706" s="104">
        <v>552110600</v>
      </c>
      <c r="E706" s="102">
        <v>100</v>
      </c>
      <c r="F706" s="105" t="s">
        <v>682</v>
      </c>
      <c r="G706" s="94">
        <v>0</v>
      </c>
      <c r="H706" s="70">
        <f t="shared" si="10"/>
        <v>0</v>
      </c>
      <c r="I706" s="11">
        <v>46071</v>
      </c>
      <c r="J706" s="11">
        <v>46070</v>
      </c>
      <c r="K706" s="13"/>
    </row>
    <row r="707" spans="1:11" ht="18" x14ac:dyDescent="0.4">
      <c r="A707" s="102" t="s">
        <v>475</v>
      </c>
      <c r="B707" s="103" t="s">
        <v>683</v>
      </c>
      <c r="C707" s="102">
        <v>43317</v>
      </c>
      <c r="D707" s="104">
        <v>76047570</v>
      </c>
      <c r="E707" s="102">
        <v>684</v>
      </c>
      <c r="F707" s="105" t="s">
        <v>612</v>
      </c>
      <c r="G707" s="94">
        <v>0</v>
      </c>
      <c r="H707" s="70">
        <f t="shared" si="10"/>
        <v>0</v>
      </c>
      <c r="I707" s="11">
        <v>46071</v>
      </c>
      <c r="J707" s="11">
        <v>46070</v>
      </c>
      <c r="K707" s="13"/>
    </row>
    <row r="708" spans="1:11" ht="18" x14ac:dyDescent="0.4">
      <c r="A708" s="102" t="s">
        <v>475</v>
      </c>
      <c r="B708" s="102" t="s">
        <v>684</v>
      </c>
      <c r="C708" s="102">
        <v>41341</v>
      </c>
      <c r="D708" s="104">
        <v>75530320</v>
      </c>
      <c r="E708" s="102">
        <v>2500</v>
      </c>
      <c r="F708" s="105" t="s">
        <v>685</v>
      </c>
      <c r="G708" s="94">
        <v>0</v>
      </c>
      <c r="H708" s="70">
        <f t="shared" si="10"/>
        <v>0</v>
      </c>
      <c r="I708" s="11">
        <v>46071</v>
      </c>
      <c r="J708" s="11">
        <v>46070</v>
      </c>
      <c r="K708" s="13"/>
    </row>
    <row r="709" spans="1:11" ht="18" x14ac:dyDescent="0.4">
      <c r="A709" s="102" t="s">
        <v>475</v>
      </c>
      <c r="B709" s="102" t="s">
        <v>684</v>
      </c>
      <c r="C709" s="102">
        <v>41341</v>
      </c>
      <c r="D709" s="104">
        <v>464384590</v>
      </c>
      <c r="E709" s="102">
        <v>1200</v>
      </c>
      <c r="F709" s="105" t="s">
        <v>686</v>
      </c>
      <c r="G709" s="94">
        <v>0</v>
      </c>
      <c r="H709" s="70">
        <f t="shared" si="10"/>
        <v>0</v>
      </c>
      <c r="I709" s="11">
        <v>46071</v>
      </c>
      <c r="J709" s="11">
        <v>46070</v>
      </c>
      <c r="K709" s="8"/>
    </row>
    <row r="710" spans="1:11" ht="18" x14ac:dyDescent="0.4">
      <c r="A710" s="102" t="s">
        <v>475</v>
      </c>
      <c r="B710" s="102" t="s">
        <v>684</v>
      </c>
      <c r="C710" s="102">
        <v>41341</v>
      </c>
      <c r="D710" s="104">
        <v>552153790</v>
      </c>
      <c r="E710" s="102">
        <v>150</v>
      </c>
      <c r="F710" s="105" t="s">
        <v>687</v>
      </c>
      <c r="G710" s="94">
        <v>0</v>
      </c>
      <c r="H710" s="70">
        <f t="shared" si="10"/>
        <v>0</v>
      </c>
      <c r="I710" s="36">
        <v>46071</v>
      </c>
      <c r="J710" s="36">
        <v>46070</v>
      </c>
      <c r="K710" s="8"/>
    </row>
    <row r="711" spans="1:11" ht="18" x14ac:dyDescent="0.4">
      <c r="A711" s="27" t="s">
        <v>475</v>
      </c>
      <c r="B711" s="28" t="s">
        <v>200</v>
      </c>
      <c r="C711" s="28">
        <v>1073</v>
      </c>
      <c r="D711" s="29">
        <v>552795241</v>
      </c>
      <c r="E711" s="68">
        <v>28</v>
      </c>
      <c r="F711" s="30" t="s">
        <v>688</v>
      </c>
      <c r="G711" s="9">
        <v>0</v>
      </c>
      <c r="H711" s="70">
        <f t="shared" si="10"/>
        <v>0</v>
      </c>
      <c r="I711" s="11">
        <v>46071</v>
      </c>
      <c r="J711" s="11">
        <v>46070</v>
      </c>
      <c r="K711" s="31"/>
    </row>
    <row r="712" spans="1:11" ht="18" x14ac:dyDescent="0.4">
      <c r="A712" s="7" t="s">
        <v>475</v>
      </c>
      <c r="B712" s="7" t="s">
        <v>200</v>
      </c>
      <c r="C712" s="7">
        <v>1073</v>
      </c>
      <c r="D712" s="9">
        <v>552649671</v>
      </c>
      <c r="E712" s="57">
        <v>48</v>
      </c>
      <c r="F712" s="19" t="s">
        <v>689</v>
      </c>
      <c r="G712" s="9">
        <v>0</v>
      </c>
      <c r="H712" s="70">
        <f t="shared" si="10"/>
        <v>0</v>
      </c>
      <c r="I712" s="11">
        <v>46071</v>
      </c>
      <c r="J712" s="11">
        <v>46070</v>
      </c>
      <c r="K712" s="13"/>
    </row>
    <row r="713" spans="1:11" ht="18" x14ac:dyDescent="0.4">
      <c r="A713" s="7" t="s">
        <v>475</v>
      </c>
      <c r="B713" s="7" t="s">
        <v>200</v>
      </c>
      <c r="C713" s="7">
        <v>1073</v>
      </c>
      <c r="D713" s="9">
        <v>463516451</v>
      </c>
      <c r="E713" s="57">
        <v>28</v>
      </c>
      <c r="F713" s="96" t="s">
        <v>690</v>
      </c>
      <c r="G713" s="9">
        <v>504</v>
      </c>
      <c r="H713" s="70">
        <f t="shared" si="10"/>
        <v>18</v>
      </c>
      <c r="I713" s="11">
        <v>46071</v>
      </c>
      <c r="J713" s="11">
        <v>46070</v>
      </c>
      <c r="K713" s="13"/>
    </row>
    <row r="714" spans="1:11" ht="18" x14ac:dyDescent="0.4">
      <c r="A714" s="7" t="s">
        <v>475</v>
      </c>
      <c r="B714" s="7" t="s">
        <v>200</v>
      </c>
      <c r="C714" s="7">
        <v>1073</v>
      </c>
      <c r="D714" s="9">
        <v>552649651</v>
      </c>
      <c r="E714" s="57">
        <v>24</v>
      </c>
      <c r="F714" s="19" t="s">
        <v>691</v>
      </c>
      <c r="G714" s="9">
        <v>0</v>
      </c>
      <c r="H714" s="70">
        <f t="shared" si="10"/>
        <v>0</v>
      </c>
      <c r="I714" s="11">
        <v>46071</v>
      </c>
      <c r="J714" s="11">
        <v>46070</v>
      </c>
      <c r="K714" s="8"/>
    </row>
    <row r="715" spans="1:11" ht="18" x14ac:dyDescent="0.4">
      <c r="A715" s="7" t="s">
        <v>475</v>
      </c>
      <c r="B715" s="7" t="s">
        <v>200</v>
      </c>
      <c r="C715" s="7">
        <v>1073</v>
      </c>
      <c r="D715" s="9">
        <v>463471951</v>
      </c>
      <c r="E715" s="57">
        <v>48</v>
      </c>
      <c r="F715" s="19" t="s">
        <v>692</v>
      </c>
      <c r="G715" s="9">
        <v>0</v>
      </c>
      <c r="H715" s="70">
        <f t="shared" si="10"/>
        <v>0</v>
      </c>
      <c r="I715" s="11">
        <v>46071</v>
      </c>
      <c r="J715" s="11">
        <v>46070</v>
      </c>
      <c r="K715" s="8"/>
    </row>
    <row r="716" spans="1:11" ht="18" x14ac:dyDescent="0.4">
      <c r="A716" s="7" t="s">
        <v>475</v>
      </c>
      <c r="B716" s="7" t="s">
        <v>452</v>
      </c>
      <c r="C716" s="7">
        <v>56589</v>
      </c>
      <c r="D716" s="9">
        <v>976510460</v>
      </c>
      <c r="E716" s="57">
        <v>30</v>
      </c>
      <c r="F716" s="19" t="s">
        <v>693</v>
      </c>
      <c r="G716" s="9">
        <v>0</v>
      </c>
      <c r="H716" s="70">
        <f t="shared" si="10"/>
        <v>0</v>
      </c>
      <c r="I716" s="11">
        <v>46071</v>
      </c>
      <c r="J716" s="11">
        <v>46070</v>
      </c>
      <c r="K716" s="8"/>
    </row>
    <row r="717" spans="1:11" ht="18" x14ac:dyDescent="0.4">
      <c r="A717" s="7" t="s">
        <v>475</v>
      </c>
      <c r="B717" s="7" t="s">
        <v>452</v>
      </c>
      <c r="C717" s="7">
        <v>56589</v>
      </c>
      <c r="D717" s="9">
        <v>976510450</v>
      </c>
      <c r="E717" s="57">
        <v>50</v>
      </c>
      <c r="F717" s="19" t="s">
        <v>694</v>
      </c>
      <c r="G717" s="9">
        <v>0</v>
      </c>
      <c r="H717" s="70">
        <f t="shared" si="10"/>
        <v>0</v>
      </c>
      <c r="I717" s="11">
        <v>46071</v>
      </c>
      <c r="J717" s="11">
        <v>46070</v>
      </c>
      <c r="K717" s="8"/>
    </row>
    <row r="718" spans="1:11" ht="18" x14ac:dyDescent="0.4">
      <c r="A718" s="7" t="s">
        <v>475</v>
      </c>
      <c r="B718" s="7" t="s">
        <v>452</v>
      </c>
      <c r="C718" s="7">
        <v>56589</v>
      </c>
      <c r="D718" s="9">
        <v>463528128</v>
      </c>
      <c r="E718" s="57">
        <v>50</v>
      </c>
      <c r="F718" s="96" t="s">
        <v>695</v>
      </c>
      <c r="G718" s="9">
        <v>900</v>
      </c>
      <c r="H718" s="70">
        <f t="shared" si="10"/>
        <v>18</v>
      </c>
      <c r="I718" s="11">
        <v>46071</v>
      </c>
      <c r="J718" s="11">
        <v>46070</v>
      </c>
      <c r="K718" s="8"/>
    </row>
    <row r="719" spans="1:11" ht="18" x14ac:dyDescent="0.4">
      <c r="A719" s="7" t="s">
        <v>475</v>
      </c>
      <c r="B719" s="7" t="s">
        <v>452</v>
      </c>
      <c r="C719" s="7">
        <v>56589</v>
      </c>
      <c r="D719" s="9">
        <v>552553318</v>
      </c>
      <c r="E719" s="57">
        <v>30</v>
      </c>
      <c r="F719" s="19" t="s">
        <v>688</v>
      </c>
      <c r="G719" s="9">
        <v>0</v>
      </c>
      <c r="H719" s="70">
        <f t="shared" si="10"/>
        <v>0</v>
      </c>
      <c r="I719" s="11">
        <v>46071</v>
      </c>
      <c r="J719" s="11">
        <v>46070</v>
      </c>
      <c r="K719" s="8"/>
    </row>
    <row r="720" spans="1:11" ht="18" x14ac:dyDescent="0.4">
      <c r="A720" s="7" t="s">
        <v>475</v>
      </c>
      <c r="B720" s="7" t="s">
        <v>452</v>
      </c>
      <c r="C720" s="7">
        <v>56589</v>
      </c>
      <c r="D720" s="9">
        <v>463530718</v>
      </c>
      <c r="E720" s="57">
        <v>30</v>
      </c>
      <c r="F720" s="96" t="s">
        <v>696</v>
      </c>
      <c r="G720" s="9">
        <v>1440</v>
      </c>
      <c r="H720" s="70">
        <f t="shared" si="10"/>
        <v>48</v>
      </c>
      <c r="I720" s="11">
        <v>46071</v>
      </c>
      <c r="J720" s="11">
        <v>46070</v>
      </c>
      <c r="K720" s="8"/>
    </row>
    <row r="721" spans="1:11" ht="18" x14ac:dyDescent="0.4">
      <c r="A721" s="20"/>
      <c r="B721" s="16"/>
      <c r="C721" s="16"/>
      <c r="D721" s="9"/>
      <c r="E721" s="63"/>
      <c r="F721" s="16"/>
      <c r="G721" s="16"/>
      <c r="H721" s="16"/>
      <c r="I721" s="11"/>
      <c r="J721" s="16"/>
      <c r="K721" s="21"/>
    </row>
    <row r="722" spans="1:11" ht="18" x14ac:dyDescent="0.4">
      <c r="A722" s="20"/>
      <c r="B722" s="16"/>
      <c r="C722" s="16"/>
      <c r="D722" s="9"/>
      <c r="E722" s="63"/>
      <c r="F722" s="16"/>
      <c r="G722" s="16"/>
      <c r="H722" s="16"/>
      <c r="I722" s="16"/>
      <c r="J722" s="16"/>
      <c r="K722" s="21"/>
    </row>
    <row r="723" spans="1:11" ht="18" x14ac:dyDescent="0.4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1" ht="18" x14ac:dyDescent="0.4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1" ht="18" x14ac:dyDescent="0.4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1" ht="18" x14ac:dyDescent="0.4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1" ht="18" x14ac:dyDescent="0.4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1" ht="18" x14ac:dyDescent="0.4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1" ht="18" x14ac:dyDescent="0.4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1" ht="18" x14ac:dyDescent="0.4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1" ht="18" x14ac:dyDescent="0.4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1" ht="18" x14ac:dyDescent="0.4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1" ht="18" x14ac:dyDescent="0.4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1" ht="18" x14ac:dyDescent="0.4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1" ht="18" x14ac:dyDescent="0.4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1" ht="18" x14ac:dyDescent="0.4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 x14ac:dyDescent="0.4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 x14ac:dyDescent="0.4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 x14ac:dyDescent="0.4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 x14ac:dyDescent="0.4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 x14ac:dyDescent="0.4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 x14ac:dyDescent="0.4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 x14ac:dyDescent="0.4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 x14ac:dyDescent="0.4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 x14ac:dyDescent="0.4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 x14ac:dyDescent="0.4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 x14ac:dyDescent="0.4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 x14ac:dyDescent="0.4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 x14ac:dyDescent="0.4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 x14ac:dyDescent="0.4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 x14ac:dyDescent="0.4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 x14ac:dyDescent="0.4">
      <c r="A752" s="20"/>
      <c r="B752" s="16"/>
      <c r="C752" s="16"/>
      <c r="D752" s="9"/>
      <c r="E752" s="63"/>
      <c r="F752" s="16"/>
      <c r="G752" s="16"/>
      <c r="H752" s="16"/>
      <c r="I752" s="16"/>
      <c r="J752" s="16"/>
      <c r="K752" s="21"/>
    </row>
    <row r="753" spans="1:11" ht="18" x14ac:dyDescent="0.4">
      <c r="A753" s="20"/>
      <c r="B753" s="16"/>
      <c r="C753" s="16"/>
      <c r="D753" s="9"/>
      <c r="E753" s="63"/>
      <c r="F753" s="16"/>
      <c r="G753" s="16"/>
      <c r="H753" s="16"/>
      <c r="I753" s="16"/>
      <c r="J753" s="16"/>
      <c r="K753" s="21"/>
    </row>
    <row r="754" spans="1:11" ht="18" x14ac:dyDescent="0.4">
      <c r="A754" s="20"/>
      <c r="B754" s="16"/>
      <c r="C754" s="16"/>
      <c r="D754" s="9"/>
      <c r="E754" s="63"/>
      <c r="F754" s="16"/>
      <c r="G754" s="16"/>
      <c r="H754" s="16"/>
      <c r="I754" s="16"/>
      <c r="J754" s="16"/>
      <c r="K754" s="21"/>
    </row>
    <row r="755" spans="1:11" ht="18" x14ac:dyDescent="0.4">
      <c r="A755" s="20"/>
      <c r="B755" s="16"/>
      <c r="C755" s="16"/>
      <c r="D755" s="9"/>
      <c r="E755" s="63"/>
      <c r="F755" s="16"/>
      <c r="G755" s="16"/>
      <c r="H755" s="16"/>
      <c r="I755" s="16"/>
      <c r="J755" s="16"/>
      <c r="K755" s="21"/>
    </row>
    <row r="756" spans="1:11" ht="18" x14ac:dyDescent="0.4">
      <c r="A756" s="20"/>
      <c r="B756" s="16"/>
      <c r="C756" s="16"/>
      <c r="D756" s="9"/>
      <c r="E756" s="63"/>
      <c r="F756" s="16"/>
      <c r="G756" s="16"/>
      <c r="H756" s="16"/>
      <c r="I756" s="16"/>
      <c r="J756" s="16"/>
      <c r="K756" s="21"/>
    </row>
    <row r="757" spans="1:11" ht="18" x14ac:dyDescent="0.4">
      <c r="A757" s="20"/>
      <c r="B757" s="16"/>
      <c r="C757" s="16"/>
      <c r="D757" s="7"/>
      <c r="E757" s="63"/>
      <c r="F757" s="16"/>
      <c r="G757" s="16"/>
      <c r="H757" s="16"/>
      <c r="I757" s="16"/>
      <c r="J757" s="16"/>
      <c r="K757" s="21"/>
    </row>
    <row r="758" spans="1:11" ht="18" x14ac:dyDescent="0.4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 x14ac:dyDescent="0.4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 x14ac:dyDescent="0.4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 x14ac:dyDescent="0.4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 x14ac:dyDescent="0.4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 x14ac:dyDescent="0.4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 x14ac:dyDescent="0.4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 x14ac:dyDescent="0.4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 x14ac:dyDescent="0.4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 x14ac:dyDescent="0.4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 x14ac:dyDescent="0.4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 x14ac:dyDescent="0.4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 x14ac:dyDescent="0.4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 x14ac:dyDescent="0.4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 x14ac:dyDescent="0.4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 x14ac:dyDescent="0.4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 x14ac:dyDescent="0.4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 x14ac:dyDescent="0.4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 x14ac:dyDescent="0.4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 x14ac:dyDescent="0.4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 x14ac:dyDescent="0.4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 x14ac:dyDescent="0.4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 x14ac:dyDescent="0.4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 x14ac:dyDescent="0.4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 x14ac:dyDescent="0.4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 x14ac:dyDescent="0.4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 x14ac:dyDescent="0.4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 x14ac:dyDescent="0.4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 x14ac:dyDescent="0.4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 x14ac:dyDescent="0.4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 x14ac:dyDescent="0.4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 x14ac:dyDescent="0.4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 x14ac:dyDescent="0.4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 x14ac:dyDescent="0.4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 x14ac:dyDescent="0.4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 x14ac:dyDescent="0.4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 x14ac:dyDescent="0.4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 x14ac:dyDescent="0.4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 x14ac:dyDescent="0.4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 x14ac:dyDescent="0.4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 x14ac:dyDescent="0.4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 x14ac:dyDescent="0.4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 x14ac:dyDescent="0.4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 x14ac:dyDescent="0.4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 x14ac:dyDescent="0.4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 x14ac:dyDescent="0.4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 x14ac:dyDescent="0.4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 x14ac:dyDescent="0.4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 x14ac:dyDescent="0.4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 x14ac:dyDescent="0.4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 x14ac:dyDescent="0.4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 x14ac:dyDescent="0.4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 x14ac:dyDescent="0.4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 x14ac:dyDescent="0.4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 x14ac:dyDescent="0.4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 x14ac:dyDescent="0.4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 x14ac:dyDescent="0.4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 x14ac:dyDescent="0.4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 x14ac:dyDescent="0.4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 x14ac:dyDescent="0.4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 x14ac:dyDescent="0.4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 x14ac:dyDescent="0.4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 x14ac:dyDescent="0.4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 x14ac:dyDescent="0.4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 x14ac:dyDescent="0.4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 x14ac:dyDescent="0.4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 x14ac:dyDescent="0.4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 x14ac:dyDescent="0.4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 x14ac:dyDescent="0.4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 x14ac:dyDescent="0.4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 x14ac:dyDescent="0.4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 x14ac:dyDescent="0.4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 x14ac:dyDescent="0.4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 x14ac:dyDescent="0.4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 x14ac:dyDescent="0.4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 x14ac:dyDescent="0.4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 x14ac:dyDescent="0.4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 x14ac:dyDescent="0.4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 x14ac:dyDescent="0.4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 x14ac:dyDescent="0.4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 x14ac:dyDescent="0.4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 x14ac:dyDescent="0.4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 x14ac:dyDescent="0.4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 x14ac:dyDescent="0.4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 x14ac:dyDescent="0.4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 x14ac:dyDescent="0.4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 x14ac:dyDescent="0.4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 x14ac:dyDescent="0.4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 x14ac:dyDescent="0.4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 x14ac:dyDescent="0.4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 x14ac:dyDescent="0.4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 x14ac:dyDescent="0.4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 x14ac:dyDescent="0.4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 x14ac:dyDescent="0.4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 x14ac:dyDescent="0.4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 x14ac:dyDescent="0.4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 x14ac:dyDescent="0.4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 x14ac:dyDescent="0.4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 x14ac:dyDescent="0.4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 x14ac:dyDescent="0.4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 x14ac:dyDescent="0.4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 x14ac:dyDescent="0.4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 x14ac:dyDescent="0.4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 x14ac:dyDescent="0.4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 x14ac:dyDescent="0.4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 x14ac:dyDescent="0.4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 x14ac:dyDescent="0.4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 x14ac:dyDescent="0.4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 x14ac:dyDescent="0.4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 x14ac:dyDescent="0.4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 x14ac:dyDescent="0.4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 x14ac:dyDescent="0.4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 x14ac:dyDescent="0.4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 x14ac:dyDescent="0.4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 x14ac:dyDescent="0.4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 x14ac:dyDescent="0.4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 x14ac:dyDescent="0.4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 x14ac:dyDescent="0.4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 x14ac:dyDescent="0.4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 x14ac:dyDescent="0.4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 x14ac:dyDescent="0.4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 x14ac:dyDescent="0.4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 x14ac:dyDescent="0.4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 x14ac:dyDescent="0.4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 x14ac:dyDescent="0.4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 x14ac:dyDescent="0.4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 x14ac:dyDescent="0.4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 x14ac:dyDescent="0.4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 x14ac:dyDescent="0.4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 x14ac:dyDescent="0.4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 x14ac:dyDescent="0.4">
      <c r="A888" s="20"/>
      <c r="B888" s="16"/>
      <c r="C888" s="16"/>
      <c r="D888" s="7"/>
      <c r="E888" s="63"/>
      <c r="F888" s="16"/>
      <c r="G888" s="16"/>
      <c r="H888" s="16"/>
      <c r="I888" s="16"/>
      <c r="J888" s="16"/>
      <c r="K888" s="21"/>
    </row>
    <row r="889" spans="1:11" ht="18" x14ac:dyDescent="0.4">
      <c r="A889" s="20"/>
      <c r="B889" s="16"/>
      <c r="C889" s="16"/>
      <c r="D889" s="7"/>
      <c r="E889" s="63"/>
      <c r="F889" s="16"/>
      <c r="G889" s="16"/>
      <c r="H889" s="16"/>
      <c r="I889" s="16"/>
      <c r="J889" s="16"/>
      <c r="K889" s="21"/>
    </row>
    <row r="890" spans="1:11" ht="18" x14ac:dyDescent="0.4">
      <c r="A890" s="20"/>
      <c r="B890" s="16"/>
      <c r="C890" s="16"/>
      <c r="D890" s="7"/>
      <c r="E890" s="63"/>
      <c r="F890" s="16"/>
      <c r="G890" s="16"/>
      <c r="H890" s="16"/>
      <c r="I890" s="16"/>
      <c r="J890" s="16"/>
      <c r="K890" s="21"/>
    </row>
    <row r="891" spans="1:11" ht="18" x14ac:dyDescent="0.4">
      <c r="A891" s="20"/>
      <c r="B891" s="16"/>
      <c r="C891" s="16"/>
      <c r="D891" s="7"/>
      <c r="E891" s="63"/>
      <c r="F891" s="16"/>
      <c r="G891" s="16"/>
      <c r="H891" s="16"/>
      <c r="I891" s="16"/>
      <c r="J891" s="16"/>
      <c r="K891" s="21"/>
    </row>
    <row r="892" spans="1:11" ht="18" x14ac:dyDescent="0.4">
      <c r="A892" s="20"/>
      <c r="B892" s="16"/>
      <c r="C892" s="16"/>
      <c r="D892" s="7"/>
      <c r="E892" s="63"/>
      <c r="F892" s="16"/>
      <c r="G892" s="16"/>
      <c r="H892" s="16"/>
      <c r="I892" s="16"/>
      <c r="J892" s="16"/>
      <c r="K892" s="21"/>
    </row>
    <row r="893" spans="1:11" ht="18" x14ac:dyDescent="0.4">
      <c r="A893" s="20"/>
      <c r="B893" s="16"/>
      <c r="C893" s="16"/>
      <c r="D893" s="16"/>
      <c r="E893" s="63"/>
      <c r="F893" s="16"/>
      <c r="G893" s="16"/>
      <c r="H893" s="16"/>
      <c r="I893" s="16"/>
      <c r="J893" s="16"/>
      <c r="K893" s="21"/>
    </row>
    <row r="894" spans="1:11" ht="18" x14ac:dyDescent="0.4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 x14ac:dyDescent="0.4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 x14ac:dyDescent="0.4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 x14ac:dyDescent="0.4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 x14ac:dyDescent="0.4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 x14ac:dyDescent="0.4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 x14ac:dyDescent="0.4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 x14ac:dyDescent="0.4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 x14ac:dyDescent="0.4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 x14ac:dyDescent="0.4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 x14ac:dyDescent="0.4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 x14ac:dyDescent="0.4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 x14ac:dyDescent="0.4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 x14ac:dyDescent="0.4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 x14ac:dyDescent="0.4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 x14ac:dyDescent="0.4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 x14ac:dyDescent="0.4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 x14ac:dyDescent="0.4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 x14ac:dyDescent="0.4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 x14ac:dyDescent="0.4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 x14ac:dyDescent="0.4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 x14ac:dyDescent="0.4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 x14ac:dyDescent="0.4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 x14ac:dyDescent="0.4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 x14ac:dyDescent="0.4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 x14ac:dyDescent="0.4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 x14ac:dyDescent="0.4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 x14ac:dyDescent="0.4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 x14ac:dyDescent="0.4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 x14ac:dyDescent="0.4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 x14ac:dyDescent="0.4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 x14ac:dyDescent="0.4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 x14ac:dyDescent="0.4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 x14ac:dyDescent="0.4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 x14ac:dyDescent="0.4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 x14ac:dyDescent="0.4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 x14ac:dyDescent="0.4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 x14ac:dyDescent="0.4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 x14ac:dyDescent="0.4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 x14ac:dyDescent="0.4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 x14ac:dyDescent="0.4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 x14ac:dyDescent="0.4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 x14ac:dyDescent="0.4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 x14ac:dyDescent="0.4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 x14ac:dyDescent="0.4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 x14ac:dyDescent="0.4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 x14ac:dyDescent="0.4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 x14ac:dyDescent="0.4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 x14ac:dyDescent="0.4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 x14ac:dyDescent="0.4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 x14ac:dyDescent="0.4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 x14ac:dyDescent="0.4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 x14ac:dyDescent="0.4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 x14ac:dyDescent="0.4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 x14ac:dyDescent="0.4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 x14ac:dyDescent="0.4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 x14ac:dyDescent="0.4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 x14ac:dyDescent="0.4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 x14ac:dyDescent="0.4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 x14ac:dyDescent="0.4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 x14ac:dyDescent="0.4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 x14ac:dyDescent="0.4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 x14ac:dyDescent="0.4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 x14ac:dyDescent="0.4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 x14ac:dyDescent="0.4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 x14ac:dyDescent="0.4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 x14ac:dyDescent="0.4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 x14ac:dyDescent="0.4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 x14ac:dyDescent="0.4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 x14ac:dyDescent="0.4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 x14ac:dyDescent="0.4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 x14ac:dyDescent="0.4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 x14ac:dyDescent="0.4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 x14ac:dyDescent="0.4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 x14ac:dyDescent="0.4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 x14ac:dyDescent="0.4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 x14ac:dyDescent="0.4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 x14ac:dyDescent="0.4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 x14ac:dyDescent="0.4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 x14ac:dyDescent="0.4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 x14ac:dyDescent="0.4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 x14ac:dyDescent="0.4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 x14ac:dyDescent="0.4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 x14ac:dyDescent="0.4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 x14ac:dyDescent="0.4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 x14ac:dyDescent="0.4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 x14ac:dyDescent="0.4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 x14ac:dyDescent="0.4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 x14ac:dyDescent="0.4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 x14ac:dyDescent="0.4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 x14ac:dyDescent="0.4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 x14ac:dyDescent="0.4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 x14ac:dyDescent="0.4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 x14ac:dyDescent="0.4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 x14ac:dyDescent="0.4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 x14ac:dyDescent="0.4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 x14ac:dyDescent="0.4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 x14ac:dyDescent="0.4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 x14ac:dyDescent="0.4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 x14ac:dyDescent="0.4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 x14ac:dyDescent="0.4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 x14ac:dyDescent="0.4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 x14ac:dyDescent="0.4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 x14ac:dyDescent="0.4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 x14ac:dyDescent="0.4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 x14ac:dyDescent="0.4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 x14ac:dyDescent="0.4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 x14ac:dyDescent="0.4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 x14ac:dyDescent="0.4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 x14ac:dyDescent="0.4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 x14ac:dyDescent="0.4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 x14ac:dyDescent="0.4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 x14ac:dyDescent="0.4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 x14ac:dyDescent="0.4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  <row r="1008" spans="1:11" ht="18" x14ac:dyDescent="0.4">
      <c r="A1008" s="20"/>
      <c r="B1008" s="16"/>
      <c r="C1008" s="16"/>
      <c r="D1008" s="16"/>
      <c r="E1008" s="63"/>
      <c r="F1008" s="16"/>
      <c r="G1008" s="16"/>
      <c r="H1008" s="16"/>
      <c r="I1008" s="16"/>
      <c r="J1008" s="16"/>
      <c r="K1008" s="21"/>
    </row>
    <row r="1009" spans="1:11" ht="18" x14ac:dyDescent="0.4">
      <c r="A1009" s="20"/>
      <c r="B1009" s="16"/>
      <c r="C1009" s="16"/>
      <c r="D1009" s="16"/>
      <c r="E1009" s="63"/>
      <c r="F1009" s="16"/>
      <c r="G1009" s="16"/>
      <c r="H1009" s="16"/>
      <c r="I1009" s="16"/>
      <c r="J1009" s="16"/>
      <c r="K1009" s="21"/>
    </row>
    <row r="1010" spans="1:11" ht="18" x14ac:dyDescent="0.4">
      <c r="A1010" s="20"/>
      <c r="B1010" s="16"/>
      <c r="C1010" s="16"/>
      <c r="D1010" s="16"/>
      <c r="E1010" s="63"/>
      <c r="F1010" s="16"/>
      <c r="G1010" s="16"/>
      <c r="H1010" s="16"/>
      <c r="I1010" s="16"/>
      <c r="J1010" s="16"/>
      <c r="K1010" s="21"/>
    </row>
    <row r="1011" spans="1:11" ht="18" x14ac:dyDescent="0.4">
      <c r="A1011" s="20"/>
      <c r="B1011" s="16"/>
      <c r="C1011" s="16"/>
      <c r="D1011" s="16"/>
      <c r="E1011" s="63"/>
      <c r="F1011" s="16"/>
      <c r="G1011" s="16"/>
      <c r="H1011" s="16"/>
      <c r="I1011" s="16"/>
      <c r="J1011" s="16"/>
      <c r="K1011" s="21"/>
    </row>
    <row r="1012" spans="1:11" ht="18" x14ac:dyDescent="0.4">
      <c r="A1012" s="20"/>
      <c r="B1012" s="16"/>
      <c r="C1012" s="16"/>
      <c r="D1012" s="16"/>
      <c r="E1012" s="63"/>
      <c r="F1012" s="16"/>
      <c r="G1012" s="16"/>
      <c r="H1012" s="16"/>
      <c r="I1012" s="16"/>
      <c r="J1012" s="16"/>
      <c r="K1012" s="21"/>
    </row>
  </sheetData>
  <autoFilter ref="A3:N720" xr:uid="{00000000-0001-0000-0000-000000000000}"/>
  <mergeCells count="1">
    <mergeCell ref="A2:J2"/>
  </mergeCells>
  <conditionalFormatting sqref="A4:K175 A176:H191 A192:G571 A572:E573 A574:G720 A721:K1012 G572:G573 I176:K556 H192:H720 K557:K645 I557:J720 K656:K661 K664:K720">
    <cfRule type="expression" dxfId="63" priority="5">
      <formula>RegExMatch(($D4),"Done")</formula>
    </cfRule>
  </conditionalFormatting>
  <conditionalFormatting sqref="D4:D1012">
    <cfRule type="cellIs" dxfId="62" priority="3" operator="equal">
      <formula>"Not started"</formula>
    </cfRule>
    <cfRule type="cellIs" dxfId="61" priority="4" operator="equal">
      <formula>"In progress"</formula>
    </cfRule>
  </conditionalFormatting>
  <conditionalFormatting sqref="F4:F571 F574:F1012">
    <cfRule type="timePeriod" dxfId="60" priority="6" timePeriod="today">
      <formula>FLOOR(F4,1)=TODAY()</formula>
    </cfRule>
    <cfRule type="expression" dxfId="59" priority="7">
      <formula>AND($F4&lt;TODAY(), OR($D4="In progress", $D4="Not started"))</formula>
    </cfRule>
  </conditionalFormatting>
  <conditionalFormatting sqref="G4:G1012">
    <cfRule type="expression" dxfId="58" priority="2">
      <formula>AND(OR($D4="In progress",$D4="Not started" ),OR($G4=TODAY(), $G4=TODAY()+1))</formula>
    </cfRule>
  </conditionalFormatting>
  <conditionalFormatting sqref="H84">
    <cfRule type="expression" dxfId="57" priority="1">
      <formula>AND(OR($D84="In progress",$D84="Not started" ),OR($G84=TODAY(), $G84=TODAY()+1))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outlinePr summaryBelow="0" summaryRight="0"/>
    <pageSetUpPr fitToPage="1"/>
  </sheetPr>
  <dimension ref="A1:O1007"/>
  <sheetViews>
    <sheetView showGridLines="0" tabSelected="1" zoomScale="85" zoomScaleNormal="85" workbookViewId="0">
      <pane ySplit="3" topLeftCell="A364" activePane="bottomLeft" state="frozen"/>
      <selection activeCell="B1" sqref="B1"/>
      <selection pane="bottomLeft" activeCell="E367" sqref="E367"/>
    </sheetView>
  </sheetViews>
  <sheetFormatPr defaultColWidth="12.54296875" defaultRowHeight="15.75" customHeight="1" x14ac:dyDescent="0.4"/>
  <cols>
    <col min="1" max="1" width="12" style="3" customWidth="1"/>
    <col min="2" max="2" width="49.81640625" style="3" bestFit="1" customWidth="1"/>
    <col min="3" max="3" width="12.54296875" style="3" customWidth="1"/>
    <col min="4" max="4" width="19.453125" style="3" customWidth="1"/>
    <col min="5" max="5" width="12" style="69" customWidth="1"/>
    <col min="6" max="6" width="62" style="3" customWidth="1"/>
    <col min="7" max="7" width="20.7265625" style="3" customWidth="1"/>
    <col min="8" max="11" width="19.26953125" style="3" customWidth="1"/>
    <col min="12" max="13" width="12.81640625" style="3" bestFit="1" customWidth="1"/>
    <col min="14" max="14" width="34" style="3" customWidth="1"/>
    <col min="15" max="16384" width="12.54296875" style="3"/>
  </cols>
  <sheetData>
    <row r="1" spans="1:11" ht="12" customHeight="1" x14ac:dyDescent="0.4">
      <c r="A1" s="1" t="s">
        <v>0</v>
      </c>
      <c r="B1" s="1"/>
      <c r="C1" s="1"/>
      <c r="D1" s="1"/>
      <c r="E1" s="64"/>
      <c r="F1" s="108"/>
      <c r="G1" s="1"/>
      <c r="H1" s="1"/>
      <c r="I1" s="1"/>
      <c r="J1" s="1"/>
      <c r="K1" s="2"/>
    </row>
    <row r="2" spans="1:11" ht="53.25" customHeight="1" x14ac:dyDescent="0.4">
      <c r="A2" s="114" t="s">
        <v>1</v>
      </c>
      <c r="B2" s="114"/>
      <c r="C2" s="114"/>
      <c r="D2" s="114"/>
      <c r="E2" s="114"/>
      <c r="F2" s="115"/>
      <c r="G2" s="114"/>
      <c r="H2" s="114"/>
      <c r="I2" s="114"/>
      <c r="J2" s="114"/>
      <c r="K2" s="4"/>
    </row>
    <row r="3" spans="1:11" ht="36" x14ac:dyDescent="0.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109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</row>
    <row r="4" spans="1:11" ht="18" x14ac:dyDescent="0.4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35" si="0">+G4/E4</f>
        <v>0</v>
      </c>
      <c r="I4" s="11">
        <f ca="1">J4+1</f>
        <v>46119</v>
      </c>
      <c r="J4" s="11">
        <f t="shared" ref="J4:J319" ca="1" si="1">TODAY()</f>
        <v>46118</v>
      </c>
      <c r="K4" s="13"/>
    </row>
    <row r="5" spans="1:11" ht="18" x14ac:dyDescent="0.4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f ca="1">I4</f>
        <v>46119</v>
      </c>
      <c r="J5" s="11">
        <f t="shared" ca="1" si="1"/>
        <v>46118</v>
      </c>
      <c r="K5" s="13"/>
    </row>
    <row r="6" spans="1:11" ht="18" x14ac:dyDescent="0.4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f t="shared" ref="I6:I18" ca="1" si="2">I5</f>
        <v>46119</v>
      </c>
      <c r="J6" s="11">
        <f t="shared" ca="1" si="1"/>
        <v>46118</v>
      </c>
      <c r="K6" s="13"/>
    </row>
    <row r="7" spans="1:11" ht="18" x14ac:dyDescent="0.4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f t="shared" ca="1" si="2"/>
        <v>46119</v>
      </c>
      <c r="J7" s="11">
        <f t="shared" ca="1" si="1"/>
        <v>46118</v>
      </c>
      <c r="K7" s="13"/>
    </row>
    <row r="8" spans="1:11" ht="18" x14ac:dyDescent="0.4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f t="shared" ca="1" si="2"/>
        <v>46119</v>
      </c>
      <c r="J8" s="11">
        <f t="shared" ca="1" si="1"/>
        <v>46118</v>
      </c>
      <c r="K8" s="13"/>
    </row>
    <row r="9" spans="1:11" ht="18" x14ac:dyDescent="0.4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f t="shared" ca="1" si="2"/>
        <v>46119</v>
      </c>
      <c r="J9" s="11">
        <f t="shared" ca="1" si="1"/>
        <v>46118</v>
      </c>
      <c r="K9" s="13"/>
    </row>
    <row r="10" spans="1:11" ht="18" x14ac:dyDescent="0.4">
      <c r="A10" s="57" t="s">
        <v>0</v>
      </c>
      <c r="B10" s="57" t="s">
        <v>697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f t="shared" ca="1" si="2"/>
        <v>46119</v>
      </c>
      <c r="J10" s="11">
        <f t="shared" ca="1" si="1"/>
        <v>46118</v>
      </c>
      <c r="K10" s="13"/>
    </row>
    <row r="11" spans="1:11" ht="18" x14ac:dyDescent="0.4">
      <c r="A11" s="57" t="s">
        <v>0</v>
      </c>
      <c r="B11" s="57" t="s">
        <v>697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f t="shared" ca="1" si="2"/>
        <v>46119</v>
      </c>
      <c r="J11" s="11">
        <f t="shared" ca="1" si="1"/>
        <v>46118</v>
      </c>
      <c r="K11" s="13"/>
    </row>
    <row r="12" spans="1:11" ht="18" x14ac:dyDescent="0.4">
      <c r="A12" s="57" t="s">
        <v>0</v>
      </c>
      <c r="B12" s="57" t="s">
        <v>697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f t="shared" ca="1" si="2"/>
        <v>46119</v>
      </c>
      <c r="J12" s="11">
        <f t="shared" ca="1" si="1"/>
        <v>46118</v>
      </c>
      <c r="K12" s="13"/>
    </row>
    <row r="13" spans="1:11" ht="18" x14ac:dyDescent="0.4">
      <c r="A13" s="57" t="s">
        <v>0</v>
      </c>
      <c r="B13" s="57" t="s">
        <v>697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f t="shared" ca="1" si="2"/>
        <v>46119</v>
      </c>
      <c r="J13" s="11">
        <f t="shared" ca="1" si="1"/>
        <v>46118</v>
      </c>
      <c r="K13" s="13"/>
    </row>
    <row r="14" spans="1:11" ht="18" x14ac:dyDescent="0.4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2400</v>
      </c>
      <c r="H14" s="70">
        <f t="shared" si="0"/>
        <v>5</v>
      </c>
      <c r="I14" s="11">
        <f t="shared" ca="1" si="2"/>
        <v>46119</v>
      </c>
      <c r="J14" s="11">
        <f t="shared" ca="1" si="1"/>
        <v>46118</v>
      </c>
      <c r="K14" s="13"/>
    </row>
    <row r="15" spans="1:11" ht="18" x14ac:dyDescent="0.4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2000</v>
      </c>
      <c r="H15" s="70">
        <f t="shared" si="0"/>
        <v>1</v>
      </c>
      <c r="I15" s="11">
        <f t="shared" ca="1" si="2"/>
        <v>46119</v>
      </c>
      <c r="J15" s="11">
        <f t="shared" ca="1" si="1"/>
        <v>46118</v>
      </c>
      <c r="K15" s="13"/>
    </row>
    <row r="16" spans="1:11" ht="18" x14ac:dyDescent="0.4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f t="shared" ca="1" si="2"/>
        <v>46119</v>
      </c>
      <c r="J16" s="11">
        <f t="shared" ca="1" si="1"/>
        <v>46118</v>
      </c>
      <c r="K16" s="13"/>
    </row>
    <row r="17" spans="1:11" ht="18" x14ac:dyDescent="0.4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f t="shared" ca="1" si="2"/>
        <v>46119</v>
      </c>
      <c r="J17" s="53">
        <f t="shared" ca="1" si="1"/>
        <v>46118</v>
      </c>
      <c r="K17" s="21"/>
    </row>
    <row r="18" spans="1:11" ht="18" x14ac:dyDescent="0.4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f t="shared" ca="1" si="2"/>
        <v>46119</v>
      </c>
      <c r="J18" s="53">
        <f t="shared" ca="1" si="1"/>
        <v>46118</v>
      </c>
      <c r="K18" s="21"/>
    </row>
    <row r="19" spans="1:11" ht="18" x14ac:dyDescent="0.4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f t="shared" ref="I19:I50" ca="1" si="3">I18</f>
        <v>46119</v>
      </c>
      <c r="J19" s="53">
        <f t="shared" ca="1" si="1"/>
        <v>46118</v>
      </c>
      <c r="K19" s="21"/>
    </row>
    <row r="20" spans="1:11" ht="18" x14ac:dyDescent="0.4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f t="shared" ca="1" si="3"/>
        <v>46119</v>
      </c>
      <c r="J20" s="53">
        <f t="shared" ca="1" si="1"/>
        <v>46118</v>
      </c>
      <c r="K20" s="21"/>
    </row>
    <row r="21" spans="1:11" ht="18" x14ac:dyDescent="0.4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f t="shared" ca="1" si="3"/>
        <v>46119</v>
      </c>
      <c r="J21" s="53">
        <f t="shared" ca="1" si="1"/>
        <v>46118</v>
      </c>
      <c r="K21" s="21"/>
    </row>
    <row r="22" spans="1:11" ht="18" x14ac:dyDescent="0.4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f t="shared" ca="1" si="3"/>
        <v>46119</v>
      </c>
      <c r="J22" s="53">
        <f t="shared" ca="1" si="1"/>
        <v>46118</v>
      </c>
      <c r="K22" s="21"/>
    </row>
    <row r="23" spans="1:11" ht="18" x14ac:dyDescent="0.4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f t="shared" ca="1" si="3"/>
        <v>46119</v>
      </c>
      <c r="J23" s="53">
        <f t="shared" ca="1" si="1"/>
        <v>46118</v>
      </c>
      <c r="K23" s="21"/>
    </row>
    <row r="24" spans="1:11" ht="18" x14ac:dyDescent="0.4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f t="shared" ca="1" si="3"/>
        <v>46119</v>
      </c>
      <c r="J24" s="53">
        <f t="shared" ca="1" si="1"/>
        <v>46118</v>
      </c>
      <c r="K24" s="21"/>
    </row>
    <row r="25" spans="1:11" ht="18" x14ac:dyDescent="0.4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f t="shared" ca="1" si="3"/>
        <v>46119</v>
      </c>
      <c r="J25" s="53">
        <f t="shared" ca="1" si="1"/>
        <v>46118</v>
      </c>
      <c r="K25" s="7"/>
    </row>
    <row r="26" spans="1:11" ht="18" x14ac:dyDescent="0.4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f t="shared" ca="1" si="3"/>
        <v>46119</v>
      </c>
      <c r="J26" s="53">
        <f t="shared" ca="1" si="1"/>
        <v>46118</v>
      </c>
      <c r="K26" s="21"/>
    </row>
    <row r="27" spans="1:11" ht="18" x14ac:dyDescent="0.4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f t="shared" ca="1" si="3"/>
        <v>46119</v>
      </c>
      <c r="J27" s="53">
        <f t="shared" ca="1" si="1"/>
        <v>46118</v>
      </c>
      <c r="K27" s="21"/>
    </row>
    <row r="28" spans="1:11" ht="18" x14ac:dyDescent="0.4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f t="shared" ca="1" si="3"/>
        <v>46119</v>
      </c>
      <c r="J28" s="53">
        <f t="shared" ca="1" si="1"/>
        <v>46118</v>
      </c>
      <c r="K28" s="21"/>
    </row>
    <row r="29" spans="1:11" ht="18" x14ac:dyDescent="0.4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f t="shared" ca="1" si="3"/>
        <v>46119</v>
      </c>
      <c r="J29" s="53">
        <f t="shared" ca="1" si="1"/>
        <v>46118</v>
      </c>
      <c r="K29" s="21"/>
    </row>
    <row r="30" spans="1:11" ht="18" x14ac:dyDescent="0.4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f t="shared" ca="1" si="3"/>
        <v>46119</v>
      </c>
      <c r="J30" s="53">
        <f t="shared" ca="1" si="1"/>
        <v>46118</v>
      </c>
      <c r="K30" s="21"/>
    </row>
    <row r="31" spans="1:11" ht="18" x14ac:dyDescent="0.4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f t="shared" ca="1" si="3"/>
        <v>46119</v>
      </c>
      <c r="J31" s="11">
        <f t="shared" ca="1" si="1"/>
        <v>46118</v>
      </c>
      <c r="K31" s="13"/>
    </row>
    <row r="32" spans="1:11" ht="18" x14ac:dyDescent="0.4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f t="shared" ca="1" si="3"/>
        <v>46119</v>
      </c>
      <c r="J32" s="11">
        <f t="shared" ca="1" si="1"/>
        <v>46118</v>
      </c>
      <c r="K32" s="13"/>
    </row>
    <row r="33" spans="1:11" ht="18" x14ac:dyDescent="0.4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f t="shared" ca="1" si="3"/>
        <v>46119</v>
      </c>
      <c r="J33" s="11">
        <f t="shared" ca="1" si="1"/>
        <v>46118</v>
      </c>
      <c r="K33" s="13"/>
    </row>
    <row r="34" spans="1:11" ht="18" x14ac:dyDescent="0.4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f ca="1">I33</f>
        <v>46119</v>
      </c>
      <c r="J34" s="53">
        <f t="shared" ca="1" si="1"/>
        <v>46118</v>
      </c>
      <c r="K34" s="21"/>
    </row>
    <row r="35" spans="1:11" ht="18" x14ac:dyDescent="0.4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f ca="1">I34</f>
        <v>46119</v>
      </c>
      <c r="J35" s="53">
        <f t="shared" ca="1" si="1"/>
        <v>46118</v>
      </c>
      <c r="K35" s="21"/>
    </row>
    <row r="36" spans="1:11" ht="18" x14ac:dyDescent="0.4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ref="H36:H67" si="4">+G36/E36</f>
        <v>0</v>
      </c>
      <c r="I36" s="53">
        <f ca="1">I35</f>
        <v>46119</v>
      </c>
      <c r="J36" s="53">
        <f t="shared" ca="1" si="1"/>
        <v>46118</v>
      </c>
      <c r="K36" s="21"/>
    </row>
    <row r="37" spans="1:11" ht="15.75" customHeight="1" x14ac:dyDescent="0.4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4"/>
        <v>0</v>
      </c>
      <c r="I37" s="53">
        <f t="shared" ca="1" si="3"/>
        <v>46119</v>
      </c>
      <c r="J37" s="53">
        <f t="shared" ca="1" si="1"/>
        <v>46118</v>
      </c>
      <c r="K37" s="21"/>
    </row>
    <row r="38" spans="1:11" ht="18" x14ac:dyDescent="0.4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4"/>
        <v>0</v>
      </c>
      <c r="I38" s="53">
        <f t="shared" ca="1" si="3"/>
        <v>46119</v>
      </c>
      <c r="J38" s="53">
        <f t="shared" ca="1" si="1"/>
        <v>46118</v>
      </c>
      <c r="K38" s="7"/>
    </row>
    <row r="39" spans="1:11" ht="18" x14ac:dyDescent="0.4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4"/>
        <v>0</v>
      </c>
      <c r="I39" s="53">
        <f t="shared" ca="1" si="3"/>
        <v>46119</v>
      </c>
      <c r="J39" s="53">
        <f t="shared" ca="1" si="1"/>
        <v>46118</v>
      </c>
      <c r="K39" s="21"/>
    </row>
    <row r="40" spans="1:11" ht="18" x14ac:dyDescent="0.4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4"/>
        <v>0</v>
      </c>
      <c r="I40" s="53">
        <f t="shared" ca="1" si="3"/>
        <v>46119</v>
      </c>
      <c r="J40" s="53">
        <f t="shared" ca="1" si="1"/>
        <v>46118</v>
      </c>
      <c r="K40" s="21"/>
    </row>
    <row r="41" spans="1:11" ht="18" x14ac:dyDescent="0.4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4"/>
        <v>0</v>
      </c>
      <c r="I41" s="53">
        <f t="shared" ca="1" si="3"/>
        <v>46119</v>
      </c>
      <c r="J41" s="53">
        <f t="shared" ca="1" si="1"/>
        <v>46118</v>
      </c>
      <c r="K41" s="21"/>
    </row>
    <row r="42" spans="1:11" ht="18" x14ac:dyDescent="0.4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4"/>
        <v>0</v>
      </c>
      <c r="I42" s="53">
        <f t="shared" ca="1" si="3"/>
        <v>46119</v>
      </c>
      <c r="J42" s="53">
        <f t="shared" ca="1" si="1"/>
        <v>46118</v>
      </c>
      <c r="K42" s="21"/>
    </row>
    <row r="43" spans="1:11" ht="18" x14ac:dyDescent="0.4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4"/>
        <v>0</v>
      </c>
      <c r="I43" s="53">
        <f t="shared" ca="1" si="3"/>
        <v>46119</v>
      </c>
      <c r="J43" s="53">
        <f t="shared" ca="1" si="1"/>
        <v>46118</v>
      </c>
      <c r="K43" s="21"/>
    </row>
    <row r="44" spans="1:11" ht="18" x14ac:dyDescent="0.4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4"/>
        <v>0</v>
      </c>
      <c r="I44" s="11">
        <f t="shared" ca="1" si="3"/>
        <v>46119</v>
      </c>
      <c r="J44" s="11">
        <f t="shared" ca="1" si="1"/>
        <v>46118</v>
      </c>
      <c r="K44" s="13"/>
    </row>
    <row r="45" spans="1:11" ht="18" x14ac:dyDescent="0.4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4"/>
        <v>0</v>
      </c>
      <c r="I45" s="11">
        <f t="shared" ca="1" si="3"/>
        <v>46119</v>
      </c>
      <c r="J45" s="11">
        <f t="shared" ca="1" si="1"/>
        <v>46118</v>
      </c>
      <c r="K45" s="13"/>
    </row>
    <row r="46" spans="1:11" ht="18" x14ac:dyDescent="0.4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4"/>
        <v>0</v>
      </c>
      <c r="I46" s="11">
        <f t="shared" ca="1" si="3"/>
        <v>46119</v>
      </c>
      <c r="J46" s="11">
        <f t="shared" ca="1" si="1"/>
        <v>46118</v>
      </c>
      <c r="K46" s="13"/>
    </row>
    <row r="47" spans="1:11" ht="18" x14ac:dyDescent="0.4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4"/>
        <v>0</v>
      </c>
      <c r="I47" s="11">
        <f t="shared" ca="1" si="3"/>
        <v>46119</v>
      </c>
      <c r="J47" s="11">
        <f t="shared" ca="1" si="1"/>
        <v>46118</v>
      </c>
      <c r="K47" s="13"/>
    </row>
    <row r="48" spans="1:11" ht="18" x14ac:dyDescent="0.4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4"/>
        <v>0</v>
      </c>
      <c r="I48" s="53">
        <f t="shared" ca="1" si="3"/>
        <v>46119</v>
      </c>
      <c r="J48" s="53">
        <f t="shared" ca="1" si="1"/>
        <v>46118</v>
      </c>
      <c r="K48" s="54"/>
    </row>
    <row r="49" spans="1:11" ht="18" x14ac:dyDescent="0.4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4"/>
        <v>0</v>
      </c>
      <c r="I49" s="53">
        <f t="shared" ca="1" si="3"/>
        <v>46119</v>
      </c>
      <c r="J49" s="53">
        <f t="shared" ca="1" si="1"/>
        <v>46118</v>
      </c>
      <c r="K49" s="21"/>
    </row>
    <row r="50" spans="1:11" ht="18" x14ac:dyDescent="0.4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4"/>
        <v>0</v>
      </c>
      <c r="I50" s="53">
        <f t="shared" ca="1" si="3"/>
        <v>46119</v>
      </c>
      <c r="J50" s="53">
        <f t="shared" ca="1" si="1"/>
        <v>46118</v>
      </c>
      <c r="K50" s="21"/>
    </row>
    <row r="51" spans="1:11" ht="18" x14ac:dyDescent="0.4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4"/>
        <v>0</v>
      </c>
      <c r="I51" s="53">
        <f t="shared" ref="I51:I82" ca="1" si="5">I50</f>
        <v>46119</v>
      </c>
      <c r="J51" s="53">
        <f t="shared" ca="1" si="1"/>
        <v>46118</v>
      </c>
      <c r="K51" s="7"/>
    </row>
    <row r="52" spans="1:11" ht="18" x14ac:dyDescent="0.4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4"/>
        <v>0</v>
      </c>
      <c r="I52" s="11">
        <f t="shared" ca="1" si="5"/>
        <v>46119</v>
      </c>
      <c r="J52" s="11">
        <f t="shared" ca="1" si="1"/>
        <v>46118</v>
      </c>
      <c r="K52" s="13"/>
    </row>
    <row r="53" spans="1:11" ht="18" x14ac:dyDescent="0.4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4"/>
        <v>0</v>
      </c>
      <c r="I53" s="11">
        <f t="shared" ca="1" si="5"/>
        <v>46119</v>
      </c>
      <c r="J53" s="11">
        <f t="shared" ca="1" si="1"/>
        <v>46118</v>
      </c>
      <c r="K53" s="13"/>
    </row>
    <row r="54" spans="1:11" ht="18" x14ac:dyDescent="0.4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4"/>
        <v>0</v>
      </c>
      <c r="I54" s="11">
        <f t="shared" ca="1" si="5"/>
        <v>46119</v>
      </c>
      <c r="J54" s="11">
        <f t="shared" ca="1" si="1"/>
        <v>46118</v>
      </c>
      <c r="K54" s="13"/>
    </row>
    <row r="55" spans="1:11" ht="18" x14ac:dyDescent="0.4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4"/>
        <v>0</v>
      </c>
      <c r="I55" s="11">
        <f t="shared" ca="1" si="5"/>
        <v>46119</v>
      </c>
      <c r="J55" s="11">
        <f t="shared" ca="1" si="1"/>
        <v>46118</v>
      </c>
      <c r="K55" s="13"/>
    </row>
    <row r="56" spans="1:11" ht="18" x14ac:dyDescent="0.4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4"/>
        <v>0</v>
      </c>
      <c r="I56" s="11">
        <f t="shared" ca="1" si="5"/>
        <v>46119</v>
      </c>
      <c r="J56" s="11">
        <f t="shared" ca="1" si="1"/>
        <v>46118</v>
      </c>
      <c r="K56" s="13"/>
    </row>
    <row r="57" spans="1:11" ht="18" x14ac:dyDescent="0.4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4"/>
        <v>0</v>
      </c>
      <c r="I57" s="53">
        <f t="shared" ca="1" si="5"/>
        <v>46119</v>
      </c>
      <c r="J57" s="53">
        <f t="shared" ca="1" si="1"/>
        <v>46118</v>
      </c>
      <c r="K57" s="21"/>
    </row>
    <row r="58" spans="1:11" ht="18" x14ac:dyDescent="0.4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4"/>
        <v>0</v>
      </c>
      <c r="I58" s="53">
        <f t="shared" ca="1" si="5"/>
        <v>46119</v>
      </c>
      <c r="J58" s="53">
        <f t="shared" ca="1" si="1"/>
        <v>46118</v>
      </c>
      <c r="K58" s="21"/>
    </row>
    <row r="59" spans="1:11" ht="18" x14ac:dyDescent="0.4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4"/>
        <v>0</v>
      </c>
      <c r="I59" s="53">
        <f t="shared" ca="1" si="5"/>
        <v>46119</v>
      </c>
      <c r="J59" s="53">
        <f t="shared" ca="1" si="1"/>
        <v>46118</v>
      </c>
      <c r="K59" s="7"/>
    </row>
    <row r="60" spans="1:11" ht="18" x14ac:dyDescent="0.4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4"/>
        <v>0</v>
      </c>
      <c r="I60" s="11">
        <f t="shared" ca="1" si="5"/>
        <v>46119</v>
      </c>
      <c r="J60" s="11">
        <f t="shared" ca="1" si="1"/>
        <v>46118</v>
      </c>
      <c r="K60" s="13"/>
    </row>
    <row r="61" spans="1:11" ht="18" x14ac:dyDescent="0.4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4"/>
        <v>0</v>
      </c>
      <c r="I61" s="11">
        <f t="shared" ca="1" si="5"/>
        <v>46119</v>
      </c>
      <c r="J61" s="11">
        <f t="shared" ca="1" si="1"/>
        <v>46118</v>
      </c>
      <c r="K61" s="13"/>
    </row>
    <row r="62" spans="1:11" ht="18" x14ac:dyDescent="0.4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4"/>
        <v>0</v>
      </c>
      <c r="I62" s="11">
        <f t="shared" ca="1" si="5"/>
        <v>46119</v>
      </c>
      <c r="J62" s="11">
        <f t="shared" ca="1" si="1"/>
        <v>46118</v>
      </c>
      <c r="K62" s="13"/>
    </row>
    <row r="63" spans="1:11" ht="18" x14ac:dyDescent="0.4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4"/>
        <v>0</v>
      </c>
      <c r="I63" s="53">
        <f t="shared" ca="1" si="5"/>
        <v>46119</v>
      </c>
      <c r="J63" s="53">
        <f t="shared" ca="1" si="1"/>
        <v>46118</v>
      </c>
      <c r="K63" s="21"/>
    </row>
    <row r="64" spans="1:11" ht="18" x14ac:dyDescent="0.4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4"/>
        <v>0</v>
      </c>
      <c r="I64" s="53">
        <f t="shared" ca="1" si="5"/>
        <v>46119</v>
      </c>
      <c r="J64" s="53">
        <f t="shared" ca="1" si="1"/>
        <v>46118</v>
      </c>
      <c r="K64" s="21"/>
    </row>
    <row r="65" spans="1:11" ht="18" x14ac:dyDescent="0.4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4"/>
        <v>0</v>
      </c>
      <c r="I65" s="53">
        <f t="shared" ca="1" si="5"/>
        <v>46119</v>
      </c>
      <c r="J65" s="53">
        <f t="shared" ca="1" si="1"/>
        <v>46118</v>
      </c>
      <c r="K65" s="21"/>
    </row>
    <row r="66" spans="1:11" ht="18" x14ac:dyDescent="0.4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4"/>
        <v>0</v>
      </c>
      <c r="I66" s="53">
        <f t="shared" ca="1" si="5"/>
        <v>46119</v>
      </c>
      <c r="J66" s="53">
        <f t="shared" ca="1" si="1"/>
        <v>46118</v>
      </c>
      <c r="K66" s="21"/>
    </row>
    <row r="67" spans="1:11" ht="18" x14ac:dyDescent="0.4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4"/>
        <v>0</v>
      </c>
      <c r="I67" s="11">
        <f t="shared" ca="1" si="5"/>
        <v>46119</v>
      </c>
      <c r="J67" s="11">
        <f t="shared" ca="1" si="1"/>
        <v>46118</v>
      </c>
      <c r="K67" s="13"/>
    </row>
    <row r="68" spans="1:11" ht="18" x14ac:dyDescent="0.4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85" si="6">+G68/E68</f>
        <v>0</v>
      </c>
      <c r="I68" s="53">
        <f t="shared" ca="1" si="5"/>
        <v>46119</v>
      </c>
      <c r="J68" s="53">
        <f t="shared" ca="1" si="1"/>
        <v>46118</v>
      </c>
      <c r="K68" s="21"/>
    </row>
    <row r="69" spans="1:11" ht="18" x14ac:dyDescent="0.4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6"/>
        <v>0</v>
      </c>
      <c r="I69" s="53">
        <f t="shared" ca="1" si="5"/>
        <v>46119</v>
      </c>
      <c r="J69" s="53">
        <f t="shared" ca="1" si="1"/>
        <v>46118</v>
      </c>
      <c r="K69" s="21"/>
    </row>
    <row r="70" spans="1:11" ht="18" x14ac:dyDescent="0.4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6"/>
        <v>0</v>
      </c>
      <c r="I70" s="53">
        <f t="shared" ca="1" si="5"/>
        <v>46119</v>
      </c>
      <c r="J70" s="53">
        <f t="shared" ca="1" si="1"/>
        <v>46118</v>
      </c>
      <c r="K70" s="21"/>
    </row>
    <row r="71" spans="1:11" ht="18" x14ac:dyDescent="0.4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6"/>
        <v>0</v>
      </c>
      <c r="I71" s="53">
        <f t="shared" ca="1" si="5"/>
        <v>46119</v>
      </c>
      <c r="J71" s="53">
        <f t="shared" ca="1" si="1"/>
        <v>46118</v>
      </c>
      <c r="K71" s="21"/>
    </row>
    <row r="72" spans="1:11" ht="18" x14ac:dyDescent="0.4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6"/>
        <v>0</v>
      </c>
      <c r="I72" s="53">
        <f t="shared" ca="1" si="5"/>
        <v>46119</v>
      </c>
      <c r="J72" s="53">
        <f t="shared" ca="1" si="1"/>
        <v>46118</v>
      </c>
      <c r="K72" s="21"/>
    </row>
    <row r="73" spans="1:11" ht="18" x14ac:dyDescent="0.4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6"/>
        <v>0</v>
      </c>
      <c r="I73" s="53">
        <f t="shared" ca="1" si="5"/>
        <v>46119</v>
      </c>
      <c r="J73" s="53">
        <f t="shared" ca="1" si="1"/>
        <v>46118</v>
      </c>
      <c r="K73" s="21"/>
    </row>
    <row r="74" spans="1:11" ht="18" x14ac:dyDescent="0.4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6"/>
        <v>0</v>
      </c>
      <c r="I74" s="53">
        <f t="shared" ca="1" si="5"/>
        <v>46119</v>
      </c>
      <c r="J74" s="53">
        <f t="shared" ca="1" si="1"/>
        <v>46118</v>
      </c>
      <c r="K74" s="21"/>
    </row>
    <row r="75" spans="1:11" ht="18" x14ac:dyDescent="0.4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6"/>
        <v>0</v>
      </c>
      <c r="I75" s="53">
        <f t="shared" ca="1" si="5"/>
        <v>46119</v>
      </c>
      <c r="J75" s="53">
        <f t="shared" ca="1" si="1"/>
        <v>46118</v>
      </c>
      <c r="K75" s="21"/>
    </row>
    <row r="76" spans="1:11" ht="18" x14ac:dyDescent="0.4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6"/>
        <v>0</v>
      </c>
      <c r="I76" s="53">
        <f t="shared" ca="1" si="5"/>
        <v>46119</v>
      </c>
      <c r="J76" s="53">
        <f t="shared" ca="1" si="1"/>
        <v>46118</v>
      </c>
      <c r="K76" s="21"/>
    </row>
    <row r="77" spans="1:11" ht="18" x14ac:dyDescent="0.4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0</v>
      </c>
      <c r="H77" s="70">
        <f t="shared" si="6"/>
        <v>0</v>
      </c>
      <c r="I77" s="53">
        <f t="shared" ca="1" si="5"/>
        <v>46119</v>
      </c>
      <c r="J77" s="53">
        <f t="shared" ca="1" si="1"/>
        <v>46118</v>
      </c>
      <c r="K77" s="21"/>
    </row>
    <row r="78" spans="1:11" ht="18" x14ac:dyDescent="0.4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6"/>
        <v>0</v>
      </c>
      <c r="I78" s="53">
        <f t="shared" ca="1" si="5"/>
        <v>46119</v>
      </c>
      <c r="J78" s="53">
        <f t="shared" ca="1" si="1"/>
        <v>46118</v>
      </c>
      <c r="K78" s="21"/>
    </row>
    <row r="79" spans="1:11" ht="18" x14ac:dyDescent="0.4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6"/>
        <v>0</v>
      </c>
      <c r="I79" s="53">
        <f t="shared" ca="1" si="5"/>
        <v>46119</v>
      </c>
      <c r="J79" s="53">
        <f t="shared" ca="1" si="1"/>
        <v>46118</v>
      </c>
      <c r="K79" s="21"/>
    </row>
    <row r="80" spans="1:11" ht="18" x14ac:dyDescent="0.4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6"/>
        <v>0</v>
      </c>
      <c r="I80" s="53">
        <f t="shared" ca="1" si="5"/>
        <v>46119</v>
      </c>
      <c r="J80" s="53">
        <f t="shared" ca="1" si="1"/>
        <v>46118</v>
      </c>
      <c r="K80" s="21"/>
    </row>
    <row r="81" spans="1:11" ht="18" x14ac:dyDescent="0.4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6"/>
        <v>0</v>
      </c>
      <c r="I81" s="53">
        <f t="shared" ca="1" si="5"/>
        <v>46119</v>
      </c>
      <c r="J81" s="53">
        <f t="shared" ca="1" si="1"/>
        <v>46118</v>
      </c>
      <c r="K81" s="21"/>
    </row>
    <row r="82" spans="1:11" ht="18" x14ac:dyDescent="0.4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6"/>
        <v>0</v>
      </c>
      <c r="I82" s="53">
        <f t="shared" ca="1" si="5"/>
        <v>46119</v>
      </c>
      <c r="J82" s="53">
        <f t="shared" ca="1" si="1"/>
        <v>46118</v>
      </c>
      <c r="K82" s="21"/>
    </row>
    <row r="83" spans="1:11" ht="18" x14ac:dyDescent="0.4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6"/>
        <v>0</v>
      </c>
      <c r="I83" s="53">
        <f t="shared" ref="I83:I102" ca="1" si="7">I82</f>
        <v>46119</v>
      </c>
      <c r="J83" s="53">
        <f t="shared" ca="1" si="1"/>
        <v>46118</v>
      </c>
      <c r="K83" s="21"/>
    </row>
    <row r="84" spans="1:11" ht="18" x14ac:dyDescent="0.4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6"/>
        <v>0</v>
      </c>
      <c r="I84" s="55">
        <f t="shared" ca="1" si="7"/>
        <v>46119</v>
      </c>
      <c r="J84" s="55">
        <f t="shared" ca="1" si="1"/>
        <v>46118</v>
      </c>
      <c r="K84" s="56"/>
    </row>
    <row r="85" spans="1:11" ht="18" x14ac:dyDescent="0.4">
      <c r="A85" s="7" t="s">
        <v>98</v>
      </c>
      <c r="B85" s="85" t="s">
        <v>99</v>
      </c>
      <c r="C85" s="8">
        <v>1097</v>
      </c>
      <c r="D85" s="9">
        <v>463606330</v>
      </c>
      <c r="E85" s="57">
        <v>32</v>
      </c>
      <c r="F85" s="10" t="s">
        <v>698</v>
      </c>
      <c r="G85" s="88">
        <v>0</v>
      </c>
      <c r="H85" s="70">
        <f t="shared" si="6"/>
        <v>0</v>
      </c>
      <c r="I85" s="11">
        <f t="shared" ca="1" si="7"/>
        <v>46119</v>
      </c>
      <c r="J85" s="11">
        <f t="shared" ca="1" si="1"/>
        <v>46118</v>
      </c>
      <c r="K85" s="13"/>
    </row>
    <row r="86" spans="1:11" ht="18" x14ac:dyDescent="0.4">
      <c r="A86" s="7" t="s">
        <v>98</v>
      </c>
      <c r="B86" s="86" t="s">
        <v>99</v>
      </c>
      <c r="C86" s="8">
        <v>1097</v>
      </c>
      <c r="D86" s="9">
        <v>463606290</v>
      </c>
      <c r="E86" s="57">
        <v>32</v>
      </c>
      <c r="F86" s="10" t="s">
        <v>698</v>
      </c>
      <c r="G86" s="88">
        <v>0</v>
      </c>
      <c r="H86" s="70">
        <f t="shared" ref="H86:H174" si="8">+G86/E86</f>
        <v>0</v>
      </c>
      <c r="I86" s="11">
        <f t="shared" ca="1" si="7"/>
        <v>46119</v>
      </c>
      <c r="J86" s="11">
        <f t="shared" ca="1" si="1"/>
        <v>46118</v>
      </c>
      <c r="K86" s="13"/>
    </row>
    <row r="87" spans="1:11" ht="18" x14ac:dyDescent="0.4">
      <c r="A87" s="7" t="s">
        <v>98</v>
      </c>
      <c r="B87" s="86" t="s">
        <v>99</v>
      </c>
      <c r="C87" s="8">
        <v>1097</v>
      </c>
      <c r="D87" s="9">
        <v>463563840</v>
      </c>
      <c r="E87" s="57">
        <v>24</v>
      </c>
      <c r="F87" s="10" t="s">
        <v>699</v>
      </c>
      <c r="G87" s="88">
        <v>0</v>
      </c>
      <c r="H87" s="70">
        <f t="shared" si="8"/>
        <v>0</v>
      </c>
      <c r="I87" s="11">
        <f t="shared" ca="1" si="7"/>
        <v>46119</v>
      </c>
      <c r="J87" s="11">
        <f t="shared" ca="1" si="1"/>
        <v>46118</v>
      </c>
      <c r="K87" s="13"/>
    </row>
    <row r="88" spans="1:11" ht="18" x14ac:dyDescent="0.4">
      <c r="A88" s="7" t="s">
        <v>98</v>
      </c>
      <c r="B88" s="85" t="s">
        <v>99</v>
      </c>
      <c r="C88" s="8">
        <v>1097</v>
      </c>
      <c r="D88" s="9">
        <v>463504300</v>
      </c>
      <c r="E88" s="57">
        <v>24</v>
      </c>
      <c r="F88" s="10" t="s">
        <v>699</v>
      </c>
      <c r="G88" s="88">
        <v>0</v>
      </c>
      <c r="H88" s="70">
        <f t="shared" si="8"/>
        <v>0</v>
      </c>
      <c r="I88" s="11">
        <f t="shared" ca="1" si="7"/>
        <v>46119</v>
      </c>
      <c r="J88" s="11">
        <f t="shared" ref="J88:J179" ca="1" si="9">TODAY()</f>
        <v>46118</v>
      </c>
      <c r="K88" s="13"/>
    </row>
    <row r="89" spans="1:11" ht="18" x14ac:dyDescent="0.4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700</v>
      </c>
      <c r="G89" s="88">
        <v>0</v>
      </c>
      <c r="H89" s="70">
        <f t="shared" si="8"/>
        <v>0</v>
      </c>
      <c r="I89" s="11">
        <f t="shared" ca="1" si="7"/>
        <v>46119</v>
      </c>
      <c r="J89" s="11">
        <f t="shared" ca="1" si="9"/>
        <v>46118</v>
      </c>
      <c r="K89" s="13"/>
    </row>
    <row r="90" spans="1:11" ht="18" x14ac:dyDescent="0.4">
      <c r="A90" s="7" t="s">
        <v>98</v>
      </c>
      <c r="B90" s="85" t="s">
        <v>99</v>
      </c>
      <c r="C90" s="8">
        <v>1097</v>
      </c>
      <c r="D90" s="9">
        <v>463571360</v>
      </c>
      <c r="E90" s="57">
        <v>24</v>
      </c>
      <c r="F90" s="10" t="s">
        <v>700</v>
      </c>
      <c r="G90" s="88">
        <v>0</v>
      </c>
      <c r="H90" s="70">
        <f t="shared" si="8"/>
        <v>0</v>
      </c>
      <c r="I90" s="11">
        <f t="shared" ca="1" si="7"/>
        <v>46119</v>
      </c>
      <c r="J90" s="11">
        <f t="shared" ca="1" si="9"/>
        <v>46118</v>
      </c>
      <c r="K90" s="13"/>
    </row>
    <row r="91" spans="1:11" ht="18" x14ac:dyDescent="0.4">
      <c r="A91" s="7" t="s">
        <v>98</v>
      </c>
      <c r="B91" s="85" t="s">
        <v>99</v>
      </c>
      <c r="C91" s="8">
        <v>1097</v>
      </c>
      <c r="D91" s="9">
        <v>463602320</v>
      </c>
      <c r="E91" s="57">
        <v>500</v>
      </c>
      <c r="F91" s="10" t="s">
        <v>701</v>
      </c>
      <c r="G91" s="88">
        <v>1500</v>
      </c>
      <c r="H91" s="70">
        <f t="shared" si="8"/>
        <v>3</v>
      </c>
      <c r="I91" s="11">
        <f t="shared" ca="1" si="7"/>
        <v>46119</v>
      </c>
      <c r="J91" s="11">
        <f t="shared" ca="1" si="9"/>
        <v>46118</v>
      </c>
      <c r="K91" s="13"/>
    </row>
    <row r="92" spans="1:11" ht="18" x14ac:dyDescent="0.4">
      <c r="A92" s="7" t="s">
        <v>98</v>
      </c>
      <c r="B92" s="85" t="s">
        <v>99</v>
      </c>
      <c r="C92" s="8">
        <v>1097</v>
      </c>
      <c r="D92" s="9">
        <v>463559530</v>
      </c>
      <c r="E92" s="57">
        <v>500</v>
      </c>
      <c r="F92" s="10" t="s">
        <v>702</v>
      </c>
      <c r="G92" s="88">
        <v>1500</v>
      </c>
      <c r="H92" s="70">
        <f t="shared" si="8"/>
        <v>3</v>
      </c>
      <c r="I92" s="11">
        <f t="shared" ca="1" si="7"/>
        <v>46119</v>
      </c>
      <c r="J92" s="11">
        <f t="shared" ca="1" si="9"/>
        <v>46118</v>
      </c>
      <c r="K92" s="13"/>
    </row>
    <row r="93" spans="1:11" ht="18" x14ac:dyDescent="0.4">
      <c r="A93" s="7" t="s">
        <v>98</v>
      </c>
      <c r="B93" s="85" t="s">
        <v>108</v>
      </c>
      <c r="C93" s="8">
        <v>37866</v>
      </c>
      <c r="D93" s="9">
        <v>463535560</v>
      </c>
      <c r="E93" s="57">
        <v>800</v>
      </c>
      <c r="F93" s="10" t="s">
        <v>109</v>
      </c>
      <c r="G93" s="88">
        <v>0</v>
      </c>
      <c r="H93" s="70">
        <f t="shared" si="8"/>
        <v>0</v>
      </c>
      <c r="I93" s="11">
        <f t="shared" ca="1" si="7"/>
        <v>46119</v>
      </c>
      <c r="J93" s="11">
        <f t="shared" ca="1" si="9"/>
        <v>46118</v>
      </c>
      <c r="K93" s="13"/>
    </row>
    <row r="94" spans="1:11" ht="18" x14ac:dyDescent="0.4">
      <c r="A94" s="7" t="s">
        <v>98</v>
      </c>
      <c r="B94" s="85" t="s">
        <v>108</v>
      </c>
      <c r="C94" s="8">
        <v>37866</v>
      </c>
      <c r="D94" s="9">
        <v>463518180</v>
      </c>
      <c r="E94" s="57">
        <v>60</v>
      </c>
      <c r="F94" s="10" t="s">
        <v>110</v>
      </c>
      <c r="G94" s="88">
        <v>0</v>
      </c>
      <c r="H94" s="70">
        <f t="shared" si="8"/>
        <v>0</v>
      </c>
      <c r="I94" s="11">
        <f t="shared" ca="1" si="7"/>
        <v>46119</v>
      </c>
      <c r="J94" s="11">
        <f t="shared" ca="1" si="9"/>
        <v>46118</v>
      </c>
      <c r="K94" s="13"/>
    </row>
    <row r="95" spans="1:11" ht="18" x14ac:dyDescent="0.4">
      <c r="A95" s="7" t="s">
        <v>98</v>
      </c>
      <c r="B95" s="85" t="s">
        <v>108</v>
      </c>
      <c r="C95" s="8">
        <v>37866</v>
      </c>
      <c r="D95" s="9">
        <v>463480050</v>
      </c>
      <c r="E95" s="57">
        <v>800</v>
      </c>
      <c r="F95" s="10" t="s">
        <v>111</v>
      </c>
      <c r="G95" s="88">
        <v>0</v>
      </c>
      <c r="H95" s="70">
        <f t="shared" si="8"/>
        <v>0</v>
      </c>
      <c r="I95" s="11">
        <f t="shared" ca="1" si="7"/>
        <v>46119</v>
      </c>
      <c r="J95" s="11">
        <f t="shared" ca="1" si="9"/>
        <v>46118</v>
      </c>
      <c r="K95" s="13"/>
    </row>
    <row r="96" spans="1:11" ht="18" x14ac:dyDescent="0.4">
      <c r="A96" s="7" t="s">
        <v>98</v>
      </c>
      <c r="B96" s="85" t="s">
        <v>108</v>
      </c>
      <c r="C96" s="8">
        <v>37866</v>
      </c>
      <c r="D96" s="9">
        <v>463479660</v>
      </c>
      <c r="E96" s="57">
        <v>60</v>
      </c>
      <c r="F96" s="10" t="s">
        <v>110</v>
      </c>
      <c r="G96" s="88">
        <v>0</v>
      </c>
      <c r="H96" s="70">
        <f t="shared" si="8"/>
        <v>0</v>
      </c>
      <c r="I96" s="11">
        <f t="shared" ca="1" si="7"/>
        <v>46119</v>
      </c>
      <c r="J96" s="11">
        <f t="shared" ca="1" si="9"/>
        <v>46118</v>
      </c>
      <c r="K96" s="13"/>
    </row>
    <row r="97" spans="1:11" ht="18" x14ac:dyDescent="0.4">
      <c r="A97" s="7" t="s">
        <v>98</v>
      </c>
      <c r="B97" s="85" t="s">
        <v>108</v>
      </c>
      <c r="C97" s="8">
        <v>37866</v>
      </c>
      <c r="D97" s="9">
        <v>463542820</v>
      </c>
      <c r="E97" s="57">
        <v>60</v>
      </c>
      <c r="F97" s="10" t="s">
        <v>112</v>
      </c>
      <c r="G97" s="88">
        <v>0</v>
      </c>
      <c r="H97" s="70">
        <f t="shared" si="8"/>
        <v>0</v>
      </c>
      <c r="I97" s="11">
        <f t="shared" ca="1" si="7"/>
        <v>46119</v>
      </c>
      <c r="J97" s="11">
        <f t="shared" ca="1" si="9"/>
        <v>46118</v>
      </c>
      <c r="K97" s="13"/>
    </row>
    <row r="98" spans="1:11" ht="18" x14ac:dyDescent="0.4">
      <c r="A98" s="7" t="s">
        <v>98</v>
      </c>
      <c r="B98" s="85" t="s">
        <v>108</v>
      </c>
      <c r="C98" s="8">
        <v>37866</v>
      </c>
      <c r="D98" s="9">
        <v>463465610</v>
      </c>
      <c r="E98" s="57">
        <v>800</v>
      </c>
      <c r="F98" s="10" t="s">
        <v>113</v>
      </c>
      <c r="G98" s="88">
        <v>0</v>
      </c>
      <c r="H98" s="70">
        <f t="shared" si="8"/>
        <v>0</v>
      </c>
      <c r="I98" s="11">
        <f t="shared" ca="1" si="7"/>
        <v>46119</v>
      </c>
      <c r="J98" s="11">
        <f t="shared" ca="1" si="9"/>
        <v>46118</v>
      </c>
      <c r="K98" s="13"/>
    </row>
    <row r="99" spans="1:11" ht="18" x14ac:dyDescent="0.4">
      <c r="A99" s="7" t="s">
        <v>98</v>
      </c>
      <c r="B99" s="85" t="s">
        <v>108</v>
      </c>
      <c r="C99" s="8">
        <v>37866</v>
      </c>
      <c r="D99" s="9">
        <v>463599360</v>
      </c>
      <c r="E99" s="57">
        <v>60</v>
      </c>
      <c r="F99" s="10" t="s">
        <v>115</v>
      </c>
      <c r="G99" s="88">
        <v>300</v>
      </c>
      <c r="H99" s="70">
        <f t="shared" si="8"/>
        <v>5</v>
      </c>
      <c r="I99" s="11">
        <f t="shared" ca="1" si="7"/>
        <v>46119</v>
      </c>
      <c r="J99" s="11">
        <f t="shared" ca="1" si="9"/>
        <v>46118</v>
      </c>
      <c r="K99" s="13"/>
    </row>
    <row r="100" spans="1:11" ht="18" x14ac:dyDescent="0.4">
      <c r="A100" s="7" t="s">
        <v>98</v>
      </c>
      <c r="B100" s="85" t="s">
        <v>108</v>
      </c>
      <c r="C100" s="8">
        <v>37866</v>
      </c>
      <c r="D100" s="9">
        <v>463450640</v>
      </c>
      <c r="E100" s="57">
        <v>60</v>
      </c>
      <c r="F100" s="10" t="s">
        <v>116</v>
      </c>
      <c r="G100" s="88">
        <v>0</v>
      </c>
      <c r="H100" s="70">
        <f t="shared" si="8"/>
        <v>0</v>
      </c>
      <c r="I100" s="11">
        <f t="shared" ca="1" si="7"/>
        <v>46119</v>
      </c>
      <c r="J100" s="11">
        <f t="shared" ca="1" si="9"/>
        <v>46118</v>
      </c>
      <c r="K100" s="13"/>
    </row>
    <row r="101" spans="1:11" ht="18" x14ac:dyDescent="0.4">
      <c r="A101" s="7" t="s">
        <v>98</v>
      </c>
      <c r="B101" s="85" t="s">
        <v>108</v>
      </c>
      <c r="C101" s="8">
        <v>37866</v>
      </c>
      <c r="D101" s="9">
        <v>463497920</v>
      </c>
      <c r="E101" s="57">
        <v>60</v>
      </c>
      <c r="F101" s="10" t="s">
        <v>117</v>
      </c>
      <c r="G101" s="88">
        <v>120</v>
      </c>
      <c r="H101" s="70">
        <f t="shared" si="8"/>
        <v>2</v>
      </c>
      <c r="I101" s="11">
        <f t="shared" ca="1" si="7"/>
        <v>46119</v>
      </c>
      <c r="J101" s="11">
        <f t="shared" ca="1" si="9"/>
        <v>46118</v>
      </c>
      <c r="K101" s="13"/>
    </row>
    <row r="102" spans="1:11" ht="18" x14ac:dyDescent="0.4">
      <c r="A102" s="7" t="s">
        <v>98</v>
      </c>
      <c r="B102" s="85" t="s">
        <v>108</v>
      </c>
      <c r="C102" s="8">
        <v>37866</v>
      </c>
      <c r="D102" s="9">
        <v>463563850</v>
      </c>
      <c r="E102" s="57">
        <v>60</v>
      </c>
      <c r="F102" s="10" t="s">
        <v>117</v>
      </c>
      <c r="G102" s="88">
        <v>0</v>
      </c>
      <c r="H102" s="70">
        <f t="shared" si="8"/>
        <v>0</v>
      </c>
      <c r="I102" s="11">
        <f t="shared" ca="1" si="7"/>
        <v>46119</v>
      </c>
      <c r="J102" s="11">
        <f t="shared" ca="1" si="9"/>
        <v>46118</v>
      </c>
      <c r="K102" s="13"/>
    </row>
    <row r="103" spans="1:11" ht="18" x14ac:dyDescent="0.4">
      <c r="A103" s="7" t="s">
        <v>98</v>
      </c>
      <c r="B103" s="85" t="s">
        <v>108</v>
      </c>
      <c r="C103" s="8">
        <v>37866</v>
      </c>
      <c r="D103" s="9">
        <v>463564120</v>
      </c>
      <c r="E103" s="57">
        <v>60</v>
      </c>
      <c r="F103" s="10" t="s">
        <v>118</v>
      </c>
      <c r="G103" s="88">
        <v>0</v>
      </c>
      <c r="H103" s="70">
        <f t="shared" si="8"/>
        <v>0</v>
      </c>
      <c r="I103" s="11">
        <f ca="1">I96</f>
        <v>46119</v>
      </c>
      <c r="J103" s="11">
        <f t="shared" ca="1" si="9"/>
        <v>46118</v>
      </c>
      <c r="K103" s="13"/>
    </row>
    <row r="104" spans="1:11" ht="18" x14ac:dyDescent="0.4">
      <c r="A104" s="7" t="s">
        <v>98</v>
      </c>
      <c r="B104" s="85" t="s">
        <v>108</v>
      </c>
      <c r="C104" s="8">
        <v>37866</v>
      </c>
      <c r="D104" s="9">
        <v>463577620</v>
      </c>
      <c r="E104" s="57">
        <v>60</v>
      </c>
      <c r="F104" s="10" t="s">
        <v>119</v>
      </c>
      <c r="G104" s="88">
        <v>60</v>
      </c>
      <c r="H104" s="70">
        <f t="shared" si="8"/>
        <v>1</v>
      </c>
      <c r="I104" s="11">
        <f ca="1">I97</f>
        <v>46119</v>
      </c>
      <c r="J104" s="11">
        <f t="shared" ca="1" si="9"/>
        <v>46118</v>
      </c>
      <c r="K104" s="13"/>
    </row>
    <row r="105" spans="1:11" ht="18" x14ac:dyDescent="0.4">
      <c r="A105" s="7" t="s">
        <v>98</v>
      </c>
      <c r="B105" s="85" t="s">
        <v>108</v>
      </c>
      <c r="C105" s="8">
        <v>37866</v>
      </c>
      <c r="D105" s="9">
        <v>463578580</v>
      </c>
      <c r="E105" s="57">
        <v>60</v>
      </c>
      <c r="F105" s="10" t="s">
        <v>120</v>
      </c>
      <c r="G105" s="88">
        <v>0</v>
      </c>
      <c r="H105" s="70">
        <f t="shared" si="8"/>
        <v>0</v>
      </c>
      <c r="I105" s="11">
        <f ca="1">I98</f>
        <v>46119</v>
      </c>
      <c r="J105" s="11">
        <f t="shared" ca="1" si="9"/>
        <v>46118</v>
      </c>
      <c r="K105" s="13"/>
    </row>
    <row r="106" spans="1:11" ht="18" x14ac:dyDescent="0.4">
      <c r="A106" s="7" t="s">
        <v>98</v>
      </c>
      <c r="B106" s="85" t="s">
        <v>108</v>
      </c>
      <c r="C106" s="8">
        <v>37866</v>
      </c>
      <c r="D106" s="61">
        <v>463603240</v>
      </c>
      <c r="E106" s="57">
        <v>60</v>
      </c>
      <c r="F106" s="10" t="s">
        <v>721</v>
      </c>
      <c r="G106" s="88">
        <v>0</v>
      </c>
      <c r="H106" s="70">
        <f t="shared" ref="H106" si="10">+G106/E106</f>
        <v>0</v>
      </c>
      <c r="I106" s="11">
        <f ca="1">I99</f>
        <v>46119</v>
      </c>
      <c r="J106" s="11">
        <f t="shared" ca="1" si="9"/>
        <v>46118</v>
      </c>
      <c r="K106" s="13"/>
    </row>
    <row r="107" spans="1:11" ht="18" x14ac:dyDescent="0.4">
      <c r="A107" s="7" t="s">
        <v>98</v>
      </c>
      <c r="B107" s="85" t="s">
        <v>108</v>
      </c>
      <c r="C107" s="8">
        <v>37866</v>
      </c>
      <c r="D107" s="9">
        <v>463576540</v>
      </c>
      <c r="E107" s="57">
        <v>60</v>
      </c>
      <c r="F107" s="10" t="s">
        <v>121</v>
      </c>
      <c r="G107" s="88">
        <v>0</v>
      </c>
      <c r="H107" s="70">
        <f t="shared" si="8"/>
        <v>0</v>
      </c>
      <c r="I107" s="11">
        <f ca="1">I99</f>
        <v>46119</v>
      </c>
      <c r="J107" s="11">
        <f t="shared" ca="1" si="9"/>
        <v>46118</v>
      </c>
      <c r="K107" s="13"/>
    </row>
    <row r="108" spans="1:11" ht="18" x14ac:dyDescent="0.4">
      <c r="A108" s="7" t="s">
        <v>98</v>
      </c>
      <c r="B108" s="85" t="s">
        <v>108</v>
      </c>
      <c r="C108" s="8">
        <v>37866</v>
      </c>
      <c r="D108" s="9">
        <v>463571180</v>
      </c>
      <c r="E108" s="57">
        <v>60</v>
      </c>
      <c r="F108" s="10" t="s">
        <v>122</v>
      </c>
      <c r="G108" s="88">
        <v>1080</v>
      </c>
      <c r="H108" s="70">
        <f t="shared" si="8"/>
        <v>18</v>
      </c>
      <c r="I108" s="11">
        <f ca="1">I100</f>
        <v>46119</v>
      </c>
      <c r="J108" s="11">
        <f t="shared" ca="1" si="9"/>
        <v>46118</v>
      </c>
      <c r="K108" s="13"/>
    </row>
    <row r="109" spans="1:11" ht="18" x14ac:dyDescent="0.4">
      <c r="A109" s="7" t="s">
        <v>98</v>
      </c>
      <c r="B109" s="85" t="s">
        <v>123</v>
      </c>
      <c r="C109" s="8">
        <v>27951</v>
      </c>
      <c r="D109" s="9">
        <v>463385060</v>
      </c>
      <c r="E109" s="57">
        <v>800</v>
      </c>
      <c r="F109" s="10" t="s">
        <v>124</v>
      </c>
      <c r="G109" s="88">
        <v>5000</v>
      </c>
      <c r="H109" s="70">
        <f t="shared" si="8"/>
        <v>6.25</v>
      </c>
      <c r="I109" s="11">
        <f t="shared" ref="I109:I114" ca="1" si="11">I100</f>
        <v>46119</v>
      </c>
      <c r="J109" s="11">
        <f t="shared" ca="1" si="9"/>
        <v>46118</v>
      </c>
      <c r="K109" s="13"/>
    </row>
    <row r="110" spans="1:11" ht="18" x14ac:dyDescent="0.4">
      <c r="A110" s="7" t="s">
        <v>98</v>
      </c>
      <c r="B110" s="85" t="s">
        <v>123</v>
      </c>
      <c r="C110" s="8">
        <v>27951</v>
      </c>
      <c r="D110" s="9">
        <v>552821660</v>
      </c>
      <c r="E110" s="57">
        <v>600</v>
      </c>
      <c r="F110" s="10" t="s">
        <v>125</v>
      </c>
      <c r="G110" s="88">
        <v>5000</v>
      </c>
      <c r="H110" s="70">
        <f t="shared" si="8"/>
        <v>8.3333333333333339</v>
      </c>
      <c r="I110" s="11">
        <f t="shared" ca="1" si="11"/>
        <v>46119</v>
      </c>
      <c r="J110" s="11">
        <f t="shared" ca="1" si="9"/>
        <v>46118</v>
      </c>
      <c r="K110" s="13"/>
    </row>
    <row r="111" spans="1:11" ht="18" x14ac:dyDescent="0.4">
      <c r="A111" s="7" t="s">
        <v>98</v>
      </c>
      <c r="B111" s="85" t="s">
        <v>123</v>
      </c>
      <c r="C111" s="8">
        <v>27951</v>
      </c>
      <c r="D111" s="9">
        <v>552822750</v>
      </c>
      <c r="E111" s="57">
        <v>300</v>
      </c>
      <c r="F111" s="10" t="s">
        <v>126</v>
      </c>
      <c r="G111" s="88">
        <v>5000</v>
      </c>
      <c r="H111" s="70">
        <f t="shared" si="8"/>
        <v>16.666666666666668</v>
      </c>
      <c r="I111" s="11">
        <f t="shared" ca="1" si="11"/>
        <v>46119</v>
      </c>
      <c r="J111" s="11">
        <f t="shared" ca="1" si="9"/>
        <v>46118</v>
      </c>
      <c r="K111" s="13"/>
    </row>
    <row r="112" spans="1:11" ht="18" x14ac:dyDescent="0.4">
      <c r="A112" s="7" t="s">
        <v>98</v>
      </c>
      <c r="B112" s="85" t="s">
        <v>123</v>
      </c>
      <c r="C112" s="8">
        <v>27951</v>
      </c>
      <c r="D112" s="9">
        <v>552821670</v>
      </c>
      <c r="E112" s="57">
        <v>100</v>
      </c>
      <c r="F112" s="10" t="s">
        <v>127</v>
      </c>
      <c r="G112" s="88">
        <v>5000</v>
      </c>
      <c r="H112" s="70">
        <f t="shared" si="8"/>
        <v>50</v>
      </c>
      <c r="I112" s="11">
        <f t="shared" ca="1" si="11"/>
        <v>46119</v>
      </c>
      <c r="J112" s="11">
        <f t="shared" ca="1" si="9"/>
        <v>46118</v>
      </c>
      <c r="K112" s="13"/>
    </row>
    <row r="113" spans="1:11" ht="18" x14ac:dyDescent="0.4">
      <c r="A113" s="7" t="s">
        <v>98</v>
      </c>
      <c r="B113" s="85" t="s">
        <v>123</v>
      </c>
      <c r="C113" s="8">
        <v>27951</v>
      </c>
      <c r="D113" s="9">
        <v>552845970</v>
      </c>
      <c r="E113" s="57">
        <v>600</v>
      </c>
      <c r="F113" s="10" t="s">
        <v>127</v>
      </c>
      <c r="G113" s="88">
        <v>5000</v>
      </c>
      <c r="H113" s="70">
        <f t="shared" si="8"/>
        <v>8.3333333333333339</v>
      </c>
      <c r="I113" s="11">
        <f t="shared" ca="1" si="11"/>
        <v>46119</v>
      </c>
      <c r="J113" s="11">
        <f t="shared" ca="1" si="9"/>
        <v>46118</v>
      </c>
      <c r="K113" s="13"/>
    </row>
    <row r="114" spans="1:11" ht="18" x14ac:dyDescent="0.4">
      <c r="A114" s="7" t="s">
        <v>98</v>
      </c>
      <c r="B114" s="85" t="s">
        <v>123</v>
      </c>
      <c r="C114" s="8">
        <v>27951</v>
      </c>
      <c r="D114" s="9">
        <v>552798810</v>
      </c>
      <c r="E114" s="57">
        <v>250</v>
      </c>
      <c r="F114" s="10" t="s">
        <v>127</v>
      </c>
      <c r="G114" s="88">
        <v>5000</v>
      </c>
      <c r="H114" s="70">
        <f t="shared" si="8"/>
        <v>20</v>
      </c>
      <c r="I114" s="11">
        <f t="shared" ca="1" si="11"/>
        <v>46119</v>
      </c>
      <c r="J114" s="11">
        <f t="shared" ca="1" si="9"/>
        <v>46118</v>
      </c>
      <c r="K114" s="13"/>
    </row>
    <row r="115" spans="1:11" ht="18" x14ac:dyDescent="0.4">
      <c r="A115" s="7" t="s">
        <v>98</v>
      </c>
      <c r="B115" s="85" t="s">
        <v>123</v>
      </c>
      <c r="C115" s="8">
        <v>27951</v>
      </c>
      <c r="D115" s="9">
        <v>552842340</v>
      </c>
      <c r="E115" s="57">
        <v>800</v>
      </c>
      <c r="F115" s="10" t="s">
        <v>127</v>
      </c>
      <c r="G115" s="88">
        <v>5000</v>
      </c>
      <c r="H115" s="70">
        <f t="shared" si="8"/>
        <v>6.25</v>
      </c>
      <c r="I115" s="11">
        <f t="shared" ref="I115:I172" ca="1" si="12">I107</f>
        <v>46119</v>
      </c>
      <c r="J115" s="11">
        <f t="shared" ca="1" si="9"/>
        <v>46118</v>
      </c>
      <c r="K115" s="13"/>
    </row>
    <row r="116" spans="1:11" ht="18" x14ac:dyDescent="0.4">
      <c r="A116" s="7" t="s">
        <v>98</v>
      </c>
      <c r="B116" s="85" t="s">
        <v>123</v>
      </c>
      <c r="C116" s="8">
        <v>27951</v>
      </c>
      <c r="D116" s="9">
        <v>552822630</v>
      </c>
      <c r="E116" s="57">
        <v>600</v>
      </c>
      <c r="F116" s="10" t="s">
        <v>127</v>
      </c>
      <c r="G116" s="88">
        <v>5000</v>
      </c>
      <c r="H116" s="70">
        <f t="shared" si="8"/>
        <v>8.3333333333333339</v>
      </c>
      <c r="I116" s="11">
        <f t="shared" ca="1" si="12"/>
        <v>46119</v>
      </c>
      <c r="J116" s="11">
        <f t="shared" ca="1" si="9"/>
        <v>46118</v>
      </c>
      <c r="K116" s="13"/>
    </row>
    <row r="117" spans="1:11" ht="18" x14ac:dyDescent="0.4">
      <c r="A117" s="7" t="s">
        <v>98</v>
      </c>
      <c r="B117" s="85" t="s">
        <v>123</v>
      </c>
      <c r="C117" s="8">
        <v>27951</v>
      </c>
      <c r="D117" s="9">
        <v>552799020</v>
      </c>
      <c r="E117" s="57">
        <v>200</v>
      </c>
      <c r="F117" s="10" t="s">
        <v>127</v>
      </c>
      <c r="G117" s="88">
        <v>5000</v>
      </c>
      <c r="H117" s="70">
        <f t="shared" si="8"/>
        <v>25</v>
      </c>
      <c r="I117" s="11">
        <f t="shared" ca="1" si="12"/>
        <v>46119</v>
      </c>
      <c r="J117" s="11">
        <f t="shared" ca="1" si="9"/>
        <v>46118</v>
      </c>
      <c r="K117" s="13"/>
    </row>
    <row r="118" spans="1:11" ht="18" x14ac:dyDescent="0.4">
      <c r="A118" s="7" t="s">
        <v>98</v>
      </c>
      <c r="B118" s="85" t="s">
        <v>123</v>
      </c>
      <c r="C118" s="8">
        <v>27951</v>
      </c>
      <c r="D118" s="9">
        <v>463369240</v>
      </c>
      <c r="E118" s="57">
        <v>500</v>
      </c>
      <c r="F118" s="10" t="s">
        <v>127</v>
      </c>
      <c r="G118" s="88">
        <v>5000</v>
      </c>
      <c r="H118" s="70">
        <f t="shared" si="8"/>
        <v>10</v>
      </c>
      <c r="I118" s="11">
        <f t="shared" ca="1" si="12"/>
        <v>46119</v>
      </c>
      <c r="J118" s="11">
        <f t="shared" ca="1" si="9"/>
        <v>46118</v>
      </c>
      <c r="K118" s="13"/>
    </row>
    <row r="119" spans="1:11" ht="18" x14ac:dyDescent="0.4">
      <c r="A119" s="7" t="s">
        <v>98</v>
      </c>
      <c r="B119" s="85" t="s">
        <v>123</v>
      </c>
      <c r="C119" s="8">
        <v>27951</v>
      </c>
      <c r="D119" s="9">
        <v>463398780</v>
      </c>
      <c r="E119" s="57">
        <v>400</v>
      </c>
      <c r="F119" s="10" t="s">
        <v>128</v>
      </c>
      <c r="G119" s="88">
        <v>5000</v>
      </c>
      <c r="H119" s="70">
        <f t="shared" si="8"/>
        <v>12.5</v>
      </c>
      <c r="I119" s="11">
        <f t="shared" ca="1" si="12"/>
        <v>46119</v>
      </c>
      <c r="J119" s="11">
        <f t="shared" ca="1" si="9"/>
        <v>46118</v>
      </c>
      <c r="K119" s="13"/>
    </row>
    <row r="120" spans="1:11" ht="18" x14ac:dyDescent="0.4">
      <c r="A120" s="7" t="s">
        <v>98</v>
      </c>
      <c r="B120" s="85" t="s">
        <v>123</v>
      </c>
      <c r="C120" s="8">
        <v>27951</v>
      </c>
      <c r="D120" s="9">
        <v>552822620</v>
      </c>
      <c r="E120" s="57">
        <v>800</v>
      </c>
      <c r="F120" s="10" t="s">
        <v>129</v>
      </c>
      <c r="G120" s="88">
        <v>5000</v>
      </c>
      <c r="H120" s="70">
        <f t="shared" si="8"/>
        <v>6.25</v>
      </c>
      <c r="I120" s="11">
        <f t="shared" ca="1" si="12"/>
        <v>46119</v>
      </c>
      <c r="J120" s="11">
        <f t="shared" ca="1" si="9"/>
        <v>46118</v>
      </c>
      <c r="K120" s="13"/>
    </row>
    <row r="121" spans="1:11" ht="18" x14ac:dyDescent="0.4">
      <c r="A121" s="7" t="s">
        <v>98</v>
      </c>
      <c r="B121" s="85" t="s">
        <v>123</v>
      </c>
      <c r="C121" s="8">
        <v>27951</v>
      </c>
      <c r="D121" s="9">
        <v>463473640</v>
      </c>
      <c r="E121" s="57">
        <v>500</v>
      </c>
      <c r="F121" s="10" t="s">
        <v>130</v>
      </c>
      <c r="G121" s="88">
        <v>5000</v>
      </c>
      <c r="H121" s="70">
        <f t="shared" si="8"/>
        <v>10</v>
      </c>
      <c r="I121" s="11">
        <f t="shared" ca="1" si="12"/>
        <v>46119</v>
      </c>
      <c r="J121" s="11">
        <f t="shared" ca="1" si="9"/>
        <v>46118</v>
      </c>
      <c r="K121" s="13"/>
    </row>
    <row r="122" spans="1:11" ht="18" x14ac:dyDescent="0.4">
      <c r="A122" s="7" t="s">
        <v>98</v>
      </c>
      <c r="B122" s="85" t="s">
        <v>123</v>
      </c>
      <c r="C122" s="8">
        <v>27951</v>
      </c>
      <c r="D122" s="9">
        <v>552831540</v>
      </c>
      <c r="E122" s="57">
        <v>400</v>
      </c>
      <c r="F122" s="10" t="s">
        <v>131</v>
      </c>
      <c r="G122" s="88">
        <v>5000</v>
      </c>
      <c r="H122" s="70">
        <f t="shared" si="8"/>
        <v>12.5</v>
      </c>
      <c r="I122" s="11">
        <f t="shared" ca="1" si="12"/>
        <v>46119</v>
      </c>
      <c r="J122" s="11">
        <f t="shared" ca="1" si="9"/>
        <v>46118</v>
      </c>
      <c r="K122" s="13"/>
    </row>
    <row r="123" spans="1:11" ht="18" x14ac:dyDescent="0.4">
      <c r="A123" s="7" t="s">
        <v>98</v>
      </c>
      <c r="B123" s="85" t="s">
        <v>123</v>
      </c>
      <c r="C123" s="8">
        <v>27951</v>
      </c>
      <c r="D123" s="9">
        <v>187517280</v>
      </c>
      <c r="E123" s="57">
        <v>400</v>
      </c>
      <c r="F123" s="10" t="s">
        <v>132</v>
      </c>
      <c r="G123" s="88">
        <v>5000</v>
      </c>
      <c r="H123" s="70">
        <f t="shared" si="8"/>
        <v>12.5</v>
      </c>
      <c r="I123" s="11">
        <f t="shared" ca="1" si="12"/>
        <v>46119</v>
      </c>
      <c r="J123" s="11">
        <f t="shared" ca="1" si="9"/>
        <v>46118</v>
      </c>
      <c r="K123" s="13"/>
    </row>
    <row r="124" spans="1:11" ht="18" x14ac:dyDescent="0.4">
      <c r="A124" s="7" t="s">
        <v>98</v>
      </c>
      <c r="B124" s="85" t="s">
        <v>123</v>
      </c>
      <c r="C124" s="8">
        <v>27951</v>
      </c>
      <c r="D124" s="9">
        <v>552822460</v>
      </c>
      <c r="E124" s="57">
        <v>650</v>
      </c>
      <c r="F124" s="10" t="s">
        <v>133</v>
      </c>
      <c r="G124" s="88">
        <v>5000</v>
      </c>
      <c r="H124" s="70">
        <f t="shared" si="8"/>
        <v>7.6923076923076925</v>
      </c>
      <c r="I124" s="11">
        <f t="shared" ca="1" si="12"/>
        <v>46119</v>
      </c>
      <c r="J124" s="11">
        <f t="shared" ca="1" si="9"/>
        <v>46118</v>
      </c>
      <c r="K124" s="13"/>
    </row>
    <row r="125" spans="1:11" ht="18" x14ac:dyDescent="0.4">
      <c r="A125" s="7" t="s">
        <v>98</v>
      </c>
      <c r="B125" s="85" t="s">
        <v>123</v>
      </c>
      <c r="C125" s="8">
        <v>27951</v>
      </c>
      <c r="D125" s="9">
        <v>552821610</v>
      </c>
      <c r="E125" s="57">
        <v>150</v>
      </c>
      <c r="F125" s="10" t="s">
        <v>134</v>
      </c>
      <c r="G125" s="88">
        <v>5000</v>
      </c>
      <c r="H125" s="70">
        <f t="shared" si="8"/>
        <v>33.333333333333336</v>
      </c>
      <c r="I125" s="11">
        <f t="shared" ca="1" si="12"/>
        <v>46119</v>
      </c>
      <c r="J125" s="11">
        <f t="shared" ca="1" si="9"/>
        <v>46118</v>
      </c>
      <c r="K125" s="13"/>
    </row>
    <row r="126" spans="1:11" ht="18" x14ac:dyDescent="0.4">
      <c r="A126" s="7" t="s">
        <v>98</v>
      </c>
      <c r="B126" s="85" t="s">
        <v>123</v>
      </c>
      <c r="C126" s="8">
        <v>27951</v>
      </c>
      <c r="D126" s="9">
        <v>552842370</v>
      </c>
      <c r="E126" s="57">
        <v>400</v>
      </c>
      <c r="F126" s="10" t="s">
        <v>135</v>
      </c>
      <c r="G126" s="88">
        <v>5000</v>
      </c>
      <c r="H126" s="70">
        <f t="shared" si="8"/>
        <v>12.5</v>
      </c>
      <c r="I126" s="11">
        <f t="shared" ca="1" si="12"/>
        <v>46119</v>
      </c>
      <c r="J126" s="11">
        <f t="shared" ca="1" si="9"/>
        <v>46118</v>
      </c>
      <c r="K126" s="13"/>
    </row>
    <row r="127" spans="1:11" ht="18" x14ac:dyDescent="0.4">
      <c r="A127" s="7" t="s">
        <v>98</v>
      </c>
      <c r="B127" s="86" t="s">
        <v>123</v>
      </c>
      <c r="C127" s="8">
        <v>27951</v>
      </c>
      <c r="D127" s="9">
        <v>552821600</v>
      </c>
      <c r="E127" s="57">
        <v>300</v>
      </c>
      <c r="F127" s="10" t="s">
        <v>136</v>
      </c>
      <c r="G127" s="88">
        <v>5000</v>
      </c>
      <c r="H127" s="70">
        <f t="shared" si="8"/>
        <v>16.666666666666668</v>
      </c>
      <c r="I127" s="11">
        <f t="shared" ca="1" si="12"/>
        <v>46119</v>
      </c>
      <c r="J127" s="11">
        <f t="shared" ca="1" si="9"/>
        <v>46118</v>
      </c>
      <c r="K127" s="13"/>
    </row>
    <row r="128" spans="1:11" ht="18" x14ac:dyDescent="0.4">
      <c r="A128" s="7" t="s">
        <v>98</v>
      </c>
      <c r="B128" s="86" t="s">
        <v>137</v>
      </c>
      <c r="C128" s="8">
        <v>36019</v>
      </c>
      <c r="D128" s="9">
        <v>463375300</v>
      </c>
      <c r="E128" s="57">
        <v>1000</v>
      </c>
      <c r="F128" s="10" t="s">
        <v>390</v>
      </c>
      <c r="G128" s="88">
        <v>0</v>
      </c>
      <c r="H128" s="70">
        <f t="shared" ref="H128" si="13">+G128/E128</f>
        <v>0</v>
      </c>
      <c r="I128" s="11">
        <f t="shared" ref="I128:I136" ca="1" si="14">I119</f>
        <v>46119</v>
      </c>
      <c r="J128" s="11">
        <f t="shared" ca="1" si="9"/>
        <v>46118</v>
      </c>
      <c r="K128" s="13"/>
    </row>
    <row r="129" spans="1:11" ht="18" x14ac:dyDescent="0.4">
      <c r="A129" s="7" t="s">
        <v>98</v>
      </c>
      <c r="B129" s="86" t="s">
        <v>137</v>
      </c>
      <c r="C129" s="8">
        <v>36019</v>
      </c>
      <c r="D129" s="9">
        <v>463385060</v>
      </c>
      <c r="E129" s="57">
        <v>800</v>
      </c>
      <c r="F129" s="10" t="s">
        <v>124</v>
      </c>
      <c r="G129" s="88">
        <v>0</v>
      </c>
      <c r="H129" s="70">
        <f t="shared" si="8"/>
        <v>0</v>
      </c>
      <c r="I129" s="11">
        <f t="shared" ca="1" si="14"/>
        <v>46119</v>
      </c>
      <c r="J129" s="11">
        <f t="shared" ca="1" si="9"/>
        <v>46118</v>
      </c>
      <c r="K129" s="13"/>
    </row>
    <row r="130" spans="1:11" ht="18" x14ac:dyDescent="0.4">
      <c r="A130" s="7" t="s">
        <v>98</v>
      </c>
      <c r="B130" s="86" t="s">
        <v>137</v>
      </c>
      <c r="C130" s="8">
        <v>36019</v>
      </c>
      <c r="D130" s="9">
        <v>552821660</v>
      </c>
      <c r="E130" s="57">
        <v>600</v>
      </c>
      <c r="F130" s="10" t="s">
        <v>125</v>
      </c>
      <c r="G130" s="88">
        <v>0</v>
      </c>
      <c r="H130" s="70">
        <f t="shared" si="8"/>
        <v>0</v>
      </c>
      <c r="I130" s="11">
        <f t="shared" ca="1" si="14"/>
        <v>46119</v>
      </c>
      <c r="J130" s="11">
        <f t="shared" ca="1" si="9"/>
        <v>46118</v>
      </c>
      <c r="K130" s="13"/>
    </row>
    <row r="131" spans="1:11" ht="18" x14ac:dyDescent="0.4">
      <c r="A131" s="7" t="s">
        <v>98</v>
      </c>
      <c r="B131" s="86" t="s">
        <v>137</v>
      </c>
      <c r="C131" s="8">
        <v>36019</v>
      </c>
      <c r="D131" s="9">
        <v>552822750</v>
      </c>
      <c r="E131" s="57">
        <v>300</v>
      </c>
      <c r="F131" s="10" t="s">
        <v>126</v>
      </c>
      <c r="G131" s="88">
        <v>0</v>
      </c>
      <c r="H131" s="70">
        <f t="shared" si="8"/>
        <v>0</v>
      </c>
      <c r="I131" s="11">
        <f t="shared" ca="1" si="14"/>
        <v>46119</v>
      </c>
      <c r="J131" s="11">
        <f t="shared" ca="1" si="9"/>
        <v>46118</v>
      </c>
      <c r="K131" s="13"/>
    </row>
    <row r="132" spans="1:11" ht="18" x14ac:dyDescent="0.4">
      <c r="A132" s="7" t="s">
        <v>98</v>
      </c>
      <c r="B132" s="86" t="s">
        <v>137</v>
      </c>
      <c r="C132" s="8">
        <v>36019</v>
      </c>
      <c r="D132" s="9">
        <v>552821670</v>
      </c>
      <c r="E132" s="57">
        <v>100</v>
      </c>
      <c r="F132" s="10" t="s">
        <v>127</v>
      </c>
      <c r="G132" s="88">
        <v>0</v>
      </c>
      <c r="H132" s="70">
        <f t="shared" si="8"/>
        <v>0</v>
      </c>
      <c r="I132" s="11">
        <f t="shared" ca="1" si="14"/>
        <v>46119</v>
      </c>
      <c r="J132" s="11">
        <f t="shared" ca="1" si="9"/>
        <v>46118</v>
      </c>
      <c r="K132" s="13"/>
    </row>
    <row r="133" spans="1:11" ht="18" x14ac:dyDescent="0.4">
      <c r="A133" s="7" t="s">
        <v>98</v>
      </c>
      <c r="B133" s="86" t="s">
        <v>137</v>
      </c>
      <c r="C133" s="8">
        <v>36019</v>
      </c>
      <c r="D133" s="9">
        <v>552845970</v>
      </c>
      <c r="E133" s="57">
        <v>600</v>
      </c>
      <c r="F133" s="10" t="s">
        <v>127</v>
      </c>
      <c r="G133" s="88">
        <v>0</v>
      </c>
      <c r="H133" s="70">
        <f t="shared" si="8"/>
        <v>0</v>
      </c>
      <c r="I133" s="11">
        <f t="shared" ca="1" si="14"/>
        <v>46119</v>
      </c>
      <c r="J133" s="11">
        <f t="shared" ca="1" si="9"/>
        <v>46118</v>
      </c>
      <c r="K133" s="13"/>
    </row>
    <row r="134" spans="1:11" ht="18" x14ac:dyDescent="0.4">
      <c r="A134" s="7" t="s">
        <v>98</v>
      </c>
      <c r="B134" s="86" t="s">
        <v>137</v>
      </c>
      <c r="C134" s="8">
        <v>36019</v>
      </c>
      <c r="D134" s="9">
        <v>552798810</v>
      </c>
      <c r="E134" s="57">
        <v>250</v>
      </c>
      <c r="F134" s="10" t="s">
        <v>127</v>
      </c>
      <c r="G134" s="88">
        <v>0</v>
      </c>
      <c r="H134" s="70">
        <f t="shared" si="8"/>
        <v>0</v>
      </c>
      <c r="I134" s="11">
        <f t="shared" ca="1" si="14"/>
        <v>46119</v>
      </c>
      <c r="J134" s="11">
        <f t="shared" ca="1" si="9"/>
        <v>46118</v>
      </c>
      <c r="K134" s="13"/>
    </row>
    <row r="135" spans="1:11" ht="18" x14ac:dyDescent="0.4">
      <c r="A135" s="7" t="s">
        <v>98</v>
      </c>
      <c r="B135" s="86" t="s">
        <v>137</v>
      </c>
      <c r="C135" s="8">
        <v>36019</v>
      </c>
      <c r="D135" s="9">
        <v>552842340</v>
      </c>
      <c r="E135" s="57">
        <v>800</v>
      </c>
      <c r="F135" s="10" t="s">
        <v>127</v>
      </c>
      <c r="G135" s="88">
        <v>0</v>
      </c>
      <c r="H135" s="70">
        <f t="shared" si="8"/>
        <v>0</v>
      </c>
      <c r="I135" s="11">
        <f t="shared" ca="1" si="14"/>
        <v>46119</v>
      </c>
      <c r="J135" s="11">
        <f t="shared" ca="1" si="9"/>
        <v>46118</v>
      </c>
      <c r="K135" s="13"/>
    </row>
    <row r="136" spans="1:11" ht="18" x14ac:dyDescent="0.4">
      <c r="A136" s="7" t="s">
        <v>98</v>
      </c>
      <c r="B136" s="86" t="s">
        <v>137</v>
      </c>
      <c r="C136" s="8">
        <v>36019</v>
      </c>
      <c r="D136" s="9">
        <v>552822630</v>
      </c>
      <c r="E136" s="57">
        <v>600</v>
      </c>
      <c r="F136" s="10" t="s">
        <v>127</v>
      </c>
      <c r="G136" s="88">
        <v>0</v>
      </c>
      <c r="H136" s="70">
        <f t="shared" si="8"/>
        <v>0</v>
      </c>
      <c r="I136" s="11">
        <f t="shared" ca="1" si="14"/>
        <v>46119</v>
      </c>
      <c r="J136" s="11">
        <f t="shared" ca="1" si="9"/>
        <v>46118</v>
      </c>
      <c r="K136" s="13"/>
    </row>
    <row r="137" spans="1:11" ht="18" x14ac:dyDescent="0.4">
      <c r="A137" s="7" t="s">
        <v>98</v>
      </c>
      <c r="B137" s="86" t="s">
        <v>137</v>
      </c>
      <c r="C137" s="8">
        <v>36019</v>
      </c>
      <c r="D137" s="9">
        <v>552799020</v>
      </c>
      <c r="E137" s="57">
        <v>200</v>
      </c>
      <c r="F137" s="10" t="s">
        <v>127</v>
      </c>
      <c r="G137" s="88">
        <v>0</v>
      </c>
      <c r="H137" s="70">
        <f t="shared" si="8"/>
        <v>0</v>
      </c>
      <c r="I137" s="11">
        <f t="shared" ca="1" si="12"/>
        <v>46119</v>
      </c>
      <c r="J137" s="11">
        <f t="shared" ca="1" si="9"/>
        <v>46118</v>
      </c>
      <c r="K137" s="13"/>
    </row>
    <row r="138" spans="1:11" ht="18" x14ac:dyDescent="0.4">
      <c r="A138" s="7" t="s">
        <v>98</v>
      </c>
      <c r="B138" s="86" t="s">
        <v>137</v>
      </c>
      <c r="C138" s="8">
        <v>36019</v>
      </c>
      <c r="D138" s="9">
        <v>463369240</v>
      </c>
      <c r="E138" s="57">
        <v>500</v>
      </c>
      <c r="F138" s="10" t="s">
        <v>127</v>
      </c>
      <c r="G138" s="88">
        <v>0</v>
      </c>
      <c r="H138" s="70">
        <f t="shared" si="8"/>
        <v>0</v>
      </c>
      <c r="I138" s="11">
        <f t="shared" ca="1" si="12"/>
        <v>46119</v>
      </c>
      <c r="J138" s="11">
        <f t="shared" ca="1" si="9"/>
        <v>46118</v>
      </c>
      <c r="K138" s="13"/>
    </row>
    <row r="139" spans="1:11" ht="18" x14ac:dyDescent="0.4">
      <c r="A139" s="7" t="s">
        <v>98</v>
      </c>
      <c r="B139" s="86" t="s">
        <v>137</v>
      </c>
      <c r="C139" s="8">
        <v>36019</v>
      </c>
      <c r="D139" s="9">
        <v>463398780</v>
      </c>
      <c r="E139" s="57">
        <v>400</v>
      </c>
      <c r="F139" s="10" t="s">
        <v>128</v>
      </c>
      <c r="G139" s="88">
        <v>0</v>
      </c>
      <c r="H139" s="70">
        <f t="shared" si="8"/>
        <v>0</v>
      </c>
      <c r="I139" s="11">
        <f t="shared" ca="1" si="12"/>
        <v>46119</v>
      </c>
      <c r="J139" s="11">
        <f t="shared" ca="1" si="9"/>
        <v>46118</v>
      </c>
      <c r="K139" s="13"/>
    </row>
    <row r="140" spans="1:11" ht="18" x14ac:dyDescent="0.4">
      <c r="A140" s="7" t="s">
        <v>98</v>
      </c>
      <c r="B140" s="86" t="s">
        <v>137</v>
      </c>
      <c r="C140" s="8">
        <v>36019</v>
      </c>
      <c r="D140" s="9">
        <v>552822620</v>
      </c>
      <c r="E140" s="57">
        <v>800</v>
      </c>
      <c r="F140" s="10" t="s">
        <v>129</v>
      </c>
      <c r="G140" s="88">
        <v>6400</v>
      </c>
      <c r="H140" s="70">
        <f t="shared" si="8"/>
        <v>8</v>
      </c>
      <c r="I140" s="11">
        <f t="shared" ca="1" si="12"/>
        <v>46119</v>
      </c>
      <c r="J140" s="11">
        <f t="shared" ca="1" si="9"/>
        <v>46118</v>
      </c>
      <c r="K140" s="13"/>
    </row>
    <row r="141" spans="1:11" ht="18" x14ac:dyDescent="0.4">
      <c r="A141" s="7" t="s">
        <v>98</v>
      </c>
      <c r="B141" s="86" t="s">
        <v>137</v>
      </c>
      <c r="C141" s="8">
        <v>36019</v>
      </c>
      <c r="D141" s="9">
        <v>463473640</v>
      </c>
      <c r="E141" s="57">
        <v>500</v>
      </c>
      <c r="F141" s="10" t="s">
        <v>130</v>
      </c>
      <c r="G141" s="88">
        <v>0</v>
      </c>
      <c r="H141" s="70">
        <f t="shared" si="8"/>
        <v>0</v>
      </c>
      <c r="I141" s="11">
        <f t="shared" ca="1" si="12"/>
        <v>46119</v>
      </c>
      <c r="J141" s="11">
        <f t="shared" ca="1" si="9"/>
        <v>46118</v>
      </c>
      <c r="K141" s="13"/>
    </row>
    <row r="142" spans="1:11" ht="18" x14ac:dyDescent="0.4">
      <c r="A142" s="7" t="s">
        <v>98</v>
      </c>
      <c r="B142" s="86" t="s">
        <v>137</v>
      </c>
      <c r="C142" s="8">
        <v>36019</v>
      </c>
      <c r="D142" s="9">
        <v>552831540</v>
      </c>
      <c r="E142" s="57">
        <v>400</v>
      </c>
      <c r="F142" s="10" t="s">
        <v>131</v>
      </c>
      <c r="G142" s="88">
        <v>0</v>
      </c>
      <c r="H142" s="70">
        <f t="shared" si="8"/>
        <v>0</v>
      </c>
      <c r="I142" s="11">
        <f t="shared" ca="1" si="12"/>
        <v>46119</v>
      </c>
      <c r="J142" s="11">
        <f t="shared" ca="1" si="9"/>
        <v>46118</v>
      </c>
      <c r="K142" s="13"/>
    </row>
    <row r="143" spans="1:11" ht="18" x14ac:dyDescent="0.4">
      <c r="A143" s="7" t="s">
        <v>98</v>
      </c>
      <c r="B143" s="86" t="s">
        <v>137</v>
      </c>
      <c r="C143" s="8">
        <v>36019</v>
      </c>
      <c r="D143" s="9">
        <v>187517280</v>
      </c>
      <c r="E143" s="57">
        <v>400</v>
      </c>
      <c r="F143" s="10" t="s">
        <v>132</v>
      </c>
      <c r="G143" s="88">
        <v>0</v>
      </c>
      <c r="H143" s="70">
        <f t="shared" si="8"/>
        <v>0</v>
      </c>
      <c r="I143" s="11">
        <f t="shared" ca="1" si="12"/>
        <v>46119</v>
      </c>
      <c r="J143" s="11">
        <f t="shared" ca="1" si="9"/>
        <v>46118</v>
      </c>
      <c r="K143" s="13"/>
    </row>
    <row r="144" spans="1:11" ht="18" x14ac:dyDescent="0.4">
      <c r="A144" s="7" t="s">
        <v>98</v>
      </c>
      <c r="B144" s="86" t="s">
        <v>137</v>
      </c>
      <c r="C144" s="8">
        <v>36019</v>
      </c>
      <c r="D144" s="9">
        <v>552822460</v>
      </c>
      <c r="E144" s="57">
        <v>650</v>
      </c>
      <c r="F144" s="10" t="s">
        <v>133</v>
      </c>
      <c r="G144" s="88">
        <v>0</v>
      </c>
      <c r="H144" s="70">
        <f t="shared" si="8"/>
        <v>0</v>
      </c>
      <c r="I144" s="11">
        <f t="shared" ca="1" si="12"/>
        <v>46119</v>
      </c>
      <c r="J144" s="11">
        <f t="shared" ca="1" si="9"/>
        <v>46118</v>
      </c>
      <c r="K144" s="13"/>
    </row>
    <row r="145" spans="1:11" ht="18" x14ac:dyDescent="0.4">
      <c r="A145" s="7" t="s">
        <v>98</v>
      </c>
      <c r="B145" s="86" t="s">
        <v>137</v>
      </c>
      <c r="C145" s="8">
        <v>36019</v>
      </c>
      <c r="D145" s="9">
        <v>552821610</v>
      </c>
      <c r="E145" s="57">
        <v>150</v>
      </c>
      <c r="F145" s="10" t="s">
        <v>134</v>
      </c>
      <c r="G145" s="88">
        <v>0</v>
      </c>
      <c r="H145" s="70">
        <f t="shared" si="8"/>
        <v>0</v>
      </c>
      <c r="I145" s="11">
        <f t="shared" ca="1" si="12"/>
        <v>46119</v>
      </c>
      <c r="J145" s="11">
        <f t="shared" ca="1" si="9"/>
        <v>46118</v>
      </c>
      <c r="K145" s="13"/>
    </row>
    <row r="146" spans="1:11" ht="18" x14ac:dyDescent="0.4">
      <c r="A146" s="7" t="s">
        <v>98</v>
      </c>
      <c r="B146" s="86" t="s">
        <v>137</v>
      </c>
      <c r="C146" s="8">
        <v>36019</v>
      </c>
      <c r="D146" s="9">
        <v>552842370</v>
      </c>
      <c r="E146" s="57">
        <v>400</v>
      </c>
      <c r="F146" s="10" t="s">
        <v>135</v>
      </c>
      <c r="G146" s="88">
        <v>0</v>
      </c>
      <c r="H146" s="70">
        <f t="shared" si="8"/>
        <v>0</v>
      </c>
      <c r="I146" s="11">
        <f t="shared" ca="1" si="12"/>
        <v>46119</v>
      </c>
      <c r="J146" s="11">
        <f t="shared" ca="1" si="9"/>
        <v>46118</v>
      </c>
      <c r="K146" s="13"/>
    </row>
    <row r="147" spans="1:11" ht="18" x14ac:dyDescent="0.4">
      <c r="A147" s="7" t="s">
        <v>98</v>
      </c>
      <c r="B147" s="86" t="s">
        <v>137</v>
      </c>
      <c r="C147" s="8">
        <v>36019</v>
      </c>
      <c r="D147" s="9">
        <v>552821600</v>
      </c>
      <c r="E147" s="57">
        <v>300</v>
      </c>
      <c r="F147" s="10" t="s">
        <v>136</v>
      </c>
      <c r="G147" s="88">
        <v>16800</v>
      </c>
      <c r="H147" s="70">
        <f t="shared" si="8"/>
        <v>56</v>
      </c>
      <c r="I147" s="11">
        <f t="shared" ca="1" si="12"/>
        <v>46119</v>
      </c>
      <c r="J147" s="11">
        <f t="shared" ca="1" si="9"/>
        <v>46118</v>
      </c>
      <c r="K147" s="13"/>
    </row>
    <row r="148" spans="1:11" ht="18" x14ac:dyDescent="0.4">
      <c r="A148" s="7" t="s">
        <v>98</v>
      </c>
      <c r="B148" s="86" t="s">
        <v>137</v>
      </c>
      <c r="C148" s="8">
        <v>36019</v>
      </c>
      <c r="D148" s="9">
        <v>463532640</v>
      </c>
      <c r="E148" s="57">
        <v>1100</v>
      </c>
      <c r="F148" s="10" t="s">
        <v>194</v>
      </c>
      <c r="G148" s="88">
        <v>0</v>
      </c>
      <c r="H148" s="70">
        <f t="shared" si="8"/>
        <v>0</v>
      </c>
      <c r="I148" s="11">
        <f ca="1">I140</f>
        <v>46119</v>
      </c>
      <c r="J148" s="11">
        <f t="shared" ca="1" si="9"/>
        <v>46118</v>
      </c>
      <c r="K148" s="13"/>
    </row>
    <row r="149" spans="1:11" ht="18" x14ac:dyDescent="0.4">
      <c r="A149" s="7" t="s">
        <v>98</v>
      </c>
      <c r="B149" s="86" t="s">
        <v>137</v>
      </c>
      <c r="C149" s="8">
        <v>36019</v>
      </c>
      <c r="D149" s="9">
        <v>463532650</v>
      </c>
      <c r="E149" s="57">
        <v>800</v>
      </c>
      <c r="F149" s="10" t="s">
        <v>195</v>
      </c>
      <c r="G149" s="88">
        <v>36000</v>
      </c>
      <c r="H149" s="70">
        <f t="shared" si="8"/>
        <v>45</v>
      </c>
      <c r="I149" s="11">
        <f t="shared" ref="I149:I150" ca="1" si="15">I141</f>
        <v>46119</v>
      </c>
      <c r="J149" s="11">
        <f t="shared" ca="1" si="9"/>
        <v>46118</v>
      </c>
      <c r="K149" s="13"/>
    </row>
    <row r="150" spans="1:11" ht="18" x14ac:dyDescent="0.4">
      <c r="A150" s="7" t="s">
        <v>98</v>
      </c>
      <c r="B150" s="86" t="s">
        <v>703</v>
      </c>
      <c r="C150" s="8">
        <v>51658</v>
      </c>
      <c r="D150" s="9">
        <v>463485610</v>
      </c>
      <c r="E150" s="57">
        <v>600</v>
      </c>
      <c r="F150" s="10" t="s">
        <v>404</v>
      </c>
      <c r="G150" s="88">
        <v>0</v>
      </c>
      <c r="H150" s="70">
        <f t="shared" si="8"/>
        <v>0</v>
      </c>
      <c r="I150" s="11">
        <f t="shared" ca="1" si="15"/>
        <v>46119</v>
      </c>
      <c r="J150" s="11">
        <f t="shared" ca="1" si="9"/>
        <v>46118</v>
      </c>
      <c r="K150" s="13"/>
    </row>
    <row r="151" spans="1:11" ht="18" x14ac:dyDescent="0.4">
      <c r="A151" s="7" t="s">
        <v>98</v>
      </c>
      <c r="B151" s="86" t="s">
        <v>703</v>
      </c>
      <c r="C151" s="8">
        <v>51658</v>
      </c>
      <c r="D151" s="9">
        <v>463485620</v>
      </c>
      <c r="E151" s="57">
        <v>600</v>
      </c>
      <c r="F151" s="10" t="s">
        <v>405</v>
      </c>
      <c r="G151" s="88">
        <v>0</v>
      </c>
      <c r="H151" s="70">
        <f t="shared" si="8"/>
        <v>0</v>
      </c>
      <c r="I151" s="11">
        <f t="shared" ref="I151:I157" ca="1" si="16">I121</f>
        <v>46119</v>
      </c>
      <c r="J151" s="11">
        <f t="shared" ca="1" si="9"/>
        <v>46118</v>
      </c>
      <c r="K151" s="13"/>
    </row>
    <row r="152" spans="1:11" ht="18" x14ac:dyDescent="0.4">
      <c r="A152" s="7" t="s">
        <v>98</v>
      </c>
      <c r="B152" s="86" t="s">
        <v>703</v>
      </c>
      <c r="C152" s="8">
        <v>51658</v>
      </c>
      <c r="D152" s="9">
        <v>463485630</v>
      </c>
      <c r="E152" s="57">
        <v>600</v>
      </c>
      <c r="F152" s="10" t="s">
        <v>406</v>
      </c>
      <c r="G152" s="88">
        <v>0</v>
      </c>
      <c r="H152" s="70">
        <f t="shared" si="8"/>
        <v>0</v>
      </c>
      <c r="I152" s="11">
        <f t="shared" ca="1" si="16"/>
        <v>46119</v>
      </c>
      <c r="J152" s="11">
        <f t="shared" ca="1" si="9"/>
        <v>46118</v>
      </c>
      <c r="K152" s="13"/>
    </row>
    <row r="153" spans="1:11" ht="18" x14ac:dyDescent="0.4">
      <c r="A153" s="7" t="s">
        <v>98</v>
      </c>
      <c r="B153" s="86" t="s">
        <v>703</v>
      </c>
      <c r="C153" s="8">
        <v>51658</v>
      </c>
      <c r="D153" s="9">
        <v>463485640</v>
      </c>
      <c r="E153" s="57">
        <v>600</v>
      </c>
      <c r="F153" s="10" t="s">
        <v>704</v>
      </c>
      <c r="G153" s="88">
        <v>0</v>
      </c>
      <c r="H153" s="70">
        <f t="shared" si="8"/>
        <v>0</v>
      </c>
      <c r="I153" s="11">
        <f t="shared" ca="1" si="16"/>
        <v>46119</v>
      </c>
      <c r="J153" s="11">
        <f t="shared" ca="1" si="9"/>
        <v>46118</v>
      </c>
      <c r="K153" s="13"/>
    </row>
    <row r="154" spans="1:11" ht="18" x14ac:dyDescent="0.4">
      <c r="A154" s="7" t="s">
        <v>98</v>
      </c>
      <c r="B154" s="86" t="s">
        <v>703</v>
      </c>
      <c r="C154" s="8">
        <v>51658</v>
      </c>
      <c r="D154" s="9">
        <v>463485650</v>
      </c>
      <c r="E154" s="57">
        <v>600</v>
      </c>
      <c r="F154" s="10" t="s">
        <v>704</v>
      </c>
      <c r="G154" s="88">
        <v>0</v>
      </c>
      <c r="H154" s="70">
        <f t="shared" si="8"/>
        <v>0</v>
      </c>
      <c r="I154" s="11">
        <f t="shared" ca="1" si="16"/>
        <v>46119</v>
      </c>
      <c r="J154" s="11">
        <f t="shared" ca="1" si="9"/>
        <v>46118</v>
      </c>
      <c r="K154" s="13"/>
    </row>
    <row r="155" spans="1:11" ht="18" x14ac:dyDescent="0.4">
      <c r="A155" s="7" t="s">
        <v>98</v>
      </c>
      <c r="B155" s="86" t="s">
        <v>703</v>
      </c>
      <c r="C155" s="8">
        <v>51658</v>
      </c>
      <c r="D155" s="9">
        <v>463485660</v>
      </c>
      <c r="E155" s="57">
        <v>600</v>
      </c>
      <c r="F155" s="10" t="s">
        <v>704</v>
      </c>
      <c r="G155" s="88">
        <v>0</v>
      </c>
      <c r="H155" s="70">
        <f t="shared" si="8"/>
        <v>0</v>
      </c>
      <c r="I155" s="11">
        <f t="shared" ca="1" si="16"/>
        <v>46119</v>
      </c>
      <c r="J155" s="11">
        <f t="shared" ca="1" si="9"/>
        <v>46118</v>
      </c>
      <c r="K155" s="13"/>
    </row>
    <row r="156" spans="1:11" ht="18" x14ac:dyDescent="0.4">
      <c r="A156" s="7" t="s">
        <v>98</v>
      </c>
      <c r="B156" s="86" t="s">
        <v>703</v>
      </c>
      <c r="C156" s="8">
        <v>51658</v>
      </c>
      <c r="D156" s="9">
        <v>463485380</v>
      </c>
      <c r="E156" s="57">
        <v>400</v>
      </c>
      <c r="F156" s="10" t="s">
        <v>144</v>
      </c>
      <c r="G156" s="88">
        <v>0</v>
      </c>
      <c r="H156" s="70">
        <f t="shared" si="8"/>
        <v>0</v>
      </c>
      <c r="I156" s="11">
        <f t="shared" ca="1" si="16"/>
        <v>46119</v>
      </c>
      <c r="J156" s="11">
        <f t="shared" ca="1" si="9"/>
        <v>46118</v>
      </c>
      <c r="K156" s="13"/>
    </row>
    <row r="157" spans="1:11" ht="18" x14ac:dyDescent="0.4">
      <c r="A157" s="7" t="s">
        <v>98</v>
      </c>
      <c r="B157" s="86" t="s">
        <v>703</v>
      </c>
      <c r="C157" s="8">
        <v>51658</v>
      </c>
      <c r="D157" s="9">
        <v>463485390</v>
      </c>
      <c r="E157" s="57">
        <v>400</v>
      </c>
      <c r="F157" s="10" t="s">
        <v>145</v>
      </c>
      <c r="G157" s="88">
        <v>8000</v>
      </c>
      <c r="H157" s="70">
        <f t="shared" si="8"/>
        <v>20</v>
      </c>
      <c r="I157" s="11">
        <f t="shared" ca="1" si="16"/>
        <v>46119</v>
      </c>
      <c r="J157" s="11">
        <f t="shared" ca="1" si="9"/>
        <v>46118</v>
      </c>
      <c r="K157" s="13"/>
    </row>
    <row r="158" spans="1:11" ht="18" x14ac:dyDescent="0.4">
      <c r="A158" s="7" t="s">
        <v>98</v>
      </c>
      <c r="B158" s="86" t="s">
        <v>703</v>
      </c>
      <c r="C158" s="8">
        <v>51658</v>
      </c>
      <c r="D158" s="9">
        <v>463485400</v>
      </c>
      <c r="E158" s="57">
        <v>400</v>
      </c>
      <c r="F158" s="10" t="s">
        <v>146</v>
      </c>
      <c r="G158" s="88">
        <v>0</v>
      </c>
      <c r="H158" s="70">
        <f t="shared" si="8"/>
        <v>0</v>
      </c>
      <c r="I158" s="11">
        <f ca="1">I129</f>
        <v>46119</v>
      </c>
      <c r="J158" s="11">
        <f t="shared" ca="1" si="9"/>
        <v>46118</v>
      </c>
      <c r="K158" s="13"/>
    </row>
    <row r="159" spans="1:11" ht="18" x14ac:dyDescent="0.4">
      <c r="A159" s="7" t="s">
        <v>98</v>
      </c>
      <c r="B159" s="86" t="s">
        <v>703</v>
      </c>
      <c r="C159" s="8">
        <v>51658</v>
      </c>
      <c r="D159" s="9">
        <v>463485440</v>
      </c>
      <c r="E159" s="57">
        <v>400</v>
      </c>
      <c r="F159" s="10" t="s">
        <v>147</v>
      </c>
      <c r="G159" s="88">
        <v>0</v>
      </c>
      <c r="H159" s="70">
        <f t="shared" si="8"/>
        <v>0</v>
      </c>
      <c r="I159" s="11">
        <f ca="1">I148</f>
        <v>46119</v>
      </c>
      <c r="J159" s="11">
        <f t="shared" ca="1" si="9"/>
        <v>46118</v>
      </c>
      <c r="K159" s="13"/>
    </row>
    <row r="160" spans="1:11" ht="18" x14ac:dyDescent="0.4">
      <c r="A160" s="7" t="s">
        <v>98</v>
      </c>
      <c r="B160" s="86" t="s">
        <v>703</v>
      </c>
      <c r="C160" s="8">
        <v>51658</v>
      </c>
      <c r="D160" s="9">
        <v>463485450</v>
      </c>
      <c r="E160" s="57">
        <v>400</v>
      </c>
      <c r="F160" s="10" t="s">
        <v>148</v>
      </c>
      <c r="G160" s="88">
        <v>0</v>
      </c>
      <c r="H160" s="70">
        <f t="shared" si="8"/>
        <v>0</v>
      </c>
      <c r="I160" s="11">
        <f t="shared" ca="1" si="12"/>
        <v>46119</v>
      </c>
      <c r="J160" s="11">
        <f t="shared" ca="1" si="9"/>
        <v>46118</v>
      </c>
      <c r="K160" s="13"/>
    </row>
    <row r="161" spans="1:11" ht="18" x14ac:dyDescent="0.4">
      <c r="A161" s="7" t="s">
        <v>98</v>
      </c>
      <c r="B161" s="86" t="s">
        <v>703</v>
      </c>
      <c r="C161" s="8">
        <v>51658</v>
      </c>
      <c r="D161" s="9">
        <v>463485460</v>
      </c>
      <c r="E161" s="57">
        <v>400</v>
      </c>
      <c r="F161" s="10" t="s">
        <v>149</v>
      </c>
      <c r="G161" s="88">
        <v>0</v>
      </c>
      <c r="H161" s="70">
        <f t="shared" si="8"/>
        <v>0</v>
      </c>
      <c r="I161" s="11">
        <f t="shared" ca="1" si="12"/>
        <v>46119</v>
      </c>
      <c r="J161" s="11">
        <f t="shared" ca="1" si="9"/>
        <v>46118</v>
      </c>
      <c r="K161" s="13"/>
    </row>
    <row r="162" spans="1:11" ht="18" x14ac:dyDescent="0.4">
      <c r="A162" s="7" t="s">
        <v>98</v>
      </c>
      <c r="B162" s="86" t="s">
        <v>703</v>
      </c>
      <c r="C162" s="8">
        <v>51658</v>
      </c>
      <c r="D162" s="9">
        <v>463563890</v>
      </c>
      <c r="E162" s="57">
        <v>400</v>
      </c>
      <c r="F162" s="10" t="s">
        <v>149</v>
      </c>
      <c r="G162" s="88">
        <v>0</v>
      </c>
      <c r="H162" s="70">
        <f t="shared" si="8"/>
        <v>0</v>
      </c>
      <c r="I162" s="11">
        <f t="shared" ca="1" si="12"/>
        <v>46119</v>
      </c>
      <c r="J162" s="11">
        <f t="shared" ca="1" si="9"/>
        <v>46118</v>
      </c>
      <c r="K162" s="13"/>
    </row>
    <row r="163" spans="1:11" ht="18" x14ac:dyDescent="0.4">
      <c r="A163" s="7" t="s">
        <v>98</v>
      </c>
      <c r="B163" s="86" t="s">
        <v>703</v>
      </c>
      <c r="C163" s="8">
        <v>51658</v>
      </c>
      <c r="D163" s="9">
        <v>463563900</v>
      </c>
      <c r="E163" s="57">
        <v>400</v>
      </c>
      <c r="F163" s="10" t="s">
        <v>149</v>
      </c>
      <c r="G163" s="88">
        <v>0</v>
      </c>
      <c r="H163" s="70">
        <f t="shared" si="8"/>
        <v>0</v>
      </c>
      <c r="I163" s="11">
        <f t="shared" ca="1" si="12"/>
        <v>46119</v>
      </c>
      <c r="J163" s="11">
        <f t="shared" ca="1" si="9"/>
        <v>46118</v>
      </c>
      <c r="K163" s="13"/>
    </row>
    <row r="164" spans="1:11" ht="18" x14ac:dyDescent="0.4">
      <c r="A164" s="7" t="s">
        <v>98</v>
      </c>
      <c r="B164" s="86" t="s">
        <v>703</v>
      </c>
      <c r="C164" s="8">
        <v>51658</v>
      </c>
      <c r="D164" s="9">
        <v>463563910</v>
      </c>
      <c r="E164" s="57">
        <v>400</v>
      </c>
      <c r="F164" s="10" t="s">
        <v>149</v>
      </c>
      <c r="G164" s="88">
        <v>0</v>
      </c>
      <c r="H164" s="70">
        <f t="shared" si="8"/>
        <v>0</v>
      </c>
      <c r="I164" s="11">
        <f t="shared" ca="1" si="12"/>
        <v>46119</v>
      </c>
      <c r="J164" s="11">
        <f t="shared" ca="1" si="9"/>
        <v>46118</v>
      </c>
      <c r="K164" s="13"/>
    </row>
    <row r="165" spans="1:11" ht="18" x14ac:dyDescent="0.4">
      <c r="A165" s="7" t="s">
        <v>98</v>
      </c>
      <c r="B165" s="85" t="s">
        <v>703</v>
      </c>
      <c r="C165" s="8">
        <v>51658</v>
      </c>
      <c r="D165" s="9">
        <v>463563950</v>
      </c>
      <c r="E165" s="57">
        <v>400</v>
      </c>
      <c r="F165" s="10" t="s">
        <v>149</v>
      </c>
      <c r="G165" s="88">
        <v>8000</v>
      </c>
      <c r="H165" s="70">
        <f t="shared" si="8"/>
        <v>20</v>
      </c>
      <c r="I165" s="11">
        <f t="shared" ca="1" si="12"/>
        <v>46119</v>
      </c>
      <c r="J165" s="11">
        <f t="shared" ca="1" si="9"/>
        <v>46118</v>
      </c>
      <c r="K165" s="13"/>
    </row>
    <row r="166" spans="1:11" ht="18" x14ac:dyDescent="0.4">
      <c r="A166" s="7" t="s">
        <v>98</v>
      </c>
      <c r="B166" s="85" t="s">
        <v>703</v>
      </c>
      <c r="C166" s="8">
        <v>51658</v>
      </c>
      <c r="D166" s="9">
        <v>463563960</v>
      </c>
      <c r="E166" s="57">
        <v>400</v>
      </c>
      <c r="F166" s="10" t="s">
        <v>149</v>
      </c>
      <c r="G166" s="88">
        <v>0</v>
      </c>
      <c r="H166" s="70">
        <f t="shared" si="8"/>
        <v>0</v>
      </c>
      <c r="I166" s="11">
        <f t="shared" ca="1" si="12"/>
        <v>46119</v>
      </c>
      <c r="J166" s="11">
        <f t="shared" ca="1" si="9"/>
        <v>46118</v>
      </c>
      <c r="K166" s="13"/>
    </row>
    <row r="167" spans="1:11" ht="18" x14ac:dyDescent="0.4">
      <c r="A167" s="7" t="s">
        <v>98</v>
      </c>
      <c r="B167" s="85" t="s">
        <v>703</v>
      </c>
      <c r="C167" s="8">
        <v>51658</v>
      </c>
      <c r="D167" s="9">
        <v>463563970</v>
      </c>
      <c r="E167" s="57">
        <v>400</v>
      </c>
      <c r="F167" s="10" t="s">
        <v>149</v>
      </c>
      <c r="G167" s="88">
        <v>0</v>
      </c>
      <c r="H167" s="70">
        <f t="shared" si="8"/>
        <v>0</v>
      </c>
      <c r="I167" s="11">
        <f t="shared" ca="1" si="12"/>
        <v>46119</v>
      </c>
      <c r="J167" s="11">
        <f t="shared" ca="1" si="9"/>
        <v>46118</v>
      </c>
      <c r="K167" s="13"/>
    </row>
    <row r="168" spans="1:11" ht="18" x14ac:dyDescent="0.4">
      <c r="A168" s="7" t="s">
        <v>98</v>
      </c>
      <c r="B168" s="85" t="s">
        <v>703</v>
      </c>
      <c r="C168" s="8">
        <v>51620</v>
      </c>
      <c r="D168" s="9">
        <v>463485280</v>
      </c>
      <c r="E168" s="57">
        <v>840</v>
      </c>
      <c r="F168" s="10" t="s">
        <v>150</v>
      </c>
      <c r="G168" s="88">
        <v>0</v>
      </c>
      <c r="H168" s="70">
        <f t="shared" si="8"/>
        <v>0</v>
      </c>
      <c r="I168" s="11">
        <f t="shared" ca="1" si="12"/>
        <v>46119</v>
      </c>
      <c r="J168" s="11">
        <f t="shared" ca="1" si="9"/>
        <v>46118</v>
      </c>
      <c r="K168" s="13"/>
    </row>
    <row r="169" spans="1:11" ht="18" x14ac:dyDescent="0.4">
      <c r="A169" s="7" t="s">
        <v>98</v>
      </c>
      <c r="B169" s="85" t="s">
        <v>703</v>
      </c>
      <c r="C169" s="8">
        <v>51620</v>
      </c>
      <c r="D169" s="9">
        <v>463485300</v>
      </c>
      <c r="E169" s="57">
        <v>840</v>
      </c>
      <c r="F169" s="10" t="s">
        <v>151</v>
      </c>
      <c r="G169" s="88">
        <v>5040</v>
      </c>
      <c r="H169" s="70">
        <f t="shared" si="8"/>
        <v>6</v>
      </c>
      <c r="I169" s="11">
        <f t="shared" ca="1" si="12"/>
        <v>46119</v>
      </c>
      <c r="J169" s="11">
        <f t="shared" ca="1" si="9"/>
        <v>46118</v>
      </c>
      <c r="K169" s="13"/>
    </row>
    <row r="170" spans="1:11" ht="18" x14ac:dyDescent="0.4">
      <c r="A170" s="7" t="s">
        <v>98</v>
      </c>
      <c r="B170" s="85" t="s">
        <v>703</v>
      </c>
      <c r="C170" s="8">
        <v>51620</v>
      </c>
      <c r="D170" s="9">
        <v>463485320</v>
      </c>
      <c r="E170" s="57">
        <v>840</v>
      </c>
      <c r="F170" s="10" t="s">
        <v>152</v>
      </c>
      <c r="G170" s="88">
        <v>0</v>
      </c>
      <c r="H170" s="70">
        <f t="shared" si="8"/>
        <v>0</v>
      </c>
      <c r="I170" s="11">
        <f t="shared" ca="1" si="12"/>
        <v>46119</v>
      </c>
      <c r="J170" s="11">
        <f t="shared" ca="1" si="9"/>
        <v>46118</v>
      </c>
      <c r="K170" s="13"/>
    </row>
    <row r="171" spans="1:11" ht="18" x14ac:dyDescent="0.4">
      <c r="A171" s="7" t="s">
        <v>98</v>
      </c>
      <c r="B171" s="85" t="s">
        <v>705</v>
      </c>
      <c r="C171" s="8">
        <v>73860</v>
      </c>
      <c r="D171" s="9">
        <v>463592990</v>
      </c>
      <c r="E171" s="57">
        <v>500</v>
      </c>
      <c r="F171" s="10" t="s">
        <v>706</v>
      </c>
      <c r="G171" s="88">
        <v>0</v>
      </c>
      <c r="H171" s="70">
        <f t="shared" si="8"/>
        <v>0</v>
      </c>
      <c r="I171" s="11">
        <f t="shared" ca="1" si="12"/>
        <v>46119</v>
      </c>
      <c r="J171" s="11">
        <f t="shared" ca="1" si="9"/>
        <v>46118</v>
      </c>
      <c r="K171" s="13"/>
    </row>
    <row r="172" spans="1:11" ht="18" x14ac:dyDescent="0.4">
      <c r="A172" s="7" t="s">
        <v>98</v>
      </c>
      <c r="B172" s="85" t="s">
        <v>705</v>
      </c>
      <c r="C172" s="8">
        <v>73860</v>
      </c>
      <c r="D172" s="9">
        <v>463593000</v>
      </c>
      <c r="E172" s="57">
        <v>500</v>
      </c>
      <c r="F172" s="10" t="s">
        <v>706</v>
      </c>
      <c r="G172" s="88">
        <v>0</v>
      </c>
      <c r="H172" s="70">
        <f t="shared" si="8"/>
        <v>0</v>
      </c>
      <c r="I172" s="11">
        <f t="shared" ca="1" si="12"/>
        <v>46119</v>
      </c>
      <c r="J172" s="11">
        <f t="shared" ca="1" si="9"/>
        <v>46118</v>
      </c>
      <c r="K172" s="13"/>
    </row>
    <row r="173" spans="1:11" ht="18" x14ac:dyDescent="0.4">
      <c r="A173" s="7" t="s">
        <v>98</v>
      </c>
      <c r="B173" s="85" t="s">
        <v>707</v>
      </c>
      <c r="C173" s="8">
        <v>49630</v>
      </c>
      <c r="D173" s="9">
        <v>463476050</v>
      </c>
      <c r="E173" s="57">
        <v>720</v>
      </c>
      <c r="F173" s="10" t="s">
        <v>157</v>
      </c>
      <c r="G173" s="88">
        <v>720</v>
      </c>
      <c r="H173" s="70">
        <f t="shared" si="8"/>
        <v>1</v>
      </c>
      <c r="I173" s="11">
        <f ca="1">I168</f>
        <v>46119</v>
      </c>
      <c r="J173" s="11">
        <f t="shared" ca="1" si="9"/>
        <v>46118</v>
      </c>
      <c r="K173" s="8"/>
    </row>
    <row r="174" spans="1:11" ht="18" x14ac:dyDescent="0.4">
      <c r="A174" s="7" t="s">
        <v>98</v>
      </c>
      <c r="B174" s="85" t="s">
        <v>708</v>
      </c>
      <c r="C174" s="8">
        <v>73850</v>
      </c>
      <c r="D174" s="9">
        <v>463491430</v>
      </c>
      <c r="E174" s="57">
        <v>600</v>
      </c>
      <c r="F174" s="10" t="s">
        <v>159</v>
      </c>
      <c r="G174" s="88">
        <v>2400</v>
      </c>
      <c r="H174" s="70">
        <f t="shared" si="8"/>
        <v>4</v>
      </c>
      <c r="I174" s="11">
        <f ca="1">I169</f>
        <v>46119</v>
      </c>
      <c r="J174" s="11">
        <f t="shared" ca="1" si="9"/>
        <v>46118</v>
      </c>
      <c r="K174" s="8"/>
    </row>
    <row r="175" spans="1:11" ht="18" x14ac:dyDescent="0.4">
      <c r="A175" s="7" t="s">
        <v>98</v>
      </c>
      <c r="B175" s="85" t="s">
        <v>708</v>
      </c>
      <c r="C175" s="8">
        <v>73850</v>
      </c>
      <c r="D175" s="9">
        <v>552822510</v>
      </c>
      <c r="E175" s="57">
        <v>1500</v>
      </c>
      <c r="F175" s="10" t="s">
        <v>709</v>
      </c>
      <c r="G175" s="88">
        <v>0</v>
      </c>
      <c r="H175" s="70">
        <f t="shared" ref="H175:H242" si="17">+G175/E175</f>
        <v>0</v>
      </c>
      <c r="I175" s="11">
        <f ca="1">I170</f>
        <v>46119</v>
      </c>
      <c r="J175" s="11">
        <f t="shared" ca="1" si="9"/>
        <v>46118</v>
      </c>
      <c r="K175" s="8"/>
    </row>
    <row r="176" spans="1:11" ht="18" x14ac:dyDescent="0.4">
      <c r="A176" s="7" t="s">
        <v>98</v>
      </c>
      <c r="B176" s="85" t="s">
        <v>708</v>
      </c>
      <c r="C176" s="8">
        <v>73850</v>
      </c>
      <c r="D176" s="9">
        <v>552823610</v>
      </c>
      <c r="E176" s="57">
        <v>1500</v>
      </c>
      <c r="F176" s="10" t="s">
        <v>710</v>
      </c>
      <c r="G176" s="88">
        <v>0</v>
      </c>
      <c r="H176" s="70">
        <f t="shared" si="17"/>
        <v>0</v>
      </c>
      <c r="I176" s="11">
        <f ca="1">I171</f>
        <v>46119</v>
      </c>
      <c r="J176" s="11">
        <f t="shared" ca="1" si="9"/>
        <v>46118</v>
      </c>
      <c r="K176" s="8"/>
    </row>
    <row r="177" spans="1:11" ht="18" x14ac:dyDescent="0.4">
      <c r="A177" s="7" t="s">
        <v>98</v>
      </c>
      <c r="B177" s="85" t="s">
        <v>233</v>
      </c>
      <c r="C177" s="8">
        <v>33132</v>
      </c>
      <c r="D177" s="9">
        <v>552823610</v>
      </c>
      <c r="E177" s="57">
        <v>900</v>
      </c>
      <c r="F177" s="10" t="s">
        <v>234</v>
      </c>
      <c r="G177" s="88">
        <v>900</v>
      </c>
      <c r="H177" s="70">
        <f t="shared" si="17"/>
        <v>1</v>
      </c>
      <c r="I177" s="11">
        <f t="shared" ref="I177:I206" ca="1" si="18">I172</f>
        <v>46119</v>
      </c>
      <c r="J177" s="11">
        <f t="shared" ca="1" si="9"/>
        <v>46118</v>
      </c>
      <c r="K177" s="8"/>
    </row>
    <row r="178" spans="1:11" ht="18" x14ac:dyDescent="0.4">
      <c r="A178" s="7" t="s">
        <v>98</v>
      </c>
      <c r="B178" s="85" t="s">
        <v>160</v>
      </c>
      <c r="C178" s="8">
        <v>40870</v>
      </c>
      <c r="D178" s="9">
        <v>463479340</v>
      </c>
      <c r="E178" s="57">
        <v>100</v>
      </c>
      <c r="F178" s="10" t="s">
        <v>161</v>
      </c>
      <c r="G178" s="88">
        <v>1820</v>
      </c>
      <c r="H178" s="70">
        <f t="shared" si="17"/>
        <v>18.2</v>
      </c>
      <c r="I178" s="11">
        <f t="shared" ca="1" si="18"/>
        <v>46119</v>
      </c>
      <c r="J178" s="11">
        <f t="shared" ca="1" si="9"/>
        <v>46118</v>
      </c>
      <c r="K178" s="8"/>
    </row>
    <row r="179" spans="1:11" ht="18" x14ac:dyDescent="0.4">
      <c r="A179" s="7" t="s">
        <v>98</v>
      </c>
      <c r="B179" s="85" t="s">
        <v>160</v>
      </c>
      <c r="C179" s="8">
        <v>40870</v>
      </c>
      <c r="D179" s="9">
        <v>463479350</v>
      </c>
      <c r="E179" s="57">
        <v>100</v>
      </c>
      <c r="F179" s="10" t="s">
        <v>162</v>
      </c>
      <c r="G179" s="88">
        <v>2100</v>
      </c>
      <c r="H179" s="70">
        <f t="shared" si="17"/>
        <v>21</v>
      </c>
      <c r="I179" s="11">
        <f t="shared" ca="1" si="18"/>
        <v>46119</v>
      </c>
      <c r="J179" s="11">
        <f t="shared" ca="1" si="9"/>
        <v>46118</v>
      </c>
      <c r="K179" s="8"/>
    </row>
    <row r="180" spans="1:11" ht="18" x14ac:dyDescent="0.4">
      <c r="A180" s="7" t="s">
        <v>98</v>
      </c>
      <c r="B180" s="85" t="s">
        <v>163</v>
      </c>
      <c r="C180" s="8">
        <v>10675</v>
      </c>
      <c r="D180" s="9">
        <v>552822300</v>
      </c>
      <c r="E180" s="57">
        <v>7200</v>
      </c>
      <c r="F180" s="10" t="s">
        <v>164</v>
      </c>
      <c r="G180" s="88">
        <v>0</v>
      </c>
      <c r="H180" s="70">
        <f t="shared" si="17"/>
        <v>0</v>
      </c>
      <c r="I180" s="11">
        <f t="shared" ca="1" si="18"/>
        <v>46119</v>
      </c>
      <c r="J180" s="11">
        <f t="shared" ref="J180:J245" ca="1" si="19">TODAY()</f>
        <v>46118</v>
      </c>
      <c r="K180" s="8"/>
    </row>
    <row r="181" spans="1:11" ht="18" x14ac:dyDescent="0.4">
      <c r="A181" s="7" t="s">
        <v>98</v>
      </c>
      <c r="B181" s="85" t="s">
        <v>163</v>
      </c>
      <c r="C181" s="8">
        <v>10675</v>
      </c>
      <c r="D181" s="9">
        <v>552822310</v>
      </c>
      <c r="E181" s="57">
        <v>7200</v>
      </c>
      <c r="F181" s="10" t="s">
        <v>165</v>
      </c>
      <c r="G181" s="88">
        <v>14400</v>
      </c>
      <c r="H181" s="70">
        <f t="shared" si="17"/>
        <v>2</v>
      </c>
      <c r="I181" s="11">
        <f t="shared" ca="1" si="18"/>
        <v>46119</v>
      </c>
      <c r="J181" s="11">
        <f t="shared" ca="1" si="19"/>
        <v>46118</v>
      </c>
      <c r="K181" s="8"/>
    </row>
    <row r="182" spans="1:11" ht="18" x14ac:dyDescent="0.4">
      <c r="A182" s="7" t="s">
        <v>98</v>
      </c>
      <c r="B182" s="85" t="s">
        <v>167</v>
      </c>
      <c r="C182" s="8">
        <v>64641</v>
      </c>
      <c r="D182" s="9">
        <v>463543900</v>
      </c>
      <c r="E182" s="57">
        <v>20000</v>
      </c>
      <c r="F182" s="10" t="s">
        <v>168</v>
      </c>
      <c r="G182" s="88">
        <v>0</v>
      </c>
      <c r="H182" s="70">
        <f t="shared" si="17"/>
        <v>0</v>
      </c>
      <c r="I182" s="11">
        <f t="shared" ca="1" si="18"/>
        <v>46119</v>
      </c>
      <c r="J182" s="11">
        <f t="shared" ca="1" si="19"/>
        <v>46118</v>
      </c>
      <c r="K182" s="13"/>
    </row>
    <row r="183" spans="1:11" ht="18" x14ac:dyDescent="0.4">
      <c r="A183" s="7" t="s">
        <v>98</v>
      </c>
      <c r="B183" s="85" t="s">
        <v>703</v>
      </c>
      <c r="C183" s="8">
        <v>15565</v>
      </c>
      <c r="D183" s="9">
        <v>463526200</v>
      </c>
      <c r="E183" s="57">
        <v>30</v>
      </c>
      <c r="F183" s="10" t="s">
        <v>155</v>
      </c>
      <c r="G183" s="88">
        <v>810</v>
      </c>
      <c r="H183" s="70">
        <f t="shared" si="17"/>
        <v>27</v>
      </c>
      <c r="I183" s="11">
        <f t="shared" ca="1" si="18"/>
        <v>46119</v>
      </c>
      <c r="J183" s="11">
        <f t="shared" ca="1" si="19"/>
        <v>46118</v>
      </c>
      <c r="K183" s="13"/>
    </row>
    <row r="184" spans="1:11" ht="18" x14ac:dyDescent="0.4">
      <c r="A184" s="7" t="s">
        <v>98</v>
      </c>
      <c r="B184" s="85" t="s">
        <v>703</v>
      </c>
      <c r="C184" s="8">
        <v>15565</v>
      </c>
      <c r="D184" s="9">
        <v>463548380</v>
      </c>
      <c r="E184" s="57">
        <v>30</v>
      </c>
      <c r="F184" s="10" t="s">
        <v>155</v>
      </c>
      <c r="G184" s="88">
        <v>900</v>
      </c>
      <c r="H184" s="70">
        <f t="shared" si="17"/>
        <v>30</v>
      </c>
      <c r="I184" s="11">
        <f t="shared" ca="1" si="18"/>
        <v>46119</v>
      </c>
      <c r="J184" s="11">
        <f t="shared" ca="1" si="19"/>
        <v>46118</v>
      </c>
      <c r="K184" s="8"/>
    </row>
    <row r="185" spans="1:11" ht="18" x14ac:dyDescent="0.4">
      <c r="A185" s="7" t="s">
        <v>98</v>
      </c>
      <c r="B185" s="85" t="s">
        <v>703</v>
      </c>
      <c r="C185" s="8">
        <v>15565</v>
      </c>
      <c r="D185" s="9">
        <v>463496640</v>
      </c>
      <c r="E185" s="57">
        <v>30</v>
      </c>
      <c r="F185" s="10" t="s">
        <v>155</v>
      </c>
      <c r="G185" s="88">
        <v>120</v>
      </c>
      <c r="H185" s="70">
        <f t="shared" ref="H185" si="20">+G185/E185</f>
        <v>4</v>
      </c>
      <c r="I185" s="11">
        <f t="shared" ca="1" si="18"/>
        <v>46119</v>
      </c>
      <c r="J185" s="11">
        <f t="shared" ca="1" si="19"/>
        <v>46118</v>
      </c>
      <c r="K185" s="13"/>
    </row>
    <row r="186" spans="1:11" ht="18" x14ac:dyDescent="0.4">
      <c r="A186" s="7" t="s">
        <v>98</v>
      </c>
      <c r="B186" s="85" t="s">
        <v>169</v>
      </c>
      <c r="C186" s="8">
        <v>31610</v>
      </c>
      <c r="D186" s="9">
        <v>463595330</v>
      </c>
      <c r="E186" s="57">
        <v>40</v>
      </c>
      <c r="F186" s="10" t="s">
        <v>711</v>
      </c>
      <c r="G186" s="88">
        <v>0</v>
      </c>
      <c r="H186" s="70">
        <v>0</v>
      </c>
      <c r="I186" s="11">
        <f t="shared" ca="1" si="18"/>
        <v>46119</v>
      </c>
      <c r="J186" s="11">
        <v>46008</v>
      </c>
      <c r="K186" s="8"/>
    </row>
    <row r="187" spans="1:11" ht="18" x14ac:dyDescent="0.4">
      <c r="A187" s="7" t="s">
        <v>98</v>
      </c>
      <c r="B187" s="85" t="s">
        <v>169</v>
      </c>
      <c r="C187" s="8">
        <v>31610</v>
      </c>
      <c r="D187" s="9">
        <v>552822380</v>
      </c>
      <c r="E187" s="57">
        <v>600</v>
      </c>
      <c r="F187" s="10" t="s">
        <v>170</v>
      </c>
      <c r="G187" s="88">
        <v>1200</v>
      </c>
      <c r="H187" s="70">
        <f t="shared" si="17"/>
        <v>2</v>
      </c>
      <c r="I187" s="11">
        <f t="shared" ca="1" si="18"/>
        <v>46119</v>
      </c>
      <c r="J187" s="11">
        <f t="shared" ca="1" si="19"/>
        <v>46118</v>
      </c>
      <c r="K187" s="13"/>
    </row>
    <row r="188" spans="1:11" ht="18" x14ac:dyDescent="0.4">
      <c r="A188" s="7" t="s">
        <v>98</v>
      </c>
      <c r="B188" s="85" t="s">
        <v>169</v>
      </c>
      <c r="C188" s="8">
        <v>31610</v>
      </c>
      <c r="D188" s="9">
        <v>463572030</v>
      </c>
      <c r="E188" s="57">
        <v>600</v>
      </c>
      <c r="F188" s="10" t="s">
        <v>171</v>
      </c>
      <c r="G188" s="88">
        <v>1040</v>
      </c>
      <c r="H188" s="70">
        <f t="shared" si="17"/>
        <v>1.7333333333333334</v>
      </c>
      <c r="I188" s="11">
        <f t="shared" ca="1" si="18"/>
        <v>46119</v>
      </c>
      <c r="J188" s="11">
        <f t="shared" ca="1" si="19"/>
        <v>46118</v>
      </c>
      <c r="K188" s="13"/>
    </row>
    <row r="189" spans="1:11" ht="18" x14ac:dyDescent="0.4">
      <c r="A189" s="7" t="s">
        <v>98</v>
      </c>
      <c r="B189" s="85" t="s">
        <v>169</v>
      </c>
      <c r="C189" s="8">
        <v>31610</v>
      </c>
      <c r="D189" s="9">
        <v>463572050</v>
      </c>
      <c r="E189" s="57">
        <v>600</v>
      </c>
      <c r="F189" s="10" t="s">
        <v>172</v>
      </c>
      <c r="G189" s="88">
        <v>800</v>
      </c>
      <c r="H189" s="70">
        <f t="shared" si="17"/>
        <v>1.3333333333333333</v>
      </c>
      <c r="I189" s="11">
        <f t="shared" ca="1" si="18"/>
        <v>46119</v>
      </c>
      <c r="J189" s="11">
        <f t="shared" ca="1" si="19"/>
        <v>46118</v>
      </c>
      <c r="K189" s="13"/>
    </row>
    <row r="190" spans="1:11" ht="18" x14ac:dyDescent="0.4">
      <c r="A190" s="7" t="s">
        <v>98</v>
      </c>
      <c r="B190" s="85" t="s">
        <v>169</v>
      </c>
      <c r="C190" s="8">
        <v>31610</v>
      </c>
      <c r="D190" s="9">
        <v>552823560</v>
      </c>
      <c r="E190" s="57">
        <v>600</v>
      </c>
      <c r="F190" s="10" t="s">
        <v>173</v>
      </c>
      <c r="G190" s="88">
        <v>1200</v>
      </c>
      <c r="H190" s="70">
        <f t="shared" si="17"/>
        <v>2</v>
      </c>
      <c r="I190" s="11">
        <f t="shared" ca="1" si="18"/>
        <v>46119</v>
      </c>
      <c r="J190" s="11">
        <f t="shared" ca="1" si="19"/>
        <v>46118</v>
      </c>
      <c r="K190" s="13"/>
    </row>
    <row r="191" spans="1:11" ht="18" x14ac:dyDescent="0.4">
      <c r="A191" s="7" t="s">
        <v>98</v>
      </c>
      <c r="B191" s="85" t="s">
        <v>169</v>
      </c>
      <c r="C191" s="8">
        <v>31610</v>
      </c>
      <c r="D191" s="9">
        <v>463572040</v>
      </c>
      <c r="E191" s="57">
        <v>600</v>
      </c>
      <c r="F191" s="10" t="s">
        <v>174</v>
      </c>
      <c r="G191" s="88">
        <v>1680</v>
      </c>
      <c r="H191" s="70">
        <f t="shared" si="17"/>
        <v>2.8</v>
      </c>
      <c r="I191" s="11">
        <f t="shared" ca="1" si="18"/>
        <v>46119</v>
      </c>
      <c r="J191" s="11">
        <f t="shared" ca="1" si="19"/>
        <v>46118</v>
      </c>
      <c r="K191" s="13"/>
    </row>
    <row r="192" spans="1:11" ht="18" x14ac:dyDescent="0.4">
      <c r="A192" s="7" t="s">
        <v>98</v>
      </c>
      <c r="B192" s="85" t="s">
        <v>169</v>
      </c>
      <c r="C192" s="8">
        <v>31610</v>
      </c>
      <c r="D192" s="9">
        <v>463595330</v>
      </c>
      <c r="E192" s="57">
        <v>600</v>
      </c>
      <c r="F192" s="10" t="s">
        <v>175</v>
      </c>
      <c r="G192" s="88">
        <v>0</v>
      </c>
      <c r="H192" s="70">
        <f t="shared" si="17"/>
        <v>0</v>
      </c>
      <c r="I192" s="11">
        <f t="shared" ca="1" si="18"/>
        <v>46119</v>
      </c>
      <c r="J192" s="11">
        <f t="shared" ca="1" si="19"/>
        <v>46118</v>
      </c>
      <c r="K192" s="13"/>
    </row>
    <row r="193" spans="1:11" ht="18" x14ac:dyDescent="0.4">
      <c r="A193" s="7" t="s">
        <v>98</v>
      </c>
      <c r="B193" s="85" t="s">
        <v>176</v>
      </c>
      <c r="C193" s="8">
        <v>50111</v>
      </c>
      <c r="D193" s="9">
        <v>552833910</v>
      </c>
      <c r="E193" s="57">
        <v>9000</v>
      </c>
      <c r="F193" s="10" t="s">
        <v>177</v>
      </c>
      <c r="G193" s="88">
        <v>18000</v>
      </c>
      <c r="H193" s="70">
        <f t="shared" si="17"/>
        <v>2</v>
      </c>
      <c r="I193" s="11">
        <f t="shared" ca="1" si="18"/>
        <v>46119</v>
      </c>
      <c r="J193" s="11">
        <f t="shared" ca="1" si="19"/>
        <v>46118</v>
      </c>
      <c r="K193" s="13"/>
    </row>
    <row r="194" spans="1:11" ht="18" x14ac:dyDescent="0.4">
      <c r="A194" s="7" t="s">
        <v>98</v>
      </c>
      <c r="B194" s="85" t="s">
        <v>178</v>
      </c>
      <c r="C194" s="8">
        <v>56589</v>
      </c>
      <c r="D194" s="9">
        <v>463384907</v>
      </c>
      <c r="E194" s="57">
        <v>30</v>
      </c>
      <c r="F194" s="10" t="s">
        <v>179</v>
      </c>
      <c r="G194" s="88">
        <v>480</v>
      </c>
      <c r="H194" s="70">
        <f t="shared" si="17"/>
        <v>16</v>
      </c>
      <c r="I194" s="11">
        <f t="shared" ca="1" si="18"/>
        <v>46119</v>
      </c>
      <c r="J194" s="11">
        <f t="shared" ca="1" si="19"/>
        <v>46118</v>
      </c>
      <c r="K194" s="13"/>
    </row>
    <row r="195" spans="1:11" ht="18" x14ac:dyDescent="0.4">
      <c r="A195" s="7" t="s">
        <v>98</v>
      </c>
      <c r="B195" s="85" t="s">
        <v>178</v>
      </c>
      <c r="C195" s="8">
        <v>56589</v>
      </c>
      <c r="D195" s="9">
        <v>463384997</v>
      </c>
      <c r="E195" s="57">
        <v>30</v>
      </c>
      <c r="F195" s="10" t="s">
        <v>180</v>
      </c>
      <c r="G195" s="88">
        <v>1020</v>
      </c>
      <c r="H195" s="70">
        <f t="shared" si="17"/>
        <v>34</v>
      </c>
      <c r="I195" s="11">
        <f t="shared" ca="1" si="18"/>
        <v>46119</v>
      </c>
      <c r="J195" s="11">
        <f t="shared" ca="1" si="19"/>
        <v>46118</v>
      </c>
      <c r="K195" s="13"/>
    </row>
    <row r="196" spans="1:11" ht="18" x14ac:dyDescent="0.4">
      <c r="A196" s="7" t="s">
        <v>98</v>
      </c>
      <c r="B196" s="85" t="s">
        <v>181</v>
      </c>
      <c r="C196" s="8">
        <v>50050</v>
      </c>
      <c r="D196" s="9">
        <v>463529270</v>
      </c>
      <c r="E196" s="57">
        <v>432</v>
      </c>
      <c r="F196" s="10" t="s">
        <v>182</v>
      </c>
      <c r="G196" s="88">
        <v>432</v>
      </c>
      <c r="H196" s="70">
        <f t="shared" si="17"/>
        <v>1</v>
      </c>
      <c r="I196" s="11">
        <f t="shared" ca="1" si="18"/>
        <v>46119</v>
      </c>
      <c r="J196" s="11">
        <f t="shared" ca="1" si="19"/>
        <v>46118</v>
      </c>
      <c r="K196" s="13"/>
    </row>
    <row r="197" spans="1:11" ht="18" x14ac:dyDescent="0.4">
      <c r="A197" s="7" t="s">
        <v>98</v>
      </c>
      <c r="B197" s="85" t="s">
        <v>183</v>
      </c>
      <c r="C197" s="8">
        <v>30467</v>
      </c>
      <c r="D197" s="9">
        <v>552806540</v>
      </c>
      <c r="E197" s="57">
        <v>1200</v>
      </c>
      <c r="F197" s="10" t="s">
        <v>184</v>
      </c>
      <c r="G197" s="88">
        <v>12000</v>
      </c>
      <c r="H197" s="70">
        <f t="shared" si="17"/>
        <v>10</v>
      </c>
      <c r="I197" s="11">
        <f t="shared" ca="1" si="18"/>
        <v>46119</v>
      </c>
      <c r="J197" s="11">
        <f t="shared" ca="1" si="19"/>
        <v>46118</v>
      </c>
      <c r="K197" s="13"/>
    </row>
    <row r="198" spans="1:11" ht="18" x14ac:dyDescent="0.4">
      <c r="A198" s="7" t="s">
        <v>98</v>
      </c>
      <c r="B198" s="85" t="s">
        <v>183</v>
      </c>
      <c r="C198" s="8">
        <v>30467</v>
      </c>
      <c r="D198" s="9">
        <v>463389730</v>
      </c>
      <c r="E198" s="57">
        <v>400</v>
      </c>
      <c r="F198" s="10" t="s">
        <v>185</v>
      </c>
      <c r="G198" s="88">
        <v>8000</v>
      </c>
      <c r="H198" s="70">
        <f t="shared" si="17"/>
        <v>20</v>
      </c>
      <c r="I198" s="11">
        <f t="shared" ca="1" si="18"/>
        <v>46119</v>
      </c>
      <c r="J198" s="11">
        <f t="shared" ca="1" si="19"/>
        <v>46118</v>
      </c>
      <c r="K198" s="13"/>
    </row>
    <row r="199" spans="1:11" ht="18" x14ac:dyDescent="0.4">
      <c r="A199" s="7" t="s">
        <v>98</v>
      </c>
      <c r="B199" s="85" t="s">
        <v>183</v>
      </c>
      <c r="C199" s="8">
        <v>30467</v>
      </c>
      <c r="D199" s="9">
        <v>463532630</v>
      </c>
      <c r="E199" s="57">
        <v>250</v>
      </c>
      <c r="F199" s="10" t="s">
        <v>187</v>
      </c>
      <c r="G199" s="88">
        <v>25000</v>
      </c>
      <c r="H199" s="70">
        <f t="shared" si="17"/>
        <v>100</v>
      </c>
      <c r="I199" s="11">
        <f t="shared" ca="1" si="18"/>
        <v>46119</v>
      </c>
      <c r="J199" s="11">
        <f t="shared" ca="1" si="19"/>
        <v>46118</v>
      </c>
      <c r="K199" s="13"/>
    </row>
    <row r="200" spans="1:11" ht="18" x14ac:dyDescent="0.4">
      <c r="A200" s="7" t="s">
        <v>98</v>
      </c>
      <c r="B200" s="85" t="s">
        <v>183</v>
      </c>
      <c r="C200" s="8">
        <v>30467</v>
      </c>
      <c r="D200" s="9">
        <v>552821810</v>
      </c>
      <c r="E200" s="57">
        <v>350</v>
      </c>
      <c r="F200" s="10" t="s">
        <v>188</v>
      </c>
      <c r="G200" s="88">
        <v>28000</v>
      </c>
      <c r="H200" s="70">
        <f t="shared" si="17"/>
        <v>80</v>
      </c>
      <c r="I200" s="11">
        <f t="shared" ca="1" si="18"/>
        <v>46119</v>
      </c>
      <c r="J200" s="11">
        <f t="shared" ca="1" si="19"/>
        <v>46118</v>
      </c>
      <c r="K200" s="13"/>
    </row>
    <row r="201" spans="1:11" ht="18" x14ac:dyDescent="0.4">
      <c r="A201" s="7" t="s">
        <v>98</v>
      </c>
      <c r="B201" s="52" t="s">
        <v>189</v>
      </c>
      <c r="C201" s="49">
        <v>5934</v>
      </c>
      <c r="D201" s="50">
        <v>463384870</v>
      </c>
      <c r="E201" s="49">
        <v>1000</v>
      </c>
      <c r="F201" s="51" t="s">
        <v>190</v>
      </c>
      <c r="G201" s="88">
        <v>0</v>
      </c>
      <c r="H201" s="70">
        <f t="shared" si="17"/>
        <v>0</v>
      </c>
      <c r="I201" s="11">
        <f t="shared" ca="1" si="18"/>
        <v>46119</v>
      </c>
      <c r="J201" s="11">
        <f t="shared" ca="1" si="19"/>
        <v>46118</v>
      </c>
      <c r="K201" s="13"/>
    </row>
    <row r="202" spans="1:11" ht="18" x14ac:dyDescent="0.4">
      <c r="A202" s="7" t="s">
        <v>98</v>
      </c>
      <c r="B202" s="52" t="s">
        <v>189</v>
      </c>
      <c r="C202" s="49">
        <v>5934</v>
      </c>
      <c r="D202" s="50">
        <v>463516230</v>
      </c>
      <c r="E202" s="49">
        <v>80</v>
      </c>
      <c r="F202" s="51" t="s">
        <v>191</v>
      </c>
      <c r="G202" s="88">
        <v>0</v>
      </c>
      <c r="H202" s="70">
        <f t="shared" si="17"/>
        <v>0</v>
      </c>
      <c r="I202" s="11">
        <f t="shared" ca="1" si="18"/>
        <v>46119</v>
      </c>
      <c r="J202" s="11">
        <f t="shared" ca="1" si="19"/>
        <v>46118</v>
      </c>
      <c r="K202" s="13"/>
    </row>
    <row r="203" spans="1:11" ht="18" x14ac:dyDescent="0.4">
      <c r="A203" s="7" t="s">
        <v>98</v>
      </c>
      <c r="B203" s="85" t="s">
        <v>189</v>
      </c>
      <c r="C203" s="8">
        <v>5934</v>
      </c>
      <c r="D203" s="9">
        <v>552841160</v>
      </c>
      <c r="E203" s="57">
        <v>1000</v>
      </c>
      <c r="F203" s="10" t="s">
        <v>192</v>
      </c>
      <c r="G203" s="88">
        <v>0</v>
      </c>
      <c r="H203" s="70">
        <f t="shared" si="17"/>
        <v>0</v>
      </c>
      <c r="I203" s="11">
        <f t="shared" ca="1" si="18"/>
        <v>46119</v>
      </c>
      <c r="J203" s="11">
        <f t="shared" ca="1" si="19"/>
        <v>46118</v>
      </c>
      <c r="K203" s="13"/>
    </row>
    <row r="204" spans="1:11" ht="18" x14ac:dyDescent="0.4">
      <c r="A204" s="7" t="s">
        <v>98</v>
      </c>
      <c r="B204" s="85" t="s">
        <v>193</v>
      </c>
      <c r="C204" s="8">
        <v>19414</v>
      </c>
      <c r="D204" s="9">
        <v>463532640</v>
      </c>
      <c r="E204" s="57">
        <v>1100</v>
      </c>
      <c r="F204" s="10" t="s">
        <v>194</v>
      </c>
      <c r="G204" s="88">
        <v>0</v>
      </c>
      <c r="H204" s="70">
        <f t="shared" si="17"/>
        <v>0</v>
      </c>
      <c r="I204" s="11">
        <f t="shared" ca="1" si="18"/>
        <v>46119</v>
      </c>
      <c r="J204" s="11">
        <f t="shared" ca="1" si="19"/>
        <v>46118</v>
      </c>
      <c r="K204" s="13"/>
    </row>
    <row r="205" spans="1:11" ht="18" x14ac:dyDescent="0.4">
      <c r="A205" s="7" t="s">
        <v>98</v>
      </c>
      <c r="B205" s="85" t="s">
        <v>193</v>
      </c>
      <c r="C205" s="8">
        <v>19414</v>
      </c>
      <c r="D205" s="9">
        <v>463532650</v>
      </c>
      <c r="E205" s="57">
        <v>800</v>
      </c>
      <c r="F205" s="10" t="s">
        <v>195</v>
      </c>
      <c r="G205" s="88">
        <v>0</v>
      </c>
      <c r="H205" s="70">
        <f t="shared" si="17"/>
        <v>0</v>
      </c>
      <c r="I205" s="11">
        <f t="shared" ca="1" si="18"/>
        <v>46119</v>
      </c>
      <c r="J205" s="11">
        <f t="shared" ca="1" si="19"/>
        <v>46118</v>
      </c>
      <c r="K205" s="13"/>
    </row>
    <row r="206" spans="1:11" ht="18" x14ac:dyDescent="0.4">
      <c r="A206" s="7" t="s">
        <v>98</v>
      </c>
      <c r="B206" s="85" t="s">
        <v>193</v>
      </c>
      <c r="C206" s="8">
        <v>19414</v>
      </c>
      <c r="D206" s="9">
        <v>162970240</v>
      </c>
      <c r="E206" s="57">
        <v>500</v>
      </c>
      <c r="F206" s="10" t="s">
        <v>196</v>
      </c>
      <c r="G206" s="88">
        <v>0</v>
      </c>
      <c r="H206" s="70">
        <f t="shared" si="17"/>
        <v>0</v>
      </c>
      <c r="I206" s="11">
        <f t="shared" ca="1" si="18"/>
        <v>46119</v>
      </c>
      <c r="J206" s="11">
        <f t="shared" ca="1" si="19"/>
        <v>46118</v>
      </c>
      <c r="K206" s="13"/>
    </row>
    <row r="207" spans="1:11" ht="18" x14ac:dyDescent="0.4">
      <c r="A207" s="7" t="s">
        <v>98</v>
      </c>
      <c r="B207" s="85" t="s">
        <v>197</v>
      </c>
      <c r="C207" s="8">
        <v>1020</v>
      </c>
      <c r="D207" s="9">
        <v>463379748</v>
      </c>
      <c r="E207" s="57">
        <v>18</v>
      </c>
      <c r="F207" s="10" t="s">
        <v>198</v>
      </c>
      <c r="G207" s="88">
        <v>162</v>
      </c>
      <c r="H207" s="70">
        <f t="shared" si="17"/>
        <v>9</v>
      </c>
      <c r="I207" s="11">
        <f t="shared" ref="I207:I209" ca="1" si="21">I199</f>
        <v>46119</v>
      </c>
      <c r="J207" s="11">
        <f t="shared" ca="1" si="19"/>
        <v>46118</v>
      </c>
      <c r="K207" s="13"/>
    </row>
    <row r="208" spans="1:11" ht="18" x14ac:dyDescent="0.4">
      <c r="A208" s="7" t="s">
        <v>98</v>
      </c>
      <c r="B208" s="85" t="s">
        <v>197</v>
      </c>
      <c r="C208" s="8">
        <v>1020</v>
      </c>
      <c r="D208" s="9">
        <v>463379778</v>
      </c>
      <c r="E208" s="57">
        <v>18</v>
      </c>
      <c r="F208" s="10" t="s">
        <v>199</v>
      </c>
      <c r="G208" s="88">
        <v>900</v>
      </c>
      <c r="H208" s="70">
        <f t="shared" si="17"/>
        <v>50</v>
      </c>
      <c r="I208" s="11">
        <f t="shared" ca="1" si="21"/>
        <v>46119</v>
      </c>
      <c r="J208" s="11">
        <f t="shared" ca="1" si="19"/>
        <v>46118</v>
      </c>
      <c r="K208" s="13"/>
    </row>
    <row r="209" spans="1:11" ht="18" x14ac:dyDescent="0.4">
      <c r="A209" s="7" t="s">
        <v>98</v>
      </c>
      <c r="B209" s="85" t="s">
        <v>200</v>
      </c>
      <c r="C209" s="8">
        <v>1073</v>
      </c>
      <c r="D209" s="9">
        <v>463576288</v>
      </c>
      <c r="E209" s="57">
        <v>27</v>
      </c>
      <c r="F209" s="10" t="s">
        <v>201</v>
      </c>
      <c r="G209" s="88">
        <v>405</v>
      </c>
      <c r="H209" s="70">
        <f t="shared" si="17"/>
        <v>15</v>
      </c>
      <c r="I209" s="11">
        <f t="shared" ca="1" si="21"/>
        <v>46119</v>
      </c>
      <c r="J209" s="11">
        <f t="shared" ca="1" si="19"/>
        <v>46118</v>
      </c>
      <c r="K209" s="13"/>
    </row>
    <row r="210" spans="1:11" ht="18" x14ac:dyDescent="0.4">
      <c r="A210" s="7" t="s">
        <v>98</v>
      </c>
      <c r="B210" s="85" t="s">
        <v>200</v>
      </c>
      <c r="C210" s="8">
        <v>1073</v>
      </c>
      <c r="D210" s="9">
        <v>463576277</v>
      </c>
      <c r="E210" s="57">
        <v>36</v>
      </c>
      <c r="F210" s="10" t="s">
        <v>202</v>
      </c>
      <c r="G210" s="88">
        <v>360</v>
      </c>
      <c r="H210" s="70">
        <f t="shared" si="17"/>
        <v>10</v>
      </c>
      <c r="I210" s="11">
        <f t="shared" ref="I210:I240" ca="1" si="22">I209</f>
        <v>46119</v>
      </c>
      <c r="J210" s="11">
        <f t="shared" ca="1" si="19"/>
        <v>46118</v>
      </c>
      <c r="K210" s="13"/>
    </row>
    <row r="211" spans="1:11" ht="18" x14ac:dyDescent="0.4">
      <c r="A211" s="7" t="s">
        <v>98</v>
      </c>
      <c r="B211" s="85" t="s">
        <v>197</v>
      </c>
      <c r="C211" s="8">
        <v>1020</v>
      </c>
      <c r="D211" s="9">
        <v>463384927</v>
      </c>
      <c r="E211" s="57">
        <v>32</v>
      </c>
      <c r="F211" s="10" t="s">
        <v>203</v>
      </c>
      <c r="G211" s="88">
        <v>96</v>
      </c>
      <c r="H211" s="70">
        <f t="shared" si="17"/>
        <v>3</v>
      </c>
      <c r="I211" s="11">
        <f t="shared" ca="1" si="22"/>
        <v>46119</v>
      </c>
      <c r="J211" s="11">
        <f t="shared" ca="1" si="19"/>
        <v>46118</v>
      </c>
      <c r="K211" s="13"/>
    </row>
    <row r="212" spans="1:11" ht="18" x14ac:dyDescent="0.4">
      <c r="A212" s="7" t="s">
        <v>98</v>
      </c>
      <c r="B212" s="85" t="s">
        <v>197</v>
      </c>
      <c r="C212" s="8">
        <v>1020</v>
      </c>
      <c r="D212" s="9">
        <v>463489077</v>
      </c>
      <c r="E212" s="57">
        <v>32</v>
      </c>
      <c r="F212" s="10" t="s">
        <v>204</v>
      </c>
      <c r="G212" s="88">
        <v>928</v>
      </c>
      <c r="H212" s="70">
        <f t="shared" si="17"/>
        <v>29</v>
      </c>
      <c r="I212" s="11">
        <f t="shared" ca="1" si="22"/>
        <v>46119</v>
      </c>
      <c r="J212" s="11">
        <f t="shared" ca="1" si="19"/>
        <v>46118</v>
      </c>
      <c r="K212" s="13"/>
    </row>
    <row r="213" spans="1:11" ht="18" x14ac:dyDescent="0.4">
      <c r="A213" s="7" t="s">
        <v>98</v>
      </c>
      <c r="B213" s="85" t="s">
        <v>205</v>
      </c>
      <c r="C213" s="8">
        <v>11431</v>
      </c>
      <c r="D213" s="9">
        <v>463526240</v>
      </c>
      <c r="E213" s="57">
        <v>800</v>
      </c>
      <c r="F213" s="10" t="s">
        <v>206</v>
      </c>
      <c r="G213" s="88">
        <v>0</v>
      </c>
      <c r="H213" s="70">
        <f t="shared" si="17"/>
        <v>0</v>
      </c>
      <c r="I213" s="11">
        <f t="shared" ca="1" si="22"/>
        <v>46119</v>
      </c>
      <c r="J213" s="11">
        <f t="shared" ca="1" si="19"/>
        <v>46118</v>
      </c>
      <c r="K213" s="13"/>
    </row>
    <row r="214" spans="1:11" ht="18" x14ac:dyDescent="0.4">
      <c r="A214" s="7" t="s">
        <v>98</v>
      </c>
      <c r="B214" s="85" t="s">
        <v>205</v>
      </c>
      <c r="C214" s="8">
        <v>11431</v>
      </c>
      <c r="D214" s="9">
        <v>463496660</v>
      </c>
      <c r="E214" s="57">
        <v>800</v>
      </c>
      <c r="F214" s="10" t="s">
        <v>206</v>
      </c>
      <c r="G214" s="88">
        <v>0</v>
      </c>
      <c r="H214" s="70">
        <f t="shared" si="17"/>
        <v>0</v>
      </c>
      <c r="I214" s="11">
        <f t="shared" ca="1" si="22"/>
        <v>46119</v>
      </c>
      <c r="J214" s="11">
        <f t="shared" ca="1" si="19"/>
        <v>46118</v>
      </c>
      <c r="K214" s="13"/>
    </row>
    <row r="215" spans="1:11" ht="18" x14ac:dyDescent="0.4">
      <c r="A215" s="7" t="s">
        <v>98</v>
      </c>
      <c r="B215" s="85" t="s">
        <v>205</v>
      </c>
      <c r="C215" s="8">
        <v>11431</v>
      </c>
      <c r="D215" s="9">
        <v>463492670</v>
      </c>
      <c r="E215" s="57">
        <v>800</v>
      </c>
      <c r="F215" s="10" t="s">
        <v>206</v>
      </c>
      <c r="G215" s="88">
        <v>800</v>
      </c>
      <c r="H215" s="70">
        <f t="shared" si="17"/>
        <v>1</v>
      </c>
      <c r="I215" s="11">
        <f t="shared" ca="1" si="22"/>
        <v>46119</v>
      </c>
      <c r="J215" s="11">
        <f t="shared" ca="1" si="19"/>
        <v>46118</v>
      </c>
      <c r="K215" s="13"/>
    </row>
    <row r="216" spans="1:11" ht="18" x14ac:dyDescent="0.4">
      <c r="A216" s="7" t="s">
        <v>98</v>
      </c>
      <c r="B216" s="85" t="s">
        <v>207</v>
      </c>
      <c r="C216" s="8">
        <v>14928</v>
      </c>
      <c r="D216" s="9">
        <v>463556950</v>
      </c>
      <c r="E216" s="57">
        <v>40</v>
      </c>
      <c r="F216" s="10" t="s">
        <v>208</v>
      </c>
      <c r="G216" s="88">
        <v>0</v>
      </c>
      <c r="H216" s="70">
        <f t="shared" si="17"/>
        <v>0</v>
      </c>
      <c r="I216" s="11">
        <f t="shared" ca="1" si="22"/>
        <v>46119</v>
      </c>
      <c r="J216" s="11">
        <f t="shared" ca="1" si="19"/>
        <v>46118</v>
      </c>
      <c r="K216" s="13"/>
    </row>
    <row r="217" spans="1:11" ht="18" x14ac:dyDescent="0.4">
      <c r="A217" s="7" t="s">
        <v>98</v>
      </c>
      <c r="B217" s="85" t="s">
        <v>207</v>
      </c>
      <c r="C217" s="8">
        <v>14928</v>
      </c>
      <c r="D217" s="9">
        <v>463526220</v>
      </c>
      <c r="E217" s="57">
        <v>40</v>
      </c>
      <c r="F217" s="10" t="s">
        <v>209</v>
      </c>
      <c r="G217" s="88">
        <v>600</v>
      </c>
      <c r="H217" s="70">
        <f t="shared" si="17"/>
        <v>15</v>
      </c>
      <c r="I217" s="11">
        <f t="shared" ca="1" si="22"/>
        <v>46119</v>
      </c>
      <c r="J217" s="11">
        <f t="shared" ca="1" si="19"/>
        <v>46118</v>
      </c>
      <c r="K217" s="13"/>
    </row>
    <row r="218" spans="1:11" ht="18" x14ac:dyDescent="0.4">
      <c r="A218" s="7" t="s">
        <v>98</v>
      </c>
      <c r="B218" s="85" t="s">
        <v>207</v>
      </c>
      <c r="C218" s="8">
        <v>14928</v>
      </c>
      <c r="D218" s="9">
        <v>463496630</v>
      </c>
      <c r="E218" s="57">
        <v>40</v>
      </c>
      <c r="F218" s="10" t="s">
        <v>210</v>
      </c>
      <c r="G218" s="88">
        <v>400</v>
      </c>
      <c r="H218" s="70">
        <f t="shared" si="17"/>
        <v>10</v>
      </c>
      <c r="I218" s="11">
        <f t="shared" ca="1" si="22"/>
        <v>46119</v>
      </c>
      <c r="J218" s="11">
        <f t="shared" ca="1" si="19"/>
        <v>46118</v>
      </c>
      <c r="K218" s="13"/>
    </row>
    <row r="219" spans="1:11" ht="18" x14ac:dyDescent="0.4">
      <c r="A219" s="7" t="s">
        <v>98</v>
      </c>
      <c r="B219" s="85" t="s">
        <v>207</v>
      </c>
      <c r="C219" s="8">
        <v>14928</v>
      </c>
      <c r="D219" s="9">
        <v>463358702</v>
      </c>
      <c r="E219" s="57">
        <v>100</v>
      </c>
      <c r="F219" s="10" t="s">
        <v>211</v>
      </c>
      <c r="G219" s="88">
        <v>2400</v>
      </c>
      <c r="H219" s="70">
        <f t="shared" si="17"/>
        <v>24</v>
      </c>
      <c r="I219" s="11">
        <f t="shared" ca="1" si="22"/>
        <v>46119</v>
      </c>
      <c r="J219" s="11">
        <f t="shared" ca="1" si="19"/>
        <v>46118</v>
      </c>
      <c r="K219" s="13"/>
    </row>
    <row r="220" spans="1:11" ht="18" x14ac:dyDescent="0.4">
      <c r="A220" s="7" t="s">
        <v>98</v>
      </c>
      <c r="B220" s="85" t="s">
        <v>207</v>
      </c>
      <c r="C220" s="8">
        <v>14928</v>
      </c>
      <c r="D220" s="9">
        <v>463564010</v>
      </c>
      <c r="E220" s="57">
        <v>100</v>
      </c>
      <c r="F220" s="10" t="s">
        <v>212</v>
      </c>
      <c r="G220" s="88">
        <v>0</v>
      </c>
      <c r="H220" s="70">
        <f t="shared" si="17"/>
        <v>0</v>
      </c>
      <c r="I220" s="11">
        <f t="shared" ca="1" si="22"/>
        <v>46119</v>
      </c>
      <c r="J220" s="11">
        <f t="shared" ca="1" si="19"/>
        <v>46118</v>
      </c>
      <c r="K220" s="13"/>
    </row>
    <row r="221" spans="1:11" ht="18" x14ac:dyDescent="0.4">
      <c r="A221" s="7" t="s">
        <v>98</v>
      </c>
      <c r="B221" s="85" t="s">
        <v>207</v>
      </c>
      <c r="C221" s="8">
        <v>14928</v>
      </c>
      <c r="D221" s="9">
        <v>463383610</v>
      </c>
      <c r="E221" s="57">
        <v>40</v>
      </c>
      <c r="F221" s="10" t="s">
        <v>213</v>
      </c>
      <c r="G221" s="88">
        <v>840</v>
      </c>
      <c r="H221" s="70">
        <f t="shared" si="17"/>
        <v>21</v>
      </c>
      <c r="I221" s="11">
        <f t="shared" ca="1" si="22"/>
        <v>46119</v>
      </c>
      <c r="J221" s="11">
        <f t="shared" ca="1" si="19"/>
        <v>46118</v>
      </c>
      <c r="K221" s="13"/>
    </row>
    <row r="222" spans="1:11" ht="18" x14ac:dyDescent="0.4">
      <c r="A222" s="7" t="s">
        <v>98</v>
      </c>
      <c r="B222" s="85" t="s">
        <v>214</v>
      </c>
      <c r="C222" s="8">
        <v>21342</v>
      </c>
      <c r="D222" s="9">
        <v>463485520</v>
      </c>
      <c r="E222" s="57">
        <v>480</v>
      </c>
      <c r="F222" s="10" t="s">
        <v>215</v>
      </c>
      <c r="G222" s="88">
        <v>2880</v>
      </c>
      <c r="H222" s="70">
        <f t="shared" si="17"/>
        <v>6</v>
      </c>
      <c r="I222" s="11">
        <f t="shared" ca="1" si="22"/>
        <v>46119</v>
      </c>
      <c r="J222" s="11">
        <f t="shared" ca="1" si="19"/>
        <v>46118</v>
      </c>
      <c r="K222" s="13"/>
    </row>
    <row r="223" spans="1:11" ht="18" x14ac:dyDescent="0.4">
      <c r="A223" s="7" t="s">
        <v>98</v>
      </c>
      <c r="B223" s="85" t="s">
        <v>214</v>
      </c>
      <c r="C223" s="8">
        <v>21342</v>
      </c>
      <c r="D223" s="9">
        <v>463496650</v>
      </c>
      <c r="E223" s="57">
        <v>25</v>
      </c>
      <c r="F223" s="10" t="s">
        <v>216</v>
      </c>
      <c r="G223" s="88">
        <v>0</v>
      </c>
      <c r="H223" s="70">
        <f t="shared" si="17"/>
        <v>0</v>
      </c>
      <c r="I223" s="11">
        <f t="shared" ca="1" si="22"/>
        <v>46119</v>
      </c>
      <c r="J223" s="11">
        <f t="shared" ca="1" si="19"/>
        <v>46118</v>
      </c>
      <c r="K223" s="13"/>
    </row>
    <row r="224" spans="1:11" ht="18" x14ac:dyDescent="0.4">
      <c r="A224" s="7" t="s">
        <v>98</v>
      </c>
      <c r="B224" s="85" t="s">
        <v>214</v>
      </c>
      <c r="C224" s="8">
        <v>21342</v>
      </c>
      <c r="D224" s="9">
        <v>463581750</v>
      </c>
      <c r="E224" s="57">
        <v>25</v>
      </c>
      <c r="F224" s="10" t="s">
        <v>216</v>
      </c>
      <c r="G224" s="88">
        <v>900</v>
      </c>
      <c r="H224" s="70">
        <f t="shared" si="17"/>
        <v>36</v>
      </c>
      <c r="I224" s="11">
        <f t="shared" ca="1" si="22"/>
        <v>46119</v>
      </c>
      <c r="J224" s="11">
        <f t="shared" ca="1" si="19"/>
        <v>46118</v>
      </c>
      <c r="K224" s="13"/>
    </row>
    <row r="225" spans="1:11" ht="18" x14ac:dyDescent="0.4">
      <c r="A225" s="7" t="s">
        <v>98</v>
      </c>
      <c r="B225" s="85" t="s">
        <v>214</v>
      </c>
      <c r="C225" s="8">
        <v>21342</v>
      </c>
      <c r="D225" s="9">
        <v>463491660</v>
      </c>
      <c r="E225" s="57">
        <v>300</v>
      </c>
      <c r="F225" s="10" t="s">
        <v>217</v>
      </c>
      <c r="G225" s="88">
        <v>0</v>
      </c>
      <c r="H225" s="70">
        <f t="shared" si="17"/>
        <v>0</v>
      </c>
      <c r="I225" s="11">
        <f t="shared" ca="1" si="22"/>
        <v>46119</v>
      </c>
      <c r="J225" s="11">
        <f t="shared" ca="1" si="19"/>
        <v>46118</v>
      </c>
      <c r="K225" s="13"/>
    </row>
    <row r="226" spans="1:11" ht="18" x14ac:dyDescent="0.4">
      <c r="A226" s="7" t="s">
        <v>98</v>
      </c>
      <c r="B226" s="85" t="s">
        <v>218</v>
      </c>
      <c r="C226" s="8">
        <v>23480</v>
      </c>
      <c r="D226" s="9">
        <v>552849890</v>
      </c>
      <c r="E226" s="57">
        <v>180</v>
      </c>
      <c r="F226" s="10" t="s">
        <v>219</v>
      </c>
      <c r="G226" s="88">
        <v>2520</v>
      </c>
      <c r="H226" s="70">
        <f t="shared" si="17"/>
        <v>14</v>
      </c>
      <c r="I226" s="11">
        <f t="shared" ca="1" si="22"/>
        <v>46119</v>
      </c>
      <c r="J226" s="11">
        <f t="shared" ca="1" si="19"/>
        <v>46118</v>
      </c>
      <c r="K226" s="13"/>
    </row>
    <row r="227" spans="1:11" ht="18" x14ac:dyDescent="0.4">
      <c r="A227" s="7" t="s">
        <v>98</v>
      </c>
      <c r="B227" s="85" t="s">
        <v>218</v>
      </c>
      <c r="C227" s="8">
        <v>23480</v>
      </c>
      <c r="D227" s="9">
        <v>463357980</v>
      </c>
      <c r="E227" s="57">
        <v>1000</v>
      </c>
      <c r="F227" s="10" t="s">
        <v>712</v>
      </c>
      <c r="G227" s="88">
        <v>11000</v>
      </c>
      <c r="H227" s="70">
        <f t="shared" si="17"/>
        <v>11</v>
      </c>
      <c r="I227" s="11">
        <f t="shared" ca="1" si="22"/>
        <v>46119</v>
      </c>
      <c r="J227" s="11">
        <f t="shared" ca="1" si="19"/>
        <v>46118</v>
      </c>
      <c r="K227" s="13"/>
    </row>
    <row r="228" spans="1:11" ht="18" x14ac:dyDescent="0.4">
      <c r="A228" s="7" t="s">
        <v>98</v>
      </c>
      <c r="B228" s="85" t="s">
        <v>218</v>
      </c>
      <c r="C228" s="8">
        <v>23480</v>
      </c>
      <c r="D228" s="9">
        <v>463482030</v>
      </c>
      <c r="E228" s="57">
        <v>200</v>
      </c>
      <c r="F228" s="10" t="s">
        <v>221</v>
      </c>
      <c r="G228" s="88">
        <v>2400</v>
      </c>
      <c r="H228" s="70">
        <f t="shared" si="17"/>
        <v>12</v>
      </c>
      <c r="I228" s="11">
        <f t="shared" ca="1" si="22"/>
        <v>46119</v>
      </c>
      <c r="J228" s="11">
        <f t="shared" ca="1" si="19"/>
        <v>46118</v>
      </c>
      <c r="K228" s="13"/>
    </row>
    <row r="229" spans="1:11" ht="18" x14ac:dyDescent="0.4">
      <c r="A229" s="7" t="s">
        <v>98</v>
      </c>
      <c r="B229" s="85" t="s">
        <v>218</v>
      </c>
      <c r="C229" s="8">
        <v>23480</v>
      </c>
      <c r="D229" s="9">
        <v>144576860</v>
      </c>
      <c r="E229" s="57">
        <v>1500</v>
      </c>
      <c r="F229" s="10" t="s">
        <v>713</v>
      </c>
      <c r="G229" s="88">
        <v>4500</v>
      </c>
      <c r="H229" s="70">
        <f t="shared" si="17"/>
        <v>3</v>
      </c>
      <c r="I229" s="11">
        <f t="shared" ca="1" si="22"/>
        <v>46119</v>
      </c>
      <c r="J229" s="11">
        <f t="shared" ca="1" si="19"/>
        <v>46118</v>
      </c>
      <c r="K229" s="13"/>
    </row>
    <row r="230" spans="1:11" ht="18" x14ac:dyDescent="0.4">
      <c r="A230" s="7" t="s">
        <v>98</v>
      </c>
      <c r="B230" s="85" t="s">
        <v>218</v>
      </c>
      <c r="C230" s="8">
        <v>23481</v>
      </c>
      <c r="D230" s="9">
        <v>463526250</v>
      </c>
      <c r="E230" s="57">
        <v>500</v>
      </c>
      <c r="F230" s="10" t="s">
        <v>224</v>
      </c>
      <c r="G230" s="88">
        <v>500</v>
      </c>
      <c r="H230" s="70">
        <f t="shared" si="17"/>
        <v>1</v>
      </c>
      <c r="I230" s="11">
        <f t="shared" ca="1" si="22"/>
        <v>46119</v>
      </c>
      <c r="J230" s="11">
        <f t="shared" ca="1" si="19"/>
        <v>46118</v>
      </c>
      <c r="K230" s="13"/>
    </row>
    <row r="231" spans="1:11" ht="18" x14ac:dyDescent="0.4">
      <c r="A231" s="7" t="s">
        <v>98</v>
      </c>
      <c r="B231" s="85" t="s">
        <v>218</v>
      </c>
      <c r="C231" s="8">
        <v>23481</v>
      </c>
      <c r="D231" s="9">
        <v>463399250</v>
      </c>
      <c r="E231" s="57">
        <v>500</v>
      </c>
      <c r="F231" s="10" t="s">
        <v>224</v>
      </c>
      <c r="G231" s="88">
        <v>1500</v>
      </c>
      <c r="H231" s="70">
        <f t="shared" si="17"/>
        <v>3</v>
      </c>
      <c r="I231" s="11">
        <f t="shared" ca="1" si="22"/>
        <v>46119</v>
      </c>
      <c r="J231" s="11">
        <f t="shared" ca="1" si="19"/>
        <v>46118</v>
      </c>
      <c r="K231" s="13"/>
    </row>
    <row r="232" spans="1:11" ht="18" x14ac:dyDescent="0.4">
      <c r="A232" s="7" t="s">
        <v>98</v>
      </c>
      <c r="B232" s="85" t="s">
        <v>225</v>
      </c>
      <c r="C232" s="8">
        <v>27986</v>
      </c>
      <c r="D232" s="9">
        <v>463526190</v>
      </c>
      <c r="E232" s="57">
        <v>400</v>
      </c>
      <c r="F232" s="10" t="s">
        <v>226</v>
      </c>
      <c r="G232" s="88">
        <v>0</v>
      </c>
      <c r="H232" s="70">
        <f t="shared" si="17"/>
        <v>0</v>
      </c>
      <c r="I232" s="11">
        <f t="shared" ca="1" si="22"/>
        <v>46119</v>
      </c>
      <c r="J232" s="11">
        <f t="shared" ca="1" si="19"/>
        <v>46118</v>
      </c>
      <c r="K232" s="13"/>
    </row>
    <row r="233" spans="1:11" ht="18" x14ac:dyDescent="0.4">
      <c r="A233" s="7" t="s">
        <v>98</v>
      </c>
      <c r="B233" s="85" t="s">
        <v>225</v>
      </c>
      <c r="C233" s="8">
        <v>27986</v>
      </c>
      <c r="D233" s="9">
        <v>463524600</v>
      </c>
      <c r="E233" s="57">
        <v>500</v>
      </c>
      <c r="F233" s="10" t="s">
        <v>227</v>
      </c>
      <c r="G233" s="88">
        <v>1500</v>
      </c>
      <c r="H233" s="70">
        <f t="shared" si="17"/>
        <v>3</v>
      </c>
      <c r="I233" s="11">
        <f t="shared" ca="1" si="22"/>
        <v>46119</v>
      </c>
      <c r="J233" s="11">
        <f t="shared" ca="1" si="19"/>
        <v>46118</v>
      </c>
      <c r="K233" s="13"/>
    </row>
    <row r="234" spans="1:11" ht="18" x14ac:dyDescent="0.4">
      <c r="A234" s="7" t="s">
        <v>98</v>
      </c>
      <c r="B234" s="85" t="s">
        <v>225</v>
      </c>
      <c r="C234" s="8">
        <v>27986</v>
      </c>
      <c r="D234" s="9">
        <v>552849810</v>
      </c>
      <c r="E234" s="57">
        <v>500</v>
      </c>
      <c r="F234" s="10" t="s">
        <v>228</v>
      </c>
      <c r="G234" s="88">
        <v>0</v>
      </c>
      <c r="H234" s="70">
        <f t="shared" si="17"/>
        <v>0</v>
      </c>
      <c r="I234" s="11">
        <f t="shared" ca="1" si="22"/>
        <v>46119</v>
      </c>
      <c r="J234" s="11">
        <f t="shared" ca="1" si="19"/>
        <v>46118</v>
      </c>
      <c r="K234" s="13"/>
    </row>
    <row r="235" spans="1:11" ht="18" x14ac:dyDescent="0.4">
      <c r="A235" s="7" t="s">
        <v>98</v>
      </c>
      <c r="B235" s="85" t="s">
        <v>225</v>
      </c>
      <c r="C235" s="8">
        <v>27986</v>
      </c>
      <c r="D235" s="9">
        <v>463355140</v>
      </c>
      <c r="E235" s="57">
        <v>500</v>
      </c>
      <c r="F235" s="10" t="s">
        <v>228</v>
      </c>
      <c r="G235" s="88">
        <v>500</v>
      </c>
      <c r="H235" s="70">
        <f t="shared" si="17"/>
        <v>1</v>
      </c>
      <c r="I235" s="11">
        <f t="shared" ca="1" si="22"/>
        <v>46119</v>
      </c>
      <c r="J235" s="11">
        <f t="shared" ca="1" si="19"/>
        <v>46118</v>
      </c>
      <c r="K235" s="13"/>
    </row>
    <row r="236" spans="1:11" ht="18" x14ac:dyDescent="0.4">
      <c r="A236" s="7" t="s">
        <v>98</v>
      </c>
      <c r="B236" s="85" t="s">
        <v>229</v>
      </c>
      <c r="C236" s="8">
        <v>32059</v>
      </c>
      <c r="D236" s="9">
        <v>552822590</v>
      </c>
      <c r="E236" s="57">
        <v>2800</v>
      </c>
      <c r="F236" s="10" t="s">
        <v>230</v>
      </c>
      <c r="G236" s="88">
        <v>0</v>
      </c>
      <c r="H236" s="70">
        <f t="shared" si="17"/>
        <v>0</v>
      </c>
      <c r="I236" s="11">
        <f t="shared" ca="1" si="22"/>
        <v>46119</v>
      </c>
      <c r="J236" s="11">
        <f t="shared" ca="1" si="19"/>
        <v>46118</v>
      </c>
      <c r="K236" s="13"/>
    </row>
    <row r="237" spans="1:11" ht="18" x14ac:dyDescent="0.4">
      <c r="A237" s="7" t="s">
        <v>98</v>
      </c>
      <c r="B237" s="85" t="s">
        <v>231</v>
      </c>
      <c r="C237" s="8">
        <v>32572</v>
      </c>
      <c r="D237" s="9">
        <v>552820870</v>
      </c>
      <c r="E237" s="57">
        <v>720</v>
      </c>
      <c r="F237" s="10" t="s">
        <v>232</v>
      </c>
      <c r="G237" s="88">
        <v>7920</v>
      </c>
      <c r="H237" s="70">
        <f t="shared" si="17"/>
        <v>11</v>
      </c>
      <c r="I237" s="11">
        <f t="shared" ca="1" si="22"/>
        <v>46119</v>
      </c>
      <c r="J237" s="11">
        <f t="shared" ca="1" si="19"/>
        <v>46118</v>
      </c>
      <c r="K237" s="13"/>
    </row>
    <row r="238" spans="1:11" ht="18" x14ac:dyDescent="0.4">
      <c r="A238" s="7" t="s">
        <v>98</v>
      </c>
      <c r="B238" s="85" t="s">
        <v>714</v>
      </c>
      <c r="C238" s="8">
        <v>33518</v>
      </c>
      <c r="D238" s="9">
        <v>463496670</v>
      </c>
      <c r="E238" s="57">
        <v>48</v>
      </c>
      <c r="F238" s="10" t="s">
        <v>236</v>
      </c>
      <c r="G238" s="88">
        <v>960</v>
      </c>
      <c r="H238" s="70">
        <f t="shared" si="17"/>
        <v>20</v>
      </c>
      <c r="I238" s="11">
        <f t="shared" ca="1" si="22"/>
        <v>46119</v>
      </c>
      <c r="J238" s="11">
        <f t="shared" ca="1" si="19"/>
        <v>46118</v>
      </c>
      <c r="K238" s="13"/>
    </row>
    <row r="239" spans="1:11" ht="18" x14ac:dyDescent="0.4">
      <c r="A239" s="7" t="s">
        <v>98</v>
      </c>
      <c r="B239" s="85" t="s">
        <v>714</v>
      </c>
      <c r="C239" s="8">
        <v>33518</v>
      </c>
      <c r="D239" s="9">
        <v>463433880</v>
      </c>
      <c r="E239" s="57">
        <v>48</v>
      </c>
      <c r="F239" s="10" t="s">
        <v>237</v>
      </c>
      <c r="G239" s="88">
        <v>1200</v>
      </c>
      <c r="H239" s="70">
        <f t="shared" si="17"/>
        <v>25</v>
      </c>
      <c r="I239" s="11">
        <f ca="1">I238</f>
        <v>46119</v>
      </c>
      <c r="J239" s="11">
        <f t="shared" ca="1" si="19"/>
        <v>46118</v>
      </c>
      <c r="K239" s="13"/>
    </row>
    <row r="240" spans="1:11" ht="18" x14ac:dyDescent="0.4">
      <c r="A240" s="7" t="s">
        <v>98</v>
      </c>
      <c r="B240" s="85" t="s">
        <v>715</v>
      </c>
      <c r="C240" s="8">
        <v>58696</v>
      </c>
      <c r="D240" s="9">
        <v>463495790</v>
      </c>
      <c r="E240" s="57">
        <v>1200</v>
      </c>
      <c r="F240" s="10" t="s">
        <v>239</v>
      </c>
      <c r="G240" s="88">
        <v>0</v>
      </c>
      <c r="H240" s="70">
        <f t="shared" si="17"/>
        <v>0</v>
      </c>
      <c r="I240" s="11">
        <f t="shared" ca="1" si="22"/>
        <v>46119</v>
      </c>
      <c r="J240" s="11">
        <f t="shared" ca="1" si="19"/>
        <v>46118</v>
      </c>
      <c r="K240" s="13"/>
    </row>
    <row r="241" spans="1:11" ht="18" x14ac:dyDescent="0.4">
      <c r="A241" s="7" t="s">
        <v>98</v>
      </c>
      <c r="B241" s="85" t="s">
        <v>697</v>
      </c>
      <c r="C241" s="8">
        <v>47104</v>
      </c>
      <c r="D241" s="9">
        <v>552840970</v>
      </c>
      <c r="E241" s="57">
        <v>240</v>
      </c>
      <c r="F241" s="10" t="s">
        <v>240</v>
      </c>
      <c r="G241" s="88">
        <v>240</v>
      </c>
      <c r="H241" s="70">
        <f t="shared" si="17"/>
        <v>1</v>
      </c>
      <c r="I241" s="11">
        <f t="shared" ref="I241:I249" ca="1" si="23">I240</f>
        <v>46119</v>
      </c>
      <c r="J241" s="11">
        <f t="shared" ca="1" si="19"/>
        <v>46118</v>
      </c>
      <c r="K241" s="13"/>
    </row>
    <row r="242" spans="1:11" ht="18" x14ac:dyDescent="0.4">
      <c r="A242" s="7" t="s">
        <v>98</v>
      </c>
      <c r="B242" s="85" t="s">
        <v>697</v>
      </c>
      <c r="C242" s="8">
        <v>47104</v>
      </c>
      <c r="D242" s="9">
        <v>552840960</v>
      </c>
      <c r="E242" s="57">
        <v>240</v>
      </c>
      <c r="F242" s="10" t="s">
        <v>241</v>
      </c>
      <c r="G242" s="88">
        <v>1440</v>
      </c>
      <c r="H242" s="70">
        <f t="shared" si="17"/>
        <v>6</v>
      </c>
      <c r="I242" s="11">
        <f t="shared" ca="1" si="23"/>
        <v>46119</v>
      </c>
      <c r="J242" s="11">
        <f t="shared" ca="1" si="19"/>
        <v>46118</v>
      </c>
      <c r="K242" s="13"/>
    </row>
    <row r="243" spans="1:11" ht="18" x14ac:dyDescent="0.4">
      <c r="A243" s="7" t="s">
        <v>98</v>
      </c>
      <c r="B243" s="85" t="s">
        <v>722</v>
      </c>
      <c r="C243" s="8">
        <v>47850</v>
      </c>
      <c r="D243" s="61">
        <v>463603200</v>
      </c>
      <c r="E243" s="57">
        <v>80</v>
      </c>
      <c r="F243" s="10" t="s">
        <v>723</v>
      </c>
      <c r="G243" s="88">
        <v>480</v>
      </c>
      <c r="H243" s="70">
        <f t="shared" ref="H243" si="24">+G243/E243</f>
        <v>6</v>
      </c>
      <c r="I243" s="11">
        <f t="shared" ca="1" si="23"/>
        <v>46119</v>
      </c>
      <c r="J243" s="11">
        <f t="shared" ca="1" si="19"/>
        <v>46118</v>
      </c>
      <c r="K243" s="13"/>
    </row>
    <row r="244" spans="1:11" ht="18" x14ac:dyDescent="0.4">
      <c r="A244" s="7" t="s">
        <v>98</v>
      </c>
      <c r="B244" s="85" t="s">
        <v>716</v>
      </c>
      <c r="C244" s="8">
        <v>35657</v>
      </c>
      <c r="D244" s="9">
        <v>463370940</v>
      </c>
      <c r="E244" s="57">
        <v>500</v>
      </c>
      <c r="F244" s="10" t="s">
        <v>243</v>
      </c>
      <c r="G244" s="88">
        <v>0</v>
      </c>
      <c r="H244" s="70">
        <f t="shared" ref="H244:H250" si="25">+G244/E244</f>
        <v>0</v>
      </c>
      <c r="I244" s="11">
        <f ca="1">I242</f>
        <v>46119</v>
      </c>
      <c r="J244" s="11">
        <f t="shared" ca="1" si="19"/>
        <v>46118</v>
      </c>
      <c r="K244" s="13"/>
    </row>
    <row r="245" spans="1:11" ht="18" x14ac:dyDescent="0.4">
      <c r="A245" s="7" t="s">
        <v>98</v>
      </c>
      <c r="B245" s="85" t="s">
        <v>716</v>
      </c>
      <c r="C245" s="8">
        <v>35657</v>
      </c>
      <c r="D245" s="9">
        <v>463488490</v>
      </c>
      <c r="E245" s="57">
        <v>500</v>
      </c>
      <c r="F245" s="10" t="s">
        <v>243</v>
      </c>
      <c r="G245" s="88">
        <v>0</v>
      </c>
      <c r="H245" s="70">
        <f t="shared" si="25"/>
        <v>0</v>
      </c>
      <c r="I245" s="11">
        <f t="shared" ca="1" si="23"/>
        <v>46119</v>
      </c>
      <c r="J245" s="11">
        <f t="shared" ca="1" si="19"/>
        <v>46118</v>
      </c>
      <c r="K245" s="13"/>
    </row>
    <row r="246" spans="1:11" ht="18" x14ac:dyDescent="0.4">
      <c r="A246" s="7" t="s">
        <v>98</v>
      </c>
      <c r="B246" s="85" t="s">
        <v>244</v>
      </c>
      <c r="C246" s="8">
        <v>40840</v>
      </c>
      <c r="D246" s="9">
        <v>552822730</v>
      </c>
      <c r="E246" s="57">
        <v>750</v>
      </c>
      <c r="F246" s="10" t="s">
        <v>245</v>
      </c>
      <c r="G246" s="88">
        <v>0</v>
      </c>
      <c r="H246" s="70">
        <f t="shared" si="25"/>
        <v>0</v>
      </c>
      <c r="I246" s="11">
        <f t="shared" ca="1" si="23"/>
        <v>46119</v>
      </c>
      <c r="J246" s="11">
        <f t="shared" ref="J246:J250" ca="1" si="26">TODAY()</f>
        <v>46118</v>
      </c>
      <c r="K246" s="13"/>
    </row>
    <row r="247" spans="1:11" ht="18" x14ac:dyDescent="0.4">
      <c r="A247" s="7" t="s">
        <v>98</v>
      </c>
      <c r="B247" s="85" t="s">
        <v>244</v>
      </c>
      <c r="C247" s="8">
        <v>40840</v>
      </c>
      <c r="D247" s="9">
        <v>552822450</v>
      </c>
      <c r="E247" s="57">
        <v>700</v>
      </c>
      <c r="F247" s="10" t="s">
        <v>717</v>
      </c>
      <c r="G247" s="88">
        <v>0</v>
      </c>
      <c r="H247" s="70">
        <f t="shared" si="25"/>
        <v>0</v>
      </c>
      <c r="I247" s="11">
        <f t="shared" ca="1" si="23"/>
        <v>46119</v>
      </c>
      <c r="J247" s="11">
        <f t="shared" ca="1" si="26"/>
        <v>46118</v>
      </c>
      <c r="K247" s="13"/>
    </row>
    <row r="248" spans="1:11" ht="18" x14ac:dyDescent="0.4">
      <c r="A248" s="7" t="s">
        <v>98</v>
      </c>
      <c r="B248" s="85" t="s">
        <v>244</v>
      </c>
      <c r="C248" s="8">
        <v>40840</v>
      </c>
      <c r="D248" s="9">
        <v>552822810</v>
      </c>
      <c r="E248" s="57">
        <v>400</v>
      </c>
      <c r="F248" s="10" t="s">
        <v>247</v>
      </c>
      <c r="G248" s="88">
        <v>0</v>
      </c>
      <c r="H248" s="70">
        <f t="shared" si="25"/>
        <v>0</v>
      </c>
      <c r="I248" s="11">
        <f t="shared" ca="1" si="23"/>
        <v>46119</v>
      </c>
      <c r="J248" s="11">
        <f t="shared" ca="1" si="26"/>
        <v>46118</v>
      </c>
      <c r="K248" s="13"/>
    </row>
    <row r="249" spans="1:11" ht="18" x14ac:dyDescent="0.4">
      <c r="A249" s="7" t="s">
        <v>98</v>
      </c>
      <c r="B249" s="85" t="s">
        <v>244</v>
      </c>
      <c r="C249" s="8">
        <v>40840</v>
      </c>
      <c r="D249" s="9">
        <v>463384870</v>
      </c>
      <c r="E249" s="57">
        <v>500</v>
      </c>
      <c r="F249" s="10" t="s">
        <v>718</v>
      </c>
      <c r="G249" s="88">
        <v>0</v>
      </c>
      <c r="H249" s="70">
        <f t="shared" si="25"/>
        <v>0</v>
      </c>
      <c r="I249" s="11">
        <f t="shared" ca="1" si="23"/>
        <v>46119</v>
      </c>
      <c r="J249" s="11">
        <f t="shared" ca="1" si="26"/>
        <v>46118</v>
      </c>
      <c r="K249" s="13"/>
    </row>
    <row r="250" spans="1:11" ht="18" x14ac:dyDescent="0.4">
      <c r="A250" s="32" t="s">
        <v>98</v>
      </c>
      <c r="B250" s="87" t="s">
        <v>244</v>
      </c>
      <c r="C250" s="33">
        <v>40840</v>
      </c>
      <c r="D250" s="34">
        <v>162970240</v>
      </c>
      <c r="E250" s="62">
        <v>250</v>
      </c>
      <c r="F250" s="35" t="s">
        <v>196</v>
      </c>
      <c r="G250" s="89">
        <v>0</v>
      </c>
      <c r="H250" s="70">
        <f t="shared" si="25"/>
        <v>0</v>
      </c>
      <c r="I250" s="55">
        <f ca="1">I248</f>
        <v>46119</v>
      </c>
      <c r="J250" s="55">
        <f t="shared" ca="1" si="26"/>
        <v>46118</v>
      </c>
      <c r="K250" s="56"/>
    </row>
    <row r="251" spans="1:11" ht="18" x14ac:dyDescent="0.4">
      <c r="A251" s="7" t="s">
        <v>0</v>
      </c>
      <c r="B251" s="60" t="s">
        <v>248</v>
      </c>
      <c r="C251" s="57">
        <v>72958</v>
      </c>
      <c r="D251" s="70">
        <v>463526030</v>
      </c>
      <c r="E251" s="57">
        <v>120</v>
      </c>
      <c r="F251" s="71" t="s">
        <v>249</v>
      </c>
      <c r="G251" s="91">
        <v>0</v>
      </c>
      <c r="H251" s="70">
        <f t="shared" ref="H251:H306" si="27">+G251/E251</f>
        <v>0</v>
      </c>
      <c r="I251" s="53">
        <f ca="1">I250</f>
        <v>46119</v>
      </c>
      <c r="J251" s="53">
        <f t="shared" ca="1" si="1"/>
        <v>46118</v>
      </c>
      <c r="K251" s="21"/>
    </row>
    <row r="252" spans="1:11" ht="18" x14ac:dyDescent="0.4">
      <c r="A252" s="7" t="s">
        <v>0</v>
      </c>
      <c r="B252" s="60" t="s">
        <v>248</v>
      </c>
      <c r="C252" s="57">
        <v>72958</v>
      </c>
      <c r="D252" s="70">
        <v>463523670</v>
      </c>
      <c r="E252" s="57">
        <v>120</v>
      </c>
      <c r="F252" s="71" t="s">
        <v>249</v>
      </c>
      <c r="G252" s="61">
        <v>0</v>
      </c>
      <c r="H252" s="70">
        <f t="shared" si="27"/>
        <v>0</v>
      </c>
      <c r="I252" s="53">
        <f t="shared" ref="I252:I278" ca="1" si="28">I251</f>
        <v>46119</v>
      </c>
      <c r="J252" s="53">
        <f t="shared" ca="1" si="1"/>
        <v>46118</v>
      </c>
      <c r="K252" s="21"/>
    </row>
    <row r="253" spans="1:11" ht="18" x14ac:dyDescent="0.4">
      <c r="A253" s="7" t="s">
        <v>0</v>
      </c>
      <c r="B253" s="60" t="s">
        <v>248</v>
      </c>
      <c r="C253" s="57">
        <v>72958</v>
      </c>
      <c r="D253" s="70">
        <v>463523680</v>
      </c>
      <c r="E253" s="57">
        <v>120</v>
      </c>
      <c r="F253" s="71" t="s">
        <v>249</v>
      </c>
      <c r="G253" s="61">
        <v>0</v>
      </c>
      <c r="H253" s="70">
        <f t="shared" si="27"/>
        <v>0</v>
      </c>
      <c r="I253" s="53">
        <f t="shared" ca="1" si="28"/>
        <v>46119</v>
      </c>
      <c r="J253" s="53">
        <f t="shared" ca="1" si="1"/>
        <v>46118</v>
      </c>
      <c r="K253" s="21"/>
    </row>
    <row r="254" spans="1:11" ht="18" x14ac:dyDescent="0.4">
      <c r="A254" s="7" t="s">
        <v>0</v>
      </c>
      <c r="B254" s="60" t="s">
        <v>248</v>
      </c>
      <c r="C254" s="57">
        <v>72958</v>
      </c>
      <c r="D254" s="70">
        <v>463524370</v>
      </c>
      <c r="E254" s="57">
        <v>120</v>
      </c>
      <c r="F254" s="71" t="s">
        <v>249</v>
      </c>
      <c r="G254" s="61">
        <v>0</v>
      </c>
      <c r="H254" s="70">
        <f t="shared" si="27"/>
        <v>0</v>
      </c>
      <c r="I254" s="53">
        <f t="shared" ca="1" si="28"/>
        <v>46119</v>
      </c>
      <c r="J254" s="53">
        <f t="shared" ca="1" si="1"/>
        <v>46118</v>
      </c>
      <c r="K254" s="7"/>
    </row>
    <row r="255" spans="1:11" ht="18" x14ac:dyDescent="0.4">
      <c r="A255" s="7" t="s">
        <v>0</v>
      </c>
      <c r="B255" s="60" t="s">
        <v>248</v>
      </c>
      <c r="C255" s="57">
        <v>72958</v>
      </c>
      <c r="D255" s="70">
        <v>463524380</v>
      </c>
      <c r="E255" s="57">
        <v>120</v>
      </c>
      <c r="F255" s="71" t="s">
        <v>249</v>
      </c>
      <c r="G255" s="61">
        <v>0</v>
      </c>
      <c r="H255" s="70">
        <f t="shared" si="27"/>
        <v>0</v>
      </c>
      <c r="I255" s="53">
        <f t="shared" ca="1" si="28"/>
        <v>46119</v>
      </c>
      <c r="J255" s="53">
        <f t="shared" ca="1" si="1"/>
        <v>46118</v>
      </c>
      <c r="K255" s="7"/>
    </row>
    <row r="256" spans="1:11" ht="18" x14ac:dyDescent="0.4">
      <c r="A256" s="7" t="s">
        <v>0</v>
      </c>
      <c r="B256" s="60" t="s">
        <v>250</v>
      </c>
      <c r="C256" s="57">
        <v>37866</v>
      </c>
      <c r="D256" s="70">
        <v>463453590</v>
      </c>
      <c r="E256" s="57">
        <v>120</v>
      </c>
      <c r="F256" s="71" t="s">
        <v>249</v>
      </c>
      <c r="G256" s="61">
        <v>0</v>
      </c>
      <c r="H256" s="70">
        <f t="shared" si="27"/>
        <v>0</v>
      </c>
      <c r="I256" s="53">
        <f t="shared" ca="1" si="28"/>
        <v>46119</v>
      </c>
      <c r="J256" s="53">
        <f t="shared" ca="1" si="1"/>
        <v>46118</v>
      </c>
      <c r="K256" s="21"/>
    </row>
    <row r="257" spans="1:11" ht="18" x14ac:dyDescent="0.4">
      <c r="A257" s="7" t="s">
        <v>0</v>
      </c>
      <c r="B257" s="81" t="s">
        <v>250</v>
      </c>
      <c r="C257" s="57">
        <v>37866</v>
      </c>
      <c r="D257" s="70">
        <v>463453600</v>
      </c>
      <c r="E257" s="57">
        <v>120</v>
      </c>
      <c r="F257" s="71" t="s">
        <v>251</v>
      </c>
      <c r="G257" s="61">
        <v>0</v>
      </c>
      <c r="H257" s="70">
        <f t="shared" si="27"/>
        <v>0</v>
      </c>
      <c r="I257" s="53">
        <f t="shared" ca="1" si="28"/>
        <v>46119</v>
      </c>
      <c r="J257" s="53">
        <f t="shared" ca="1" si="1"/>
        <v>46118</v>
      </c>
      <c r="K257" s="21"/>
    </row>
    <row r="258" spans="1:11" ht="18" x14ac:dyDescent="0.4">
      <c r="A258" s="7" t="s">
        <v>0</v>
      </c>
      <c r="B258" s="81" t="s">
        <v>250</v>
      </c>
      <c r="C258" s="57">
        <v>37866</v>
      </c>
      <c r="D258" s="70">
        <v>463453610</v>
      </c>
      <c r="E258" s="57">
        <v>120</v>
      </c>
      <c r="F258" s="71" t="s">
        <v>252</v>
      </c>
      <c r="G258" s="61">
        <v>0</v>
      </c>
      <c r="H258" s="70">
        <f t="shared" si="27"/>
        <v>0</v>
      </c>
      <c r="I258" s="53">
        <f t="shared" ca="1" si="28"/>
        <v>46119</v>
      </c>
      <c r="J258" s="53">
        <f t="shared" ca="1" si="1"/>
        <v>46118</v>
      </c>
      <c r="K258" s="21"/>
    </row>
    <row r="259" spans="1:11" ht="18" x14ac:dyDescent="0.4">
      <c r="A259" s="7" t="s">
        <v>0</v>
      </c>
      <c r="B259" s="81" t="s">
        <v>250</v>
      </c>
      <c r="C259" s="57">
        <v>37866</v>
      </c>
      <c r="D259" s="70">
        <v>463453620</v>
      </c>
      <c r="E259" s="57">
        <v>120</v>
      </c>
      <c r="F259" s="71" t="s">
        <v>253</v>
      </c>
      <c r="G259" s="61">
        <v>0</v>
      </c>
      <c r="H259" s="70">
        <f t="shared" si="27"/>
        <v>0</v>
      </c>
      <c r="I259" s="53">
        <f t="shared" ca="1" si="28"/>
        <v>46119</v>
      </c>
      <c r="J259" s="53">
        <f t="shared" ca="1" si="1"/>
        <v>46118</v>
      </c>
      <c r="K259" s="21"/>
    </row>
    <row r="260" spans="1:11" ht="18" x14ac:dyDescent="0.4">
      <c r="A260" s="7" t="s">
        <v>0</v>
      </c>
      <c r="B260" s="81" t="s">
        <v>250</v>
      </c>
      <c r="C260" s="57">
        <v>37866</v>
      </c>
      <c r="D260" s="70">
        <v>463453580</v>
      </c>
      <c r="E260" s="57">
        <v>120</v>
      </c>
      <c r="F260" s="71" t="s">
        <v>249</v>
      </c>
      <c r="G260" s="61">
        <v>0</v>
      </c>
      <c r="H260" s="70">
        <f t="shared" si="27"/>
        <v>0</v>
      </c>
      <c r="I260" s="53">
        <f t="shared" ca="1" si="28"/>
        <v>46119</v>
      </c>
      <c r="J260" s="53">
        <f t="shared" ca="1" si="1"/>
        <v>46118</v>
      </c>
      <c r="K260" s="7"/>
    </row>
    <row r="261" spans="1:11" ht="18" x14ac:dyDescent="0.4">
      <c r="A261" s="7" t="s">
        <v>0</v>
      </c>
      <c r="B261" s="81" t="s">
        <v>250</v>
      </c>
      <c r="C261" s="57">
        <v>37866</v>
      </c>
      <c r="D261" s="70">
        <v>463453570</v>
      </c>
      <c r="E261" s="57">
        <v>120</v>
      </c>
      <c r="F261" s="71" t="s">
        <v>249</v>
      </c>
      <c r="G261" s="61">
        <v>0</v>
      </c>
      <c r="H261" s="70">
        <f t="shared" si="27"/>
        <v>0</v>
      </c>
      <c r="I261" s="53">
        <f t="shared" ca="1" si="28"/>
        <v>46119</v>
      </c>
      <c r="J261" s="53">
        <f t="shared" ca="1" si="1"/>
        <v>46118</v>
      </c>
      <c r="K261" s="21"/>
    </row>
    <row r="262" spans="1:11" ht="18" x14ac:dyDescent="0.4">
      <c r="A262" s="7" t="s">
        <v>0</v>
      </c>
      <c r="B262" s="81" t="s">
        <v>250</v>
      </c>
      <c r="C262" s="57">
        <v>37866</v>
      </c>
      <c r="D262" s="70">
        <v>463522020</v>
      </c>
      <c r="E262" s="57">
        <v>120</v>
      </c>
      <c r="F262" s="71" t="s">
        <v>249</v>
      </c>
      <c r="G262" s="61">
        <v>0</v>
      </c>
      <c r="H262" s="70">
        <f t="shared" si="27"/>
        <v>0</v>
      </c>
      <c r="I262" s="53">
        <f t="shared" ca="1" si="28"/>
        <v>46119</v>
      </c>
      <c r="J262" s="53">
        <f t="shared" ca="1" si="1"/>
        <v>46118</v>
      </c>
      <c r="K262" s="21"/>
    </row>
    <row r="263" spans="1:11" ht="18" x14ac:dyDescent="0.4">
      <c r="A263" s="7" t="s">
        <v>0</v>
      </c>
      <c r="B263" s="81" t="s">
        <v>250</v>
      </c>
      <c r="C263" s="57">
        <v>37866</v>
      </c>
      <c r="D263" s="70">
        <v>463522030</v>
      </c>
      <c r="E263" s="57">
        <v>120</v>
      </c>
      <c r="F263" s="71" t="s">
        <v>249</v>
      </c>
      <c r="G263" s="61">
        <v>0</v>
      </c>
      <c r="H263" s="70">
        <f t="shared" si="27"/>
        <v>0</v>
      </c>
      <c r="I263" s="53">
        <f t="shared" ca="1" si="28"/>
        <v>46119</v>
      </c>
      <c r="J263" s="53">
        <f t="shared" ca="1" si="1"/>
        <v>46118</v>
      </c>
      <c r="K263" s="7"/>
    </row>
    <row r="264" spans="1:11" ht="18" x14ac:dyDescent="0.4">
      <c r="A264" s="7" t="s">
        <v>0</v>
      </c>
      <c r="B264" s="81" t="s">
        <v>254</v>
      </c>
      <c r="C264" s="57">
        <v>1097</v>
      </c>
      <c r="D264" s="70">
        <v>552172560</v>
      </c>
      <c r="E264" s="57">
        <v>32</v>
      </c>
      <c r="F264" s="71" t="s">
        <v>255</v>
      </c>
      <c r="G264" s="61">
        <v>0</v>
      </c>
      <c r="H264" s="70">
        <f t="shared" si="27"/>
        <v>0</v>
      </c>
      <c r="I264" s="53">
        <f t="shared" ca="1" si="28"/>
        <v>46119</v>
      </c>
      <c r="J264" s="53">
        <f t="shared" ca="1" si="1"/>
        <v>46118</v>
      </c>
      <c r="K264" s="21"/>
    </row>
    <row r="265" spans="1:11" ht="18" x14ac:dyDescent="0.4">
      <c r="A265" s="7" t="s">
        <v>0</v>
      </c>
      <c r="B265" s="60" t="s">
        <v>254</v>
      </c>
      <c r="C265" s="57">
        <v>1097</v>
      </c>
      <c r="D265" s="70">
        <v>552172570</v>
      </c>
      <c r="E265" s="57">
        <v>32</v>
      </c>
      <c r="F265" s="71" t="s">
        <v>256</v>
      </c>
      <c r="G265" s="61">
        <v>0</v>
      </c>
      <c r="H265" s="70">
        <f t="shared" si="27"/>
        <v>0</v>
      </c>
      <c r="I265" s="53">
        <f ca="1">I264</f>
        <v>46119</v>
      </c>
      <c r="J265" s="53">
        <f t="shared" ca="1" si="1"/>
        <v>46118</v>
      </c>
      <c r="K265" s="21"/>
    </row>
    <row r="266" spans="1:11" ht="18" x14ac:dyDescent="0.4">
      <c r="A266" s="7" t="s">
        <v>0</v>
      </c>
      <c r="B266" s="60" t="s">
        <v>254</v>
      </c>
      <c r="C266" s="57">
        <v>1097</v>
      </c>
      <c r="D266" s="70">
        <v>463497420</v>
      </c>
      <c r="E266" s="57">
        <v>32</v>
      </c>
      <c r="F266" s="71" t="s">
        <v>257</v>
      </c>
      <c r="G266" s="61">
        <v>0</v>
      </c>
      <c r="H266" s="70">
        <f t="shared" si="27"/>
        <v>0</v>
      </c>
      <c r="I266" s="53">
        <f t="shared" ca="1" si="28"/>
        <v>46119</v>
      </c>
      <c r="J266" s="53">
        <f t="shared" ca="1" si="1"/>
        <v>46118</v>
      </c>
      <c r="K266" s="21"/>
    </row>
    <row r="267" spans="1:11" ht="18" x14ac:dyDescent="0.4">
      <c r="A267" s="7" t="s">
        <v>0</v>
      </c>
      <c r="B267" s="60" t="s">
        <v>254</v>
      </c>
      <c r="C267" s="57">
        <v>1097</v>
      </c>
      <c r="D267" s="70">
        <v>463497440</v>
      </c>
      <c r="E267" s="57">
        <v>32</v>
      </c>
      <c r="F267" s="71" t="s">
        <v>258</v>
      </c>
      <c r="G267" s="61">
        <v>0</v>
      </c>
      <c r="H267" s="70">
        <f t="shared" si="27"/>
        <v>0</v>
      </c>
      <c r="I267" s="53">
        <f t="shared" ca="1" si="28"/>
        <v>46119</v>
      </c>
      <c r="J267" s="53">
        <f t="shared" ca="1" si="1"/>
        <v>46118</v>
      </c>
      <c r="K267" s="21"/>
    </row>
    <row r="268" spans="1:11" ht="18" x14ac:dyDescent="0.4">
      <c r="A268" s="7" t="s">
        <v>0</v>
      </c>
      <c r="B268" s="60" t="s">
        <v>254</v>
      </c>
      <c r="C268" s="57">
        <v>1097</v>
      </c>
      <c r="D268" s="70">
        <v>552168990</v>
      </c>
      <c r="E268" s="57">
        <v>32</v>
      </c>
      <c r="F268" s="71" t="s">
        <v>257</v>
      </c>
      <c r="G268" s="61">
        <v>0</v>
      </c>
      <c r="H268" s="70">
        <f t="shared" si="27"/>
        <v>0</v>
      </c>
      <c r="I268" s="53">
        <f t="shared" ca="1" si="28"/>
        <v>46119</v>
      </c>
      <c r="J268" s="53">
        <f t="shared" ca="1" si="1"/>
        <v>46118</v>
      </c>
      <c r="K268" s="21"/>
    </row>
    <row r="269" spans="1:11" ht="18" x14ac:dyDescent="0.4">
      <c r="A269" s="7" t="s">
        <v>0</v>
      </c>
      <c r="B269" s="60" t="s">
        <v>254</v>
      </c>
      <c r="C269" s="57">
        <v>1097</v>
      </c>
      <c r="D269" s="70">
        <v>463478520</v>
      </c>
      <c r="E269" s="57">
        <v>32</v>
      </c>
      <c r="F269" s="71" t="s">
        <v>259</v>
      </c>
      <c r="G269" s="61">
        <v>0</v>
      </c>
      <c r="H269" s="70">
        <f t="shared" si="27"/>
        <v>0</v>
      </c>
      <c r="I269" s="53">
        <f t="shared" ca="1" si="28"/>
        <v>46119</v>
      </c>
      <c r="J269" s="53">
        <f t="shared" ca="1" si="1"/>
        <v>46118</v>
      </c>
      <c r="K269" s="21"/>
    </row>
    <row r="270" spans="1:11" ht="18" x14ac:dyDescent="0.4">
      <c r="A270" s="7" t="s">
        <v>0</v>
      </c>
      <c r="B270" s="60" t="s">
        <v>254</v>
      </c>
      <c r="C270" s="57">
        <v>1097</v>
      </c>
      <c r="D270" s="70">
        <v>463478480</v>
      </c>
      <c r="E270" s="57">
        <v>32</v>
      </c>
      <c r="F270" s="71" t="s">
        <v>260</v>
      </c>
      <c r="G270" s="61">
        <v>0</v>
      </c>
      <c r="H270" s="70">
        <f t="shared" si="27"/>
        <v>0</v>
      </c>
      <c r="I270" s="53">
        <f t="shared" ca="1" si="28"/>
        <v>46119</v>
      </c>
      <c r="J270" s="53">
        <f t="shared" ca="1" si="1"/>
        <v>46118</v>
      </c>
      <c r="K270" s="21"/>
    </row>
    <row r="271" spans="1:11" ht="18" x14ac:dyDescent="0.4">
      <c r="A271" s="7" t="s">
        <v>0</v>
      </c>
      <c r="B271" s="60" t="s">
        <v>254</v>
      </c>
      <c r="C271" s="57">
        <v>1097</v>
      </c>
      <c r="D271" s="70">
        <v>463478560</v>
      </c>
      <c r="E271" s="57">
        <v>32</v>
      </c>
      <c r="F271" s="71" t="s">
        <v>261</v>
      </c>
      <c r="G271" s="61">
        <v>0</v>
      </c>
      <c r="H271" s="70">
        <f t="shared" si="27"/>
        <v>0</v>
      </c>
      <c r="I271" s="53">
        <f t="shared" ca="1" si="28"/>
        <v>46119</v>
      </c>
      <c r="J271" s="53">
        <f t="shared" ca="1" si="1"/>
        <v>46118</v>
      </c>
      <c r="K271" s="21"/>
    </row>
    <row r="272" spans="1:11" ht="18" x14ac:dyDescent="0.4">
      <c r="A272" s="7" t="s">
        <v>0</v>
      </c>
      <c r="B272" s="60" t="s">
        <v>254</v>
      </c>
      <c r="C272" s="57">
        <v>1097</v>
      </c>
      <c r="D272" s="70">
        <v>463478590</v>
      </c>
      <c r="E272" s="57">
        <v>32</v>
      </c>
      <c r="F272" s="71" t="s">
        <v>262</v>
      </c>
      <c r="G272" s="61">
        <v>0</v>
      </c>
      <c r="H272" s="70">
        <f t="shared" si="27"/>
        <v>0</v>
      </c>
      <c r="I272" s="53">
        <f t="shared" ca="1" si="28"/>
        <v>46119</v>
      </c>
      <c r="J272" s="53">
        <f t="shared" ca="1" si="1"/>
        <v>46118</v>
      </c>
      <c r="K272" s="7"/>
    </row>
    <row r="273" spans="1:11" ht="18" x14ac:dyDescent="0.4">
      <c r="A273" s="7" t="s">
        <v>0</v>
      </c>
      <c r="B273" s="60" t="s">
        <v>254</v>
      </c>
      <c r="C273" s="57">
        <v>1097</v>
      </c>
      <c r="D273" s="70">
        <v>463526890</v>
      </c>
      <c r="E273" s="57">
        <v>32</v>
      </c>
      <c r="F273" s="71" t="s">
        <v>263</v>
      </c>
      <c r="G273" s="61">
        <v>0</v>
      </c>
      <c r="H273" s="70">
        <f t="shared" si="27"/>
        <v>0</v>
      </c>
      <c r="I273" s="53">
        <f t="shared" ca="1" si="28"/>
        <v>46119</v>
      </c>
      <c r="J273" s="53">
        <f t="shared" ca="1" si="1"/>
        <v>46118</v>
      </c>
      <c r="K273" s="7"/>
    </row>
    <row r="274" spans="1:11" ht="18" x14ac:dyDescent="0.4">
      <c r="A274" s="7" t="s">
        <v>0</v>
      </c>
      <c r="B274" s="60" t="s">
        <v>254</v>
      </c>
      <c r="C274" s="57">
        <v>1097</v>
      </c>
      <c r="D274" s="70">
        <v>463534080</v>
      </c>
      <c r="E274" s="57">
        <v>32</v>
      </c>
      <c r="F274" s="71" t="s">
        <v>263</v>
      </c>
      <c r="G274" s="61">
        <v>0</v>
      </c>
      <c r="H274" s="70">
        <f t="shared" si="27"/>
        <v>0</v>
      </c>
      <c r="I274" s="53">
        <f t="shared" ca="1" si="28"/>
        <v>46119</v>
      </c>
      <c r="J274" s="53">
        <f t="shared" ca="1" si="1"/>
        <v>46118</v>
      </c>
      <c r="K274" s="21"/>
    </row>
    <row r="275" spans="1:11" ht="18" x14ac:dyDescent="0.4">
      <c r="A275" s="7" t="s">
        <v>0</v>
      </c>
      <c r="B275" s="60" t="s">
        <v>264</v>
      </c>
      <c r="C275" s="7">
        <v>39667</v>
      </c>
      <c r="D275" s="9">
        <v>552809780</v>
      </c>
      <c r="E275" s="7">
        <v>360</v>
      </c>
      <c r="F275" s="19" t="s">
        <v>265</v>
      </c>
      <c r="G275" s="61">
        <v>0</v>
      </c>
      <c r="H275" s="70">
        <f t="shared" si="27"/>
        <v>0</v>
      </c>
      <c r="I275" s="53">
        <f t="shared" ca="1" si="28"/>
        <v>46119</v>
      </c>
      <c r="J275" s="53">
        <f t="shared" ca="1" si="1"/>
        <v>46118</v>
      </c>
      <c r="K275" s="21"/>
    </row>
    <row r="276" spans="1:11" ht="18" x14ac:dyDescent="0.4">
      <c r="A276" s="7" t="s">
        <v>0</v>
      </c>
      <c r="B276" s="81" t="s">
        <v>266</v>
      </c>
      <c r="C276" s="57">
        <v>35281</v>
      </c>
      <c r="D276" s="70">
        <v>521498190</v>
      </c>
      <c r="E276" s="57">
        <v>100</v>
      </c>
      <c r="F276" s="71" t="s">
        <v>267</v>
      </c>
      <c r="G276" s="61">
        <v>0</v>
      </c>
      <c r="H276" s="70">
        <f t="shared" si="27"/>
        <v>0</v>
      </c>
      <c r="I276" s="53">
        <f t="shared" ca="1" si="28"/>
        <v>46119</v>
      </c>
      <c r="J276" s="53">
        <f t="shared" ca="1" si="1"/>
        <v>46118</v>
      </c>
      <c r="K276" s="7"/>
    </row>
    <row r="277" spans="1:11" ht="18" x14ac:dyDescent="0.4">
      <c r="A277" s="7" t="s">
        <v>0</v>
      </c>
      <c r="B277" s="81" t="s">
        <v>266</v>
      </c>
      <c r="C277" s="57">
        <v>35281</v>
      </c>
      <c r="D277" s="70">
        <v>521641510</v>
      </c>
      <c r="E277" s="57">
        <v>100</v>
      </c>
      <c r="F277" s="71" t="s">
        <v>268</v>
      </c>
      <c r="G277" s="61">
        <v>0</v>
      </c>
      <c r="H277" s="70">
        <f t="shared" si="27"/>
        <v>0</v>
      </c>
      <c r="I277" s="53">
        <f t="shared" ca="1" si="28"/>
        <v>46119</v>
      </c>
      <c r="J277" s="53">
        <f t="shared" ca="1" si="1"/>
        <v>46118</v>
      </c>
      <c r="K277" s="7"/>
    </row>
    <row r="278" spans="1:11" ht="18" x14ac:dyDescent="0.4">
      <c r="A278" s="7" t="s">
        <v>0</v>
      </c>
      <c r="B278" s="81" t="s">
        <v>269</v>
      </c>
      <c r="C278" s="57">
        <v>64680</v>
      </c>
      <c r="D278" s="70">
        <v>552364550</v>
      </c>
      <c r="E278" s="57">
        <v>2160</v>
      </c>
      <c r="F278" s="71" t="s">
        <v>270</v>
      </c>
      <c r="G278" s="61">
        <v>0</v>
      </c>
      <c r="H278" s="70">
        <f t="shared" si="27"/>
        <v>0</v>
      </c>
      <c r="I278" s="53">
        <f t="shared" ca="1" si="28"/>
        <v>46119</v>
      </c>
      <c r="J278" s="53">
        <f t="shared" ca="1" si="1"/>
        <v>46118</v>
      </c>
      <c r="K278" s="21"/>
    </row>
    <row r="279" spans="1:11" ht="18" x14ac:dyDescent="0.4">
      <c r="A279" s="7" t="s">
        <v>0</v>
      </c>
      <c r="B279" s="81" t="s">
        <v>269</v>
      </c>
      <c r="C279" s="57">
        <v>64680</v>
      </c>
      <c r="D279" s="70">
        <v>552597520</v>
      </c>
      <c r="E279" s="57">
        <v>3600</v>
      </c>
      <c r="F279" s="71" t="s">
        <v>271</v>
      </c>
      <c r="G279" s="61">
        <v>0</v>
      </c>
      <c r="H279" s="70">
        <f t="shared" si="27"/>
        <v>0</v>
      </c>
      <c r="I279" s="53">
        <f t="shared" ref="I279:I342" ca="1" si="29">I278</f>
        <v>46119</v>
      </c>
      <c r="J279" s="53">
        <f t="shared" ca="1" si="1"/>
        <v>46118</v>
      </c>
      <c r="K279" s="21"/>
    </row>
    <row r="280" spans="1:11" ht="18" x14ac:dyDescent="0.4">
      <c r="A280" s="7" t="s">
        <v>0</v>
      </c>
      <c r="B280" s="81" t="s">
        <v>269</v>
      </c>
      <c r="C280" s="57">
        <v>64680</v>
      </c>
      <c r="D280" s="70">
        <v>551896360</v>
      </c>
      <c r="E280" s="57">
        <v>360</v>
      </c>
      <c r="F280" s="71" t="s">
        <v>272</v>
      </c>
      <c r="G280" s="61">
        <v>0</v>
      </c>
      <c r="H280" s="70">
        <f t="shared" si="27"/>
        <v>0</v>
      </c>
      <c r="I280" s="53">
        <f t="shared" ca="1" si="29"/>
        <v>46119</v>
      </c>
      <c r="J280" s="53">
        <f t="shared" ca="1" si="1"/>
        <v>46118</v>
      </c>
      <c r="K280" s="21"/>
    </row>
    <row r="281" spans="1:11" ht="18" x14ac:dyDescent="0.4">
      <c r="A281" s="7" t="s">
        <v>0</v>
      </c>
      <c r="B281" s="81" t="s">
        <v>269</v>
      </c>
      <c r="C281" s="57">
        <v>64680</v>
      </c>
      <c r="D281" s="70">
        <v>552305070</v>
      </c>
      <c r="E281" s="57">
        <v>360</v>
      </c>
      <c r="F281" s="71" t="s">
        <v>265</v>
      </c>
      <c r="G281" s="61">
        <v>0</v>
      </c>
      <c r="H281" s="70">
        <f t="shared" si="27"/>
        <v>0</v>
      </c>
      <c r="I281" s="53">
        <f t="shared" ca="1" si="29"/>
        <v>46119</v>
      </c>
      <c r="J281" s="53">
        <f t="shared" ca="1" si="1"/>
        <v>46118</v>
      </c>
      <c r="K281" s="21"/>
    </row>
    <row r="282" spans="1:11" ht="18" x14ac:dyDescent="0.4">
      <c r="A282" s="7" t="s">
        <v>0</v>
      </c>
      <c r="B282" s="81" t="s">
        <v>269</v>
      </c>
      <c r="C282" s="57">
        <v>64680</v>
      </c>
      <c r="D282" s="70">
        <v>463361860</v>
      </c>
      <c r="E282" s="57">
        <v>32</v>
      </c>
      <c r="F282" s="71" t="s">
        <v>273</v>
      </c>
      <c r="G282" s="61">
        <v>0</v>
      </c>
      <c r="H282" s="70">
        <f t="shared" si="27"/>
        <v>0</v>
      </c>
      <c r="I282" s="53">
        <f t="shared" ca="1" si="29"/>
        <v>46119</v>
      </c>
      <c r="J282" s="53">
        <f t="shared" ca="1" si="1"/>
        <v>46118</v>
      </c>
      <c r="K282" s="21"/>
    </row>
    <row r="283" spans="1:11" ht="18" x14ac:dyDescent="0.4">
      <c r="A283" s="7" t="s">
        <v>0</v>
      </c>
      <c r="B283" s="81" t="s">
        <v>269</v>
      </c>
      <c r="C283" s="57">
        <v>64680</v>
      </c>
      <c r="D283" s="70">
        <v>463361870</v>
      </c>
      <c r="E283" s="57">
        <v>32</v>
      </c>
      <c r="F283" s="71" t="s">
        <v>273</v>
      </c>
      <c r="G283" s="61">
        <v>0</v>
      </c>
      <c r="H283" s="70">
        <f t="shared" si="27"/>
        <v>0</v>
      </c>
      <c r="I283" s="53">
        <f t="shared" ca="1" si="29"/>
        <v>46119</v>
      </c>
      <c r="J283" s="53">
        <f t="shared" ca="1" si="1"/>
        <v>46118</v>
      </c>
      <c r="K283" s="21"/>
    </row>
    <row r="284" spans="1:11" ht="18" x14ac:dyDescent="0.4">
      <c r="A284" s="7" t="s">
        <v>0</v>
      </c>
      <c r="B284" s="81" t="s">
        <v>269</v>
      </c>
      <c r="C284" s="57">
        <v>64680</v>
      </c>
      <c r="D284" s="70">
        <v>463361880</v>
      </c>
      <c r="E284" s="57">
        <v>32</v>
      </c>
      <c r="F284" s="71" t="s">
        <v>274</v>
      </c>
      <c r="G284" s="61">
        <v>0</v>
      </c>
      <c r="H284" s="70">
        <f t="shared" si="27"/>
        <v>0</v>
      </c>
      <c r="I284" s="53">
        <f t="shared" ca="1" si="29"/>
        <v>46119</v>
      </c>
      <c r="J284" s="53">
        <f t="shared" ca="1" si="1"/>
        <v>46118</v>
      </c>
      <c r="K284" s="21"/>
    </row>
    <row r="285" spans="1:11" ht="18" x14ac:dyDescent="0.4">
      <c r="A285" s="7" t="s">
        <v>0</v>
      </c>
      <c r="B285" s="81" t="s">
        <v>269</v>
      </c>
      <c r="C285" s="57">
        <v>64680</v>
      </c>
      <c r="D285" s="70">
        <v>463361890</v>
      </c>
      <c r="E285" s="57">
        <v>32</v>
      </c>
      <c r="F285" s="71" t="s">
        <v>273</v>
      </c>
      <c r="G285" s="61">
        <v>0</v>
      </c>
      <c r="H285" s="70">
        <f t="shared" si="27"/>
        <v>0</v>
      </c>
      <c r="I285" s="53">
        <f t="shared" ca="1" si="29"/>
        <v>46119</v>
      </c>
      <c r="J285" s="53">
        <f t="shared" ca="1" si="1"/>
        <v>46118</v>
      </c>
      <c r="K285" s="21"/>
    </row>
    <row r="286" spans="1:11" ht="18" x14ac:dyDescent="0.4">
      <c r="A286" s="7" t="s">
        <v>0</v>
      </c>
      <c r="B286" s="81" t="s">
        <v>275</v>
      </c>
      <c r="C286" s="57">
        <v>37474</v>
      </c>
      <c r="D286" s="70">
        <v>518657410</v>
      </c>
      <c r="E286" s="57">
        <v>80</v>
      </c>
      <c r="F286" s="71" t="s">
        <v>276</v>
      </c>
      <c r="G286" s="61">
        <v>0</v>
      </c>
      <c r="H286" s="70">
        <f t="shared" si="27"/>
        <v>0</v>
      </c>
      <c r="I286" s="53">
        <f t="shared" ca="1" si="29"/>
        <v>46119</v>
      </c>
      <c r="J286" s="53">
        <f t="shared" ca="1" si="1"/>
        <v>46118</v>
      </c>
      <c r="K286" s="21"/>
    </row>
    <row r="287" spans="1:11" ht="18" x14ac:dyDescent="0.4">
      <c r="A287" s="7" t="s">
        <v>0</v>
      </c>
      <c r="B287" s="60" t="s">
        <v>277</v>
      </c>
      <c r="C287" s="57">
        <v>47097</v>
      </c>
      <c r="D287" s="70">
        <v>518469540</v>
      </c>
      <c r="E287" s="57">
        <v>80</v>
      </c>
      <c r="F287" s="71" t="s">
        <v>278</v>
      </c>
      <c r="G287" s="61">
        <v>0</v>
      </c>
      <c r="H287" s="70">
        <f t="shared" si="27"/>
        <v>0</v>
      </c>
      <c r="I287" s="53">
        <f t="shared" ca="1" si="29"/>
        <v>46119</v>
      </c>
      <c r="J287" s="53">
        <f t="shared" ca="1" si="1"/>
        <v>46118</v>
      </c>
      <c r="K287" s="21"/>
    </row>
    <row r="288" spans="1:11" ht="18" x14ac:dyDescent="0.4">
      <c r="A288" s="7" t="s">
        <v>0</v>
      </c>
      <c r="B288" s="60" t="s">
        <v>277</v>
      </c>
      <c r="C288" s="57">
        <v>47097</v>
      </c>
      <c r="D288" s="70">
        <v>521053400</v>
      </c>
      <c r="E288" s="57">
        <v>80</v>
      </c>
      <c r="F288" s="71" t="s">
        <v>279</v>
      </c>
      <c r="G288" s="61">
        <v>0</v>
      </c>
      <c r="H288" s="70">
        <f t="shared" si="27"/>
        <v>0</v>
      </c>
      <c r="I288" s="53">
        <f t="shared" ca="1" si="29"/>
        <v>46119</v>
      </c>
      <c r="J288" s="53">
        <f t="shared" ca="1" si="1"/>
        <v>46118</v>
      </c>
      <c r="K288" s="21"/>
    </row>
    <row r="289" spans="1:11" ht="18" x14ac:dyDescent="0.4">
      <c r="A289" s="7" t="s">
        <v>0</v>
      </c>
      <c r="B289" s="83" t="s">
        <v>277</v>
      </c>
      <c r="C289" s="75">
        <v>47097</v>
      </c>
      <c r="D289" s="76">
        <v>521053400</v>
      </c>
      <c r="E289" s="75">
        <v>80</v>
      </c>
      <c r="F289" s="77" t="s">
        <v>279</v>
      </c>
      <c r="G289" s="61">
        <v>0</v>
      </c>
      <c r="H289" s="70">
        <f t="shared" si="27"/>
        <v>0</v>
      </c>
      <c r="I289" s="11">
        <f t="shared" ca="1" si="29"/>
        <v>46119</v>
      </c>
      <c r="J289" s="11">
        <f t="shared" ca="1" si="1"/>
        <v>46118</v>
      </c>
      <c r="K289" s="8"/>
    </row>
    <row r="290" spans="1:11" ht="18" x14ac:dyDescent="0.4">
      <c r="A290" s="7" t="s">
        <v>0</v>
      </c>
      <c r="B290" s="60" t="s">
        <v>280</v>
      </c>
      <c r="C290" s="57">
        <v>78605</v>
      </c>
      <c r="D290" s="70">
        <v>552398190</v>
      </c>
      <c r="E290" s="57">
        <v>500</v>
      </c>
      <c r="F290" s="71" t="s">
        <v>281</v>
      </c>
      <c r="G290" s="61">
        <v>0</v>
      </c>
      <c r="H290" s="70">
        <f t="shared" si="27"/>
        <v>0</v>
      </c>
      <c r="I290" s="53">
        <f t="shared" ca="1" si="29"/>
        <v>46119</v>
      </c>
      <c r="J290" s="53">
        <f t="shared" ca="1" si="1"/>
        <v>46118</v>
      </c>
      <c r="K290" s="21"/>
    </row>
    <row r="291" spans="1:11" ht="18" x14ac:dyDescent="0.4">
      <c r="A291" s="7" t="s">
        <v>0</v>
      </c>
      <c r="B291" s="81" t="s">
        <v>282</v>
      </c>
      <c r="C291" s="57">
        <v>73850</v>
      </c>
      <c r="D291" s="70">
        <v>552188560</v>
      </c>
      <c r="E291" s="57">
        <v>50</v>
      </c>
      <c r="F291" s="71" t="s">
        <v>283</v>
      </c>
      <c r="G291" s="61">
        <v>0</v>
      </c>
      <c r="H291" s="70">
        <f t="shared" si="27"/>
        <v>0</v>
      </c>
      <c r="I291" s="53">
        <f t="shared" ca="1" si="29"/>
        <v>46119</v>
      </c>
      <c r="J291" s="53">
        <f t="shared" ca="1" si="1"/>
        <v>46118</v>
      </c>
      <c r="K291" s="21"/>
    </row>
    <row r="292" spans="1:11" ht="18" x14ac:dyDescent="0.4">
      <c r="A292" s="7" t="s">
        <v>0</v>
      </c>
      <c r="B292" s="81" t="s">
        <v>282</v>
      </c>
      <c r="C292" s="57">
        <v>73850</v>
      </c>
      <c r="D292" s="70">
        <v>552278750</v>
      </c>
      <c r="E292" s="57">
        <v>150</v>
      </c>
      <c r="F292" s="71" t="s">
        <v>284</v>
      </c>
      <c r="G292" s="61">
        <v>0</v>
      </c>
      <c r="H292" s="70">
        <f t="shared" si="27"/>
        <v>0</v>
      </c>
      <c r="I292" s="53">
        <f t="shared" ca="1" si="29"/>
        <v>46119</v>
      </c>
      <c r="J292" s="53">
        <f t="shared" ca="1" si="1"/>
        <v>46118</v>
      </c>
      <c r="K292" s="21"/>
    </row>
    <row r="293" spans="1:11" ht="18" x14ac:dyDescent="0.4">
      <c r="A293" s="7" t="s">
        <v>0</v>
      </c>
      <c r="B293" s="81" t="s">
        <v>282</v>
      </c>
      <c r="C293" s="57">
        <v>73850</v>
      </c>
      <c r="D293" s="70">
        <v>552278770</v>
      </c>
      <c r="E293" s="57">
        <v>150</v>
      </c>
      <c r="F293" s="71" t="s">
        <v>285</v>
      </c>
      <c r="G293" s="61">
        <v>0</v>
      </c>
      <c r="H293" s="70">
        <f t="shared" si="27"/>
        <v>0</v>
      </c>
      <c r="I293" s="53">
        <f t="shared" ca="1" si="29"/>
        <v>46119</v>
      </c>
      <c r="J293" s="53">
        <f t="shared" ca="1" si="1"/>
        <v>46118</v>
      </c>
      <c r="K293" s="21"/>
    </row>
    <row r="294" spans="1:11" ht="18" x14ac:dyDescent="0.4">
      <c r="A294" s="7" t="s">
        <v>0</v>
      </c>
      <c r="B294" s="81" t="s">
        <v>286</v>
      </c>
      <c r="C294" s="57">
        <v>51625</v>
      </c>
      <c r="D294" s="70">
        <v>551812430</v>
      </c>
      <c r="E294" s="57">
        <v>2160</v>
      </c>
      <c r="F294" s="71" t="s">
        <v>287</v>
      </c>
      <c r="G294" s="61">
        <v>0</v>
      </c>
      <c r="H294" s="70">
        <f t="shared" si="27"/>
        <v>0</v>
      </c>
      <c r="I294" s="53">
        <f t="shared" ca="1" si="29"/>
        <v>46119</v>
      </c>
      <c r="J294" s="53">
        <f t="shared" ca="1" si="1"/>
        <v>46118</v>
      </c>
      <c r="K294" s="21"/>
    </row>
    <row r="295" spans="1:11" ht="18" x14ac:dyDescent="0.4">
      <c r="A295" s="7" t="s">
        <v>0</v>
      </c>
      <c r="B295" s="81" t="s">
        <v>286</v>
      </c>
      <c r="C295" s="57">
        <v>51625</v>
      </c>
      <c r="D295" s="70">
        <v>552168510</v>
      </c>
      <c r="E295" s="57">
        <v>640</v>
      </c>
      <c r="F295" s="71" t="s">
        <v>287</v>
      </c>
      <c r="G295" s="61">
        <v>0</v>
      </c>
      <c r="H295" s="70">
        <f t="shared" si="27"/>
        <v>0</v>
      </c>
      <c r="I295" s="53">
        <f t="shared" ca="1" si="29"/>
        <v>46119</v>
      </c>
      <c r="J295" s="53">
        <f t="shared" ca="1" si="1"/>
        <v>46118</v>
      </c>
      <c r="K295" s="7"/>
    </row>
    <row r="296" spans="1:11" ht="18" x14ac:dyDescent="0.4">
      <c r="A296" s="7" t="s">
        <v>0</v>
      </c>
      <c r="B296" s="81" t="s">
        <v>286</v>
      </c>
      <c r="C296" s="57">
        <v>51625</v>
      </c>
      <c r="D296" s="70">
        <v>552188650</v>
      </c>
      <c r="E296" s="57">
        <v>640</v>
      </c>
      <c r="F296" s="71" t="s">
        <v>287</v>
      </c>
      <c r="G296" s="61">
        <v>0</v>
      </c>
      <c r="H296" s="70">
        <f t="shared" si="27"/>
        <v>0</v>
      </c>
      <c r="I296" s="53">
        <f t="shared" ca="1" si="29"/>
        <v>46119</v>
      </c>
      <c r="J296" s="53">
        <f t="shared" ca="1" si="1"/>
        <v>46118</v>
      </c>
      <c r="K296" s="7"/>
    </row>
    <row r="297" spans="1:11" ht="18" x14ac:dyDescent="0.4">
      <c r="A297" s="7" t="s">
        <v>0</v>
      </c>
      <c r="B297" s="82" t="s">
        <v>288</v>
      </c>
      <c r="C297" s="57">
        <v>20748</v>
      </c>
      <c r="D297" s="70">
        <v>552178590</v>
      </c>
      <c r="E297" s="57">
        <v>288</v>
      </c>
      <c r="F297" s="71" t="s">
        <v>289</v>
      </c>
      <c r="G297" s="61">
        <v>0</v>
      </c>
      <c r="H297" s="70">
        <f t="shared" si="27"/>
        <v>0</v>
      </c>
      <c r="I297" s="53">
        <f t="shared" ca="1" si="29"/>
        <v>46119</v>
      </c>
      <c r="J297" s="53">
        <f t="shared" ca="1" si="1"/>
        <v>46118</v>
      </c>
      <c r="K297" s="21"/>
    </row>
    <row r="298" spans="1:11" ht="18" x14ac:dyDescent="0.4">
      <c r="A298" s="7" t="s">
        <v>0</v>
      </c>
      <c r="B298" s="81" t="s">
        <v>290</v>
      </c>
      <c r="C298" s="57">
        <v>68265</v>
      </c>
      <c r="D298" s="70">
        <v>552776160</v>
      </c>
      <c r="E298" s="57">
        <v>150</v>
      </c>
      <c r="F298" s="71" t="s">
        <v>291</v>
      </c>
      <c r="G298" s="61">
        <v>0</v>
      </c>
      <c r="H298" s="70">
        <f t="shared" si="27"/>
        <v>0</v>
      </c>
      <c r="I298" s="11">
        <f t="shared" ca="1" si="29"/>
        <v>46119</v>
      </c>
      <c r="J298" s="11">
        <f t="shared" ca="1" si="1"/>
        <v>46118</v>
      </c>
      <c r="K298" s="13"/>
    </row>
    <row r="299" spans="1:11" ht="18" x14ac:dyDescent="0.4">
      <c r="A299" s="7" t="s">
        <v>0</v>
      </c>
      <c r="B299" s="81" t="s">
        <v>290</v>
      </c>
      <c r="C299" s="57">
        <v>68265</v>
      </c>
      <c r="D299" s="70">
        <v>552282450</v>
      </c>
      <c r="E299" s="57">
        <v>150</v>
      </c>
      <c r="F299" s="71" t="s">
        <v>291</v>
      </c>
      <c r="G299" s="61">
        <v>0</v>
      </c>
      <c r="H299" s="70">
        <f t="shared" si="27"/>
        <v>0</v>
      </c>
      <c r="I299" s="11">
        <f t="shared" ca="1" si="29"/>
        <v>46119</v>
      </c>
      <c r="J299" s="11">
        <f t="shared" ca="1" si="1"/>
        <v>46118</v>
      </c>
      <c r="K299" s="8"/>
    </row>
    <row r="300" spans="1:11" ht="18" x14ac:dyDescent="0.4">
      <c r="A300" s="7" t="s">
        <v>0</v>
      </c>
      <c r="B300" s="82" t="s">
        <v>292</v>
      </c>
      <c r="C300" s="57">
        <v>19424</v>
      </c>
      <c r="D300" s="70">
        <v>552384520</v>
      </c>
      <c r="E300" s="57">
        <v>1440</v>
      </c>
      <c r="F300" s="71" t="s">
        <v>293</v>
      </c>
      <c r="G300" s="61">
        <v>0</v>
      </c>
      <c r="H300" s="70">
        <f t="shared" si="27"/>
        <v>0</v>
      </c>
      <c r="I300" s="11">
        <f t="shared" ca="1" si="29"/>
        <v>46119</v>
      </c>
      <c r="J300" s="11">
        <f t="shared" ca="1" si="1"/>
        <v>46118</v>
      </c>
      <c r="K300" s="13"/>
    </row>
    <row r="301" spans="1:11" ht="18" x14ac:dyDescent="0.4">
      <c r="A301" s="7" t="s">
        <v>0</v>
      </c>
      <c r="B301" s="81" t="s">
        <v>294</v>
      </c>
      <c r="C301" s="57">
        <v>21796</v>
      </c>
      <c r="D301" s="70">
        <v>552807200</v>
      </c>
      <c r="E301" s="57">
        <v>1920</v>
      </c>
      <c r="F301" s="71" t="s">
        <v>293</v>
      </c>
      <c r="G301" s="61">
        <v>11520</v>
      </c>
      <c r="H301" s="70">
        <f t="shared" si="27"/>
        <v>6</v>
      </c>
      <c r="I301" s="11">
        <f t="shared" ca="1" si="29"/>
        <v>46119</v>
      </c>
      <c r="J301" s="11">
        <f t="shared" ca="1" si="1"/>
        <v>46118</v>
      </c>
      <c r="K301" s="8"/>
    </row>
    <row r="302" spans="1:11" ht="18" x14ac:dyDescent="0.4">
      <c r="A302" s="7" t="s">
        <v>0</v>
      </c>
      <c r="B302" s="81" t="s">
        <v>295</v>
      </c>
      <c r="C302" s="60">
        <v>51620</v>
      </c>
      <c r="D302" s="70">
        <v>552610980</v>
      </c>
      <c r="E302" s="57">
        <v>840</v>
      </c>
      <c r="F302" s="71" t="s">
        <v>296</v>
      </c>
      <c r="G302" s="61">
        <v>0</v>
      </c>
      <c r="H302" s="70">
        <f t="shared" si="27"/>
        <v>0</v>
      </c>
      <c r="I302" s="11">
        <f t="shared" ca="1" si="29"/>
        <v>46119</v>
      </c>
      <c r="J302" s="11">
        <f t="shared" ca="1" si="1"/>
        <v>46118</v>
      </c>
      <c r="K302" s="8"/>
    </row>
    <row r="303" spans="1:11" ht="18" x14ac:dyDescent="0.4">
      <c r="A303" s="7" t="s">
        <v>0</v>
      </c>
      <c r="B303" s="81" t="s">
        <v>295</v>
      </c>
      <c r="C303" s="60">
        <v>51620</v>
      </c>
      <c r="D303" s="70">
        <v>552611020</v>
      </c>
      <c r="E303" s="57">
        <v>1440</v>
      </c>
      <c r="F303" s="71" t="s">
        <v>297</v>
      </c>
      <c r="G303" s="61">
        <v>0</v>
      </c>
      <c r="H303" s="70">
        <f t="shared" si="27"/>
        <v>0</v>
      </c>
      <c r="I303" s="11">
        <f t="shared" ca="1" si="29"/>
        <v>46119</v>
      </c>
      <c r="J303" s="11">
        <f t="shared" ca="1" si="1"/>
        <v>46118</v>
      </c>
      <c r="K303" s="13"/>
    </row>
    <row r="304" spans="1:11" ht="18" x14ac:dyDescent="0.4">
      <c r="A304" s="7" t="s">
        <v>0</v>
      </c>
      <c r="B304" s="81" t="s">
        <v>295</v>
      </c>
      <c r="C304" s="60">
        <v>51620</v>
      </c>
      <c r="D304" s="70">
        <v>552611060</v>
      </c>
      <c r="E304" s="57">
        <v>840</v>
      </c>
      <c r="F304" s="71" t="s">
        <v>298</v>
      </c>
      <c r="G304" s="61">
        <v>0</v>
      </c>
      <c r="H304" s="70">
        <f t="shared" si="27"/>
        <v>0</v>
      </c>
      <c r="I304" s="11">
        <f t="shared" ca="1" si="29"/>
        <v>46119</v>
      </c>
      <c r="J304" s="11">
        <f t="shared" ca="1" si="1"/>
        <v>46118</v>
      </c>
      <c r="K304" s="13"/>
    </row>
    <row r="305" spans="1:11" ht="18" x14ac:dyDescent="0.4">
      <c r="A305" s="7" t="s">
        <v>0</v>
      </c>
      <c r="B305" s="81" t="s">
        <v>295</v>
      </c>
      <c r="C305" s="60">
        <v>51620</v>
      </c>
      <c r="D305" s="70">
        <v>552670810</v>
      </c>
      <c r="E305" s="57">
        <v>840</v>
      </c>
      <c r="F305" s="71" t="s">
        <v>296</v>
      </c>
      <c r="G305" s="61">
        <v>0</v>
      </c>
      <c r="H305" s="70">
        <f t="shared" si="27"/>
        <v>0</v>
      </c>
      <c r="I305" s="11">
        <f t="shared" ca="1" si="29"/>
        <v>46119</v>
      </c>
      <c r="J305" s="11">
        <f t="shared" ca="1" si="1"/>
        <v>46118</v>
      </c>
      <c r="K305" s="13"/>
    </row>
    <row r="306" spans="1:11" ht="18" x14ac:dyDescent="0.4">
      <c r="A306" s="7" t="s">
        <v>0</v>
      </c>
      <c r="B306" s="81" t="s">
        <v>295</v>
      </c>
      <c r="C306" s="60">
        <v>51620</v>
      </c>
      <c r="D306" s="70">
        <v>552670830</v>
      </c>
      <c r="E306" s="57">
        <v>1440</v>
      </c>
      <c r="F306" s="71" t="s">
        <v>297</v>
      </c>
      <c r="G306" s="61">
        <v>0</v>
      </c>
      <c r="H306" s="70">
        <f t="shared" si="27"/>
        <v>0</v>
      </c>
      <c r="I306" s="11">
        <f t="shared" ca="1" si="29"/>
        <v>46119</v>
      </c>
      <c r="J306" s="11">
        <f t="shared" ca="1" si="1"/>
        <v>46118</v>
      </c>
      <c r="K306" s="13"/>
    </row>
    <row r="307" spans="1:11" ht="18" x14ac:dyDescent="0.4">
      <c r="A307" s="7" t="s">
        <v>0</v>
      </c>
      <c r="B307" s="81" t="s">
        <v>295</v>
      </c>
      <c r="C307" s="60">
        <v>51620</v>
      </c>
      <c r="D307" s="70">
        <v>552670850</v>
      </c>
      <c r="E307" s="57">
        <v>840</v>
      </c>
      <c r="F307" s="71" t="s">
        <v>298</v>
      </c>
      <c r="G307" s="61">
        <v>0</v>
      </c>
      <c r="H307" s="70">
        <f t="shared" ref="H307:H370" si="30">+G307/E307</f>
        <v>0</v>
      </c>
      <c r="I307" s="11">
        <f t="shared" ca="1" si="29"/>
        <v>46119</v>
      </c>
      <c r="J307" s="11">
        <f t="shared" ca="1" si="1"/>
        <v>46118</v>
      </c>
      <c r="K307" s="13"/>
    </row>
    <row r="308" spans="1:11" ht="18" x14ac:dyDescent="0.4">
      <c r="A308" s="7" t="s">
        <v>0</v>
      </c>
      <c r="B308" s="81" t="s">
        <v>295</v>
      </c>
      <c r="C308" s="60">
        <v>51620</v>
      </c>
      <c r="D308" s="70">
        <v>552527010</v>
      </c>
      <c r="E308" s="57">
        <v>840</v>
      </c>
      <c r="F308" s="71" t="s">
        <v>296</v>
      </c>
      <c r="G308" s="61">
        <v>0</v>
      </c>
      <c r="H308" s="70">
        <f t="shared" si="30"/>
        <v>0</v>
      </c>
      <c r="I308" s="11">
        <f t="shared" ca="1" si="29"/>
        <v>46119</v>
      </c>
      <c r="J308" s="11">
        <f t="shared" ca="1" si="1"/>
        <v>46118</v>
      </c>
      <c r="K308" s="13"/>
    </row>
    <row r="309" spans="1:11" ht="18" x14ac:dyDescent="0.4">
      <c r="A309" s="7" t="s">
        <v>0</v>
      </c>
      <c r="B309" s="81" t="s">
        <v>295</v>
      </c>
      <c r="C309" s="60">
        <v>51620</v>
      </c>
      <c r="D309" s="70">
        <v>552527050</v>
      </c>
      <c r="E309" s="57">
        <v>1456</v>
      </c>
      <c r="F309" s="71" t="s">
        <v>297</v>
      </c>
      <c r="G309" s="61">
        <v>0</v>
      </c>
      <c r="H309" s="70">
        <f t="shared" si="30"/>
        <v>0</v>
      </c>
      <c r="I309" s="11">
        <f t="shared" ca="1" si="29"/>
        <v>46119</v>
      </c>
      <c r="J309" s="11">
        <f t="shared" ca="1" si="1"/>
        <v>46118</v>
      </c>
      <c r="K309" s="8"/>
    </row>
    <row r="310" spans="1:11" ht="18" x14ac:dyDescent="0.4">
      <c r="A310" s="7" t="s">
        <v>0</v>
      </c>
      <c r="B310" s="81" t="s">
        <v>295</v>
      </c>
      <c r="C310" s="60">
        <v>51620</v>
      </c>
      <c r="D310" s="70">
        <v>552527090</v>
      </c>
      <c r="E310" s="57">
        <v>840</v>
      </c>
      <c r="F310" s="71" t="s">
        <v>298</v>
      </c>
      <c r="G310" s="61">
        <v>0</v>
      </c>
      <c r="H310" s="70">
        <f t="shared" si="30"/>
        <v>0</v>
      </c>
      <c r="I310" s="11">
        <f t="shared" ca="1" si="29"/>
        <v>46119</v>
      </c>
      <c r="J310" s="11">
        <f t="shared" ca="1" si="1"/>
        <v>46118</v>
      </c>
      <c r="K310" s="8"/>
    </row>
    <row r="311" spans="1:11" ht="18" x14ac:dyDescent="0.4">
      <c r="A311" s="7" t="s">
        <v>0</v>
      </c>
      <c r="B311" s="81" t="s">
        <v>295</v>
      </c>
      <c r="C311" s="60">
        <v>51620</v>
      </c>
      <c r="D311" s="70">
        <v>552718660</v>
      </c>
      <c r="E311" s="57">
        <v>840</v>
      </c>
      <c r="F311" s="71" t="s">
        <v>296</v>
      </c>
      <c r="G311" s="61">
        <v>0</v>
      </c>
      <c r="H311" s="70">
        <f t="shared" si="30"/>
        <v>0</v>
      </c>
      <c r="I311" s="11">
        <f t="shared" ca="1" si="29"/>
        <v>46119</v>
      </c>
      <c r="J311" s="11">
        <f t="shared" ca="1" si="1"/>
        <v>46118</v>
      </c>
      <c r="K311" s="13"/>
    </row>
    <row r="312" spans="1:11" ht="18" x14ac:dyDescent="0.4">
      <c r="A312" s="7" t="s">
        <v>0</v>
      </c>
      <c r="B312" s="81" t="s">
        <v>295</v>
      </c>
      <c r="C312" s="60">
        <v>51620</v>
      </c>
      <c r="D312" s="70">
        <v>552720150</v>
      </c>
      <c r="E312" s="57">
        <v>1440</v>
      </c>
      <c r="F312" s="71" t="s">
        <v>297</v>
      </c>
      <c r="G312" s="61">
        <v>0</v>
      </c>
      <c r="H312" s="70">
        <f t="shared" si="30"/>
        <v>0</v>
      </c>
      <c r="I312" s="11">
        <f t="shared" ca="1" si="29"/>
        <v>46119</v>
      </c>
      <c r="J312" s="11">
        <f t="shared" ca="1" si="1"/>
        <v>46118</v>
      </c>
      <c r="K312" s="8"/>
    </row>
    <row r="313" spans="1:11" ht="18" x14ac:dyDescent="0.4">
      <c r="A313" s="7" t="s">
        <v>0</v>
      </c>
      <c r="B313" s="81" t="s">
        <v>295</v>
      </c>
      <c r="C313" s="60">
        <v>51620</v>
      </c>
      <c r="D313" s="70">
        <v>552720240</v>
      </c>
      <c r="E313" s="57">
        <v>840</v>
      </c>
      <c r="F313" s="71" t="s">
        <v>298</v>
      </c>
      <c r="G313" s="61">
        <v>0</v>
      </c>
      <c r="H313" s="70">
        <f t="shared" si="30"/>
        <v>0</v>
      </c>
      <c r="I313" s="11">
        <f t="shared" ca="1" si="29"/>
        <v>46119</v>
      </c>
      <c r="J313" s="11">
        <f t="shared" ca="1" si="1"/>
        <v>46118</v>
      </c>
      <c r="K313" s="13"/>
    </row>
    <row r="314" spans="1:11" ht="18" x14ac:dyDescent="0.4">
      <c r="A314" s="7" t="s">
        <v>0</v>
      </c>
      <c r="B314" s="81" t="s">
        <v>295</v>
      </c>
      <c r="C314" s="60">
        <v>51620</v>
      </c>
      <c r="D314" s="70">
        <v>552527390</v>
      </c>
      <c r="E314" s="57">
        <v>840</v>
      </c>
      <c r="F314" s="71" t="s">
        <v>296</v>
      </c>
      <c r="G314" s="61">
        <v>0</v>
      </c>
      <c r="H314" s="70">
        <f t="shared" si="30"/>
        <v>0</v>
      </c>
      <c r="I314" s="11">
        <f t="shared" ca="1" si="29"/>
        <v>46119</v>
      </c>
      <c r="J314" s="11">
        <f t="shared" ca="1" si="1"/>
        <v>46118</v>
      </c>
      <c r="K314" s="13"/>
    </row>
    <row r="315" spans="1:11" ht="18" x14ac:dyDescent="0.4">
      <c r="A315" s="7" t="s">
        <v>0</v>
      </c>
      <c r="B315" s="81" t="s">
        <v>295</v>
      </c>
      <c r="C315" s="60">
        <v>51620</v>
      </c>
      <c r="D315" s="70">
        <v>552527680</v>
      </c>
      <c r="E315" s="57">
        <v>1440</v>
      </c>
      <c r="F315" s="71" t="s">
        <v>297</v>
      </c>
      <c r="G315" s="61">
        <v>0</v>
      </c>
      <c r="H315" s="70">
        <f t="shared" si="30"/>
        <v>0</v>
      </c>
      <c r="I315" s="11">
        <f t="shared" ca="1" si="29"/>
        <v>46119</v>
      </c>
      <c r="J315" s="11">
        <f t="shared" ca="1" si="1"/>
        <v>46118</v>
      </c>
      <c r="K315" s="8"/>
    </row>
    <row r="316" spans="1:11" ht="18" x14ac:dyDescent="0.4">
      <c r="A316" s="7" t="s">
        <v>0</v>
      </c>
      <c r="B316" s="81" t="s">
        <v>295</v>
      </c>
      <c r="C316" s="60">
        <v>51620</v>
      </c>
      <c r="D316" s="70">
        <v>552527760</v>
      </c>
      <c r="E316" s="57">
        <v>840</v>
      </c>
      <c r="F316" s="71" t="s">
        <v>298</v>
      </c>
      <c r="G316" s="61">
        <v>0</v>
      </c>
      <c r="H316" s="70">
        <f t="shared" si="30"/>
        <v>0</v>
      </c>
      <c r="I316" s="11">
        <f t="shared" ca="1" si="29"/>
        <v>46119</v>
      </c>
      <c r="J316" s="11">
        <f t="shared" ca="1" si="1"/>
        <v>46118</v>
      </c>
      <c r="K316" s="13"/>
    </row>
    <row r="317" spans="1:11" ht="18" x14ac:dyDescent="0.4">
      <c r="A317" s="7" t="s">
        <v>0</v>
      </c>
      <c r="B317" s="81" t="s">
        <v>299</v>
      </c>
      <c r="C317" s="60">
        <v>51658</v>
      </c>
      <c r="D317" s="70">
        <v>552804260</v>
      </c>
      <c r="E317" s="57">
        <v>2000</v>
      </c>
      <c r="F317" s="71" t="s">
        <v>300</v>
      </c>
      <c r="G317" s="61">
        <v>0</v>
      </c>
      <c r="H317" s="70">
        <f t="shared" si="30"/>
        <v>0</v>
      </c>
      <c r="I317" s="11">
        <f t="shared" ca="1" si="29"/>
        <v>46119</v>
      </c>
      <c r="J317" s="11">
        <f t="shared" ca="1" si="1"/>
        <v>46118</v>
      </c>
      <c r="K317" s="13"/>
    </row>
    <row r="318" spans="1:11" ht="18" x14ac:dyDescent="0.4">
      <c r="A318" s="7" t="s">
        <v>0</v>
      </c>
      <c r="B318" s="81" t="s">
        <v>299</v>
      </c>
      <c r="C318" s="60">
        <v>51658</v>
      </c>
      <c r="D318" s="70">
        <v>552804270</v>
      </c>
      <c r="E318" s="57">
        <v>15000</v>
      </c>
      <c r="F318" s="71" t="s">
        <v>301</v>
      </c>
      <c r="G318" s="61">
        <v>0</v>
      </c>
      <c r="H318" s="70">
        <f t="shared" si="30"/>
        <v>0</v>
      </c>
      <c r="I318" s="11">
        <f t="shared" ca="1" si="29"/>
        <v>46119</v>
      </c>
      <c r="J318" s="11">
        <f t="shared" ca="1" si="1"/>
        <v>46118</v>
      </c>
      <c r="K318" s="13"/>
    </row>
    <row r="319" spans="1:11" ht="18" x14ac:dyDescent="0.4">
      <c r="A319" s="7" t="s">
        <v>0</v>
      </c>
      <c r="B319" s="81" t="s">
        <v>299</v>
      </c>
      <c r="C319" s="60">
        <v>51658</v>
      </c>
      <c r="D319" s="70">
        <v>552804280</v>
      </c>
      <c r="E319" s="57">
        <v>2000</v>
      </c>
      <c r="F319" s="71" t="s">
        <v>302</v>
      </c>
      <c r="G319" s="61">
        <v>0</v>
      </c>
      <c r="H319" s="70">
        <f t="shared" si="30"/>
        <v>0</v>
      </c>
      <c r="I319" s="11">
        <f t="shared" ca="1" si="29"/>
        <v>46119</v>
      </c>
      <c r="J319" s="11">
        <f t="shared" ca="1" si="1"/>
        <v>46118</v>
      </c>
      <c r="K319" s="13"/>
    </row>
    <row r="320" spans="1:11" ht="18" x14ac:dyDescent="0.4">
      <c r="A320" s="7" t="s">
        <v>0</v>
      </c>
      <c r="B320" s="81" t="s">
        <v>299</v>
      </c>
      <c r="C320" s="60">
        <v>51658</v>
      </c>
      <c r="D320" s="70">
        <v>552804320</v>
      </c>
      <c r="E320" s="57">
        <v>840</v>
      </c>
      <c r="F320" s="71" t="s">
        <v>303</v>
      </c>
      <c r="G320" s="61">
        <v>0</v>
      </c>
      <c r="H320" s="70">
        <f t="shared" si="30"/>
        <v>0</v>
      </c>
      <c r="I320" s="11">
        <f t="shared" ca="1" si="29"/>
        <v>46119</v>
      </c>
      <c r="J320" s="11">
        <f t="shared" ref="J320:J382" ca="1" si="31">TODAY()</f>
        <v>46118</v>
      </c>
      <c r="K320" s="13"/>
    </row>
    <row r="321" spans="1:11" ht="18" x14ac:dyDescent="0.4">
      <c r="A321" s="7" t="s">
        <v>0</v>
      </c>
      <c r="B321" s="81" t="s">
        <v>299</v>
      </c>
      <c r="C321" s="60">
        <v>51658</v>
      </c>
      <c r="D321" s="70">
        <v>552804330</v>
      </c>
      <c r="E321" s="57">
        <v>2400</v>
      </c>
      <c r="F321" s="71" t="s">
        <v>304</v>
      </c>
      <c r="G321" s="61">
        <v>0</v>
      </c>
      <c r="H321" s="70">
        <f t="shared" si="30"/>
        <v>0</v>
      </c>
      <c r="I321" s="11">
        <f t="shared" ca="1" si="29"/>
        <v>46119</v>
      </c>
      <c r="J321" s="11">
        <f t="shared" ca="1" si="31"/>
        <v>46118</v>
      </c>
      <c r="K321" s="13"/>
    </row>
    <row r="322" spans="1:11" ht="18" x14ac:dyDescent="0.4">
      <c r="A322" s="7" t="s">
        <v>0</v>
      </c>
      <c r="B322" s="81" t="s">
        <v>299</v>
      </c>
      <c r="C322" s="60">
        <v>51658</v>
      </c>
      <c r="D322" s="70">
        <v>552804340</v>
      </c>
      <c r="E322" s="57">
        <v>960</v>
      </c>
      <c r="F322" s="71" t="s">
        <v>305</v>
      </c>
      <c r="G322" s="61">
        <v>0</v>
      </c>
      <c r="H322" s="70">
        <f t="shared" si="30"/>
        <v>0</v>
      </c>
      <c r="I322" s="11">
        <f t="shared" ca="1" si="29"/>
        <v>46119</v>
      </c>
      <c r="J322" s="11">
        <f t="shared" ca="1" si="31"/>
        <v>46118</v>
      </c>
      <c r="K322" s="13"/>
    </row>
    <row r="323" spans="1:11" ht="18" x14ac:dyDescent="0.4">
      <c r="A323" s="7" t="s">
        <v>0</v>
      </c>
      <c r="B323" s="81" t="s">
        <v>299</v>
      </c>
      <c r="C323" s="60">
        <v>51658</v>
      </c>
      <c r="D323" s="70">
        <v>552105070</v>
      </c>
      <c r="E323" s="57">
        <v>1488</v>
      </c>
      <c r="F323" s="71" t="s">
        <v>306</v>
      </c>
      <c r="G323" s="61">
        <v>0</v>
      </c>
      <c r="H323" s="70">
        <f t="shared" si="30"/>
        <v>0</v>
      </c>
      <c r="I323" s="11">
        <f t="shared" ca="1" si="29"/>
        <v>46119</v>
      </c>
      <c r="J323" s="11">
        <f t="shared" ca="1" si="31"/>
        <v>46118</v>
      </c>
      <c r="K323" s="13"/>
    </row>
    <row r="324" spans="1:11" ht="18" x14ac:dyDescent="0.4">
      <c r="A324" s="7" t="s">
        <v>0</v>
      </c>
      <c r="B324" s="81" t="s">
        <v>299</v>
      </c>
      <c r="C324" s="60">
        <v>51658</v>
      </c>
      <c r="D324" s="70">
        <v>552105090</v>
      </c>
      <c r="E324" s="57">
        <v>14880</v>
      </c>
      <c r="F324" s="71" t="s">
        <v>307</v>
      </c>
      <c r="G324" s="61">
        <v>0</v>
      </c>
      <c r="H324" s="70">
        <f t="shared" si="30"/>
        <v>0</v>
      </c>
      <c r="I324" s="11">
        <f t="shared" ca="1" si="29"/>
        <v>46119</v>
      </c>
      <c r="J324" s="11">
        <f t="shared" ca="1" si="31"/>
        <v>46118</v>
      </c>
      <c r="K324" s="13"/>
    </row>
    <row r="325" spans="1:11" ht="18" x14ac:dyDescent="0.4">
      <c r="A325" s="7" t="s">
        <v>0</v>
      </c>
      <c r="B325" s="81" t="s">
        <v>299</v>
      </c>
      <c r="C325" s="60">
        <v>51658</v>
      </c>
      <c r="D325" s="70">
        <v>552105110</v>
      </c>
      <c r="E325" s="57">
        <v>1488</v>
      </c>
      <c r="F325" s="71" t="s">
        <v>308</v>
      </c>
      <c r="G325" s="61">
        <v>0</v>
      </c>
      <c r="H325" s="70">
        <f t="shared" si="30"/>
        <v>0</v>
      </c>
      <c r="I325" s="11">
        <f t="shared" ca="1" si="29"/>
        <v>46119</v>
      </c>
      <c r="J325" s="11">
        <f t="shared" ca="1" si="31"/>
        <v>46118</v>
      </c>
      <c r="K325" s="13"/>
    </row>
    <row r="326" spans="1:11" ht="18" x14ac:dyDescent="0.4">
      <c r="A326" s="7" t="s">
        <v>0</v>
      </c>
      <c r="B326" s="81" t="s">
        <v>299</v>
      </c>
      <c r="C326" s="60">
        <v>51658</v>
      </c>
      <c r="D326" s="70">
        <v>552107380</v>
      </c>
      <c r="E326" s="57">
        <v>1536</v>
      </c>
      <c r="F326" s="71" t="s">
        <v>306</v>
      </c>
      <c r="G326" s="61">
        <v>0</v>
      </c>
      <c r="H326" s="70">
        <f t="shared" si="30"/>
        <v>0</v>
      </c>
      <c r="I326" s="11">
        <f t="shared" ca="1" si="29"/>
        <v>46119</v>
      </c>
      <c r="J326" s="11">
        <f t="shared" ca="1" si="31"/>
        <v>46118</v>
      </c>
      <c r="K326" s="13"/>
    </row>
    <row r="327" spans="1:11" ht="18" x14ac:dyDescent="0.4">
      <c r="A327" s="7" t="s">
        <v>0</v>
      </c>
      <c r="B327" s="81" t="s">
        <v>299</v>
      </c>
      <c r="C327" s="60">
        <v>51658</v>
      </c>
      <c r="D327" s="70">
        <v>552107390</v>
      </c>
      <c r="E327" s="57">
        <v>15360</v>
      </c>
      <c r="F327" s="71" t="s">
        <v>307</v>
      </c>
      <c r="G327" s="61">
        <v>0</v>
      </c>
      <c r="H327" s="70">
        <f t="shared" si="30"/>
        <v>0</v>
      </c>
      <c r="I327" s="11">
        <f t="shared" ca="1" si="29"/>
        <v>46119</v>
      </c>
      <c r="J327" s="11">
        <f t="shared" ca="1" si="31"/>
        <v>46118</v>
      </c>
      <c r="K327" s="13"/>
    </row>
    <row r="328" spans="1:11" ht="18" x14ac:dyDescent="0.4">
      <c r="A328" s="7" t="s">
        <v>0</v>
      </c>
      <c r="B328" s="81" t="s">
        <v>299</v>
      </c>
      <c r="C328" s="60">
        <v>51658</v>
      </c>
      <c r="D328" s="70">
        <v>552107400</v>
      </c>
      <c r="E328" s="57">
        <v>1536</v>
      </c>
      <c r="F328" s="71" t="s">
        <v>308</v>
      </c>
      <c r="G328" s="61">
        <v>0</v>
      </c>
      <c r="H328" s="70">
        <f t="shared" si="30"/>
        <v>0</v>
      </c>
      <c r="I328" s="11">
        <f t="shared" ca="1" si="29"/>
        <v>46119</v>
      </c>
      <c r="J328" s="11">
        <f t="shared" ca="1" si="31"/>
        <v>46118</v>
      </c>
      <c r="K328" s="13"/>
    </row>
    <row r="329" spans="1:11" ht="18" x14ac:dyDescent="0.4">
      <c r="A329" s="7" t="s">
        <v>0</v>
      </c>
      <c r="B329" s="81" t="s">
        <v>309</v>
      </c>
      <c r="C329" s="60">
        <v>21570</v>
      </c>
      <c r="D329" s="70">
        <v>463363330</v>
      </c>
      <c r="E329" s="57">
        <v>28000</v>
      </c>
      <c r="F329" s="71" t="s">
        <v>310</v>
      </c>
      <c r="G329" s="61">
        <v>0</v>
      </c>
      <c r="H329" s="70">
        <f t="shared" si="30"/>
        <v>0</v>
      </c>
      <c r="I329" s="11">
        <f t="shared" ca="1" si="29"/>
        <v>46119</v>
      </c>
      <c r="J329" s="11">
        <f t="shared" ca="1" si="31"/>
        <v>46118</v>
      </c>
      <c r="K329" s="13"/>
    </row>
    <row r="330" spans="1:11" ht="18" x14ac:dyDescent="0.4">
      <c r="A330" s="7" t="s">
        <v>0</v>
      </c>
      <c r="B330" s="81" t="s">
        <v>311</v>
      </c>
      <c r="C330" s="60">
        <v>40840</v>
      </c>
      <c r="D330" s="70">
        <v>187521210</v>
      </c>
      <c r="E330" s="57">
        <v>900</v>
      </c>
      <c r="F330" s="71" t="s">
        <v>312</v>
      </c>
      <c r="G330" s="61">
        <v>0</v>
      </c>
      <c r="H330" s="70">
        <f t="shared" si="30"/>
        <v>0</v>
      </c>
      <c r="I330" s="11">
        <f t="shared" ca="1" si="29"/>
        <v>46119</v>
      </c>
      <c r="J330" s="11">
        <f t="shared" ca="1" si="31"/>
        <v>46118</v>
      </c>
      <c r="K330" s="13"/>
    </row>
    <row r="331" spans="1:11" ht="18" x14ac:dyDescent="0.4">
      <c r="A331" s="7" t="s">
        <v>0</v>
      </c>
      <c r="B331" s="81" t="s">
        <v>311</v>
      </c>
      <c r="C331" s="60">
        <v>40840</v>
      </c>
      <c r="D331" s="70">
        <v>162891240</v>
      </c>
      <c r="E331" s="57">
        <v>100</v>
      </c>
      <c r="F331" s="71" t="s">
        <v>313</v>
      </c>
      <c r="G331" s="61">
        <v>0</v>
      </c>
      <c r="H331" s="70">
        <f t="shared" si="30"/>
        <v>0</v>
      </c>
      <c r="I331" s="11">
        <f t="shared" ca="1" si="29"/>
        <v>46119</v>
      </c>
      <c r="J331" s="11">
        <f t="shared" ca="1" si="31"/>
        <v>46118</v>
      </c>
      <c r="K331" s="13"/>
    </row>
    <row r="332" spans="1:11" ht="18" x14ac:dyDescent="0.4">
      <c r="A332" s="7" t="s">
        <v>0</v>
      </c>
      <c r="B332" s="81" t="s">
        <v>311</v>
      </c>
      <c r="C332" s="60">
        <v>40840</v>
      </c>
      <c r="D332" s="70">
        <v>463447260</v>
      </c>
      <c r="E332" s="57">
        <v>100</v>
      </c>
      <c r="F332" s="71" t="s">
        <v>313</v>
      </c>
      <c r="G332" s="61">
        <v>0</v>
      </c>
      <c r="H332" s="70">
        <f t="shared" si="30"/>
        <v>0</v>
      </c>
      <c r="I332" s="11">
        <f t="shared" ca="1" si="29"/>
        <v>46119</v>
      </c>
      <c r="J332" s="11">
        <f t="shared" ca="1" si="31"/>
        <v>46118</v>
      </c>
      <c r="K332" s="13"/>
    </row>
    <row r="333" spans="1:11" ht="18" x14ac:dyDescent="0.4">
      <c r="A333" s="7" t="s">
        <v>0</v>
      </c>
      <c r="B333" s="81" t="s">
        <v>311</v>
      </c>
      <c r="C333" s="60">
        <v>40840</v>
      </c>
      <c r="D333" s="70">
        <v>551877380</v>
      </c>
      <c r="E333" s="57">
        <v>150</v>
      </c>
      <c r="F333" s="71" t="s">
        <v>314</v>
      </c>
      <c r="G333" s="61">
        <v>0</v>
      </c>
      <c r="H333" s="70">
        <f t="shared" si="30"/>
        <v>0</v>
      </c>
      <c r="I333" s="11">
        <f t="shared" ca="1" si="29"/>
        <v>46119</v>
      </c>
      <c r="J333" s="11">
        <f t="shared" ca="1" si="31"/>
        <v>46118</v>
      </c>
      <c r="K333" s="13"/>
    </row>
    <row r="334" spans="1:11" ht="18" x14ac:dyDescent="0.4">
      <c r="A334" s="7" t="s">
        <v>0</v>
      </c>
      <c r="B334" s="81" t="s">
        <v>311</v>
      </c>
      <c r="C334" s="60">
        <v>40840</v>
      </c>
      <c r="D334" s="70">
        <v>552650820</v>
      </c>
      <c r="E334" s="57">
        <v>300</v>
      </c>
      <c r="F334" s="71" t="s">
        <v>315</v>
      </c>
      <c r="G334" s="61">
        <v>0</v>
      </c>
      <c r="H334" s="70">
        <f t="shared" si="30"/>
        <v>0</v>
      </c>
      <c r="I334" s="11">
        <f t="shared" ca="1" si="29"/>
        <v>46119</v>
      </c>
      <c r="J334" s="11">
        <f t="shared" ca="1" si="31"/>
        <v>46118</v>
      </c>
      <c r="K334" s="13"/>
    </row>
    <row r="335" spans="1:11" ht="18" x14ac:dyDescent="0.4">
      <c r="A335" s="7" t="s">
        <v>0</v>
      </c>
      <c r="B335" s="81" t="s">
        <v>316</v>
      </c>
      <c r="C335" s="57">
        <v>30467</v>
      </c>
      <c r="D335" s="70">
        <v>140593110</v>
      </c>
      <c r="E335" s="57">
        <v>1200</v>
      </c>
      <c r="F335" s="71" t="s">
        <v>317</v>
      </c>
      <c r="G335" s="61">
        <v>0</v>
      </c>
      <c r="H335" s="70">
        <f t="shared" si="30"/>
        <v>0</v>
      </c>
      <c r="I335" s="11">
        <f t="shared" ca="1" si="29"/>
        <v>46119</v>
      </c>
      <c r="J335" s="11">
        <f t="shared" ca="1" si="31"/>
        <v>46118</v>
      </c>
      <c r="K335" s="13"/>
    </row>
    <row r="336" spans="1:11" ht="18" x14ac:dyDescent="0.4">
      <c r="A336" s="7" t="s">
        <v>0</v>
      </c>
      <c r="B336" s="81" t="s">
        <v>316</v>
      </c>
      <c r="C336" s="57">
        <v>30467</v>
      </c>
      <c r="D336" s="70">
        <v>140594210</v>
      </c>
      <c r="E336" s="57">
        <v>800</v>
      </c>
      <c r="F336" s="71" t="s">
        <v>318</v>
      </c>
      <c r="G336" s="61">
        <v>0</v>
      </c>
      <c r="H336" s="70">
        <f t="shared" si="30"/>
        <v>0</v>
      </c>
      <c r="I336" s="11">
        <f t="shared" ca="1" si="29"/>
        <v>46119</v>
      </c>
      <c r="J336" s="11">
        <f t="shared" ca="1" si="31"/>
        <v>46118</v>
      </c>
      <c r="K336" s="13"/>
    </row>
    <row r="337" spans="1:11" ht="18" x14ac:dyDescent="0.4">
      <c r="A337" s="7" t="s">
        <v>0</v>
      </c>
      <c r="B337" s="81" t="s">
        <v>316</v>
      </c>
      <c r="C337" s="57">
        <v>30467</v>
      </c>
      <c r="D337" s="70">
        <v>517309140</v>
      </c>
      <c r="E337" s="57">
        <v>2500</v>
      </c>
      <c r="F337" s="71" t="s">
        <v>319</v>
      </c>
      <c r="G337" s="61">
        <v>0</v>
      </c>
      <c r="H337" s="70">
        <f t="shared" si="30"/>
        <v>0</v>
      </c>
      <c r="I337" s="11">
        <f t="shared" ca="1" si="29"/>
        <v>46119</v>
      </c>
      <c r="J337" s="11">
        <f t="shared" ca="1" si="31"/>
        <v>46118</v>
      </c>
      <c r="K337" s="13"/>
    </row>
    <row r="338" spans="1:11" ht="18" x14ac:dyDescent="0.4">
      <c r="A338" s="7" t="s">
        <v>0</v>
      </c>
      <c r="B338" s="60" t="s">
        <v>320</v>
      </c>
      <c r="C338" s="57">
        <v>19414</v>
      </c>
      <c r="D338" s="70">
        <v>77463090</v>
      </c>
      <c r="E338" s="57">
        <v>430</v>
      </c>
      <c r="F338" s="71" t="s">
        <v>321</v>
      </c>
      <c r="G338" s="61">
        <v>0</v>
      </c>
      <c r="H338" s="70">
        <f t="shared" si="30"/>
        <v>0</v>
      </c>
      <c r="I338" s="11">
        <f t="shared" ca="1" si="29"/>
        <v>46119</v>
      </c>
      <c r="J338" s="11">
        <f t="shared" ca="1" si="31"/>
        <v>46118</v>
      </c>
      <c r="K338" s="13"/>
    </row>
    <row r="339" spans="1:11" ht="18" x14ac:dyDescent="0.4">
      <c r="A339" s="7" t="s">
        <v>0</v>
      </c>
      <c r="B339" s="81" t="s">
        <v>320</v>
      </c>
      <c r="C339" s="57">
        <v>19414</v>
      </c>
      <c r="D339" s="70">
        <v>115864240</v>
      </c>
      <c r="E339" s="57">
        <v>300</v>
      </c>
      <c r="F339" s="71" t="s">
        <v>322</v>
      </c>
      <c r="G339" s="61">
        <v>0</v>
      </c>
      <c r="H339" s="70">
        <f t="shared" si="30"/>
        <v>0</v>
      </c>
      <c r="I339" s="11">
        <f t="shared" ca="1" si="29"/>
        <v>46119</v>
      </c>
      <c r="J339" s="11">
        <f t="shared" ca="1" si="31"/>
        <v>46118</v>
      </c>
      <c r="K339" s="13"/>
    </row>
    <row r="340" spans="1:11" ht="18" x14ac:dyDescent="0.4">
      <c r="A340" s="7" t="s">
        <v>0</v>
      </c>
      <c r="B340" s="81" t="s">
        <v>320</v>
      </c>
      <c r="C340" s="57">
        <v>19414</v>
      </c>
      <c r="D340" s="70">
        <v>143083240</v>
      </c>
      <c r="E340" s="57">
        <v>260</v>
      </c>
      <c r="F340" s="71" t="s">
        <v>323</v>
      </c>
      <c r="G340" s="61">
        <v>0</v>
      </c>
      <c r="H340" s="70">
        <f t="shared" si="30"/>
        <v>0</v>
      </c>
      <c r="I340" s="11">
        <f t="shared" ca="1" si="29"/>
        <v>46119</v>
      </c>
      <c r="J340" s="11">
        <f t="shared" ca="1" si="31"/>
        <v>46118</v>
      </c>
      <c r="K340" s="13"/>
    </row>
    <row r="341" spans="1:11" ht="18" x14ac:dyDescent="0.4">
      <c r="A341" s="7" t="s">
        <v>0</v>
      </c>
      <c r="B341" s="81" t="s">
        <v>320</v>
      </c>
      <c r="C341" s="57">
        <v>19414</v>
      </c>
      <c r="D341" s="70">
        <v>143085240</v>
      </c>
      <c r="E341" s="57">
        <v>210</v>
      </c>
      <c r="F341" s="71" t="s">
        <v>324</v>
      </c>
      <c r="G341" s="61">
        <v>0</v>
      </c>
      <c r="H341" s="70">
        <f t="shared" si="30"/>
        <v>0</v>
      </c>
      <c r="I341" s="11">
        <f t="shared" ca="1" si="29"/>
        <v>46119</v>
      </c>
      <c r="J341" s="11">
        <f t="shared" ca="1" si="31"/>
        <v>46118</v>
      </c>
      <c r="K341" s="13"/>
    </row>
    <row r="342" spans="1:11" ht="18" x14ac:dyDescent="0.4">
      <c r="A342" s="7" t="s">
        <v>0</v>
      </c>
      <c r="B342" s="81" t="s">
        <v>320</v>
      </c>
      <c r="C342" s="57">
        <v>19414</v>
      </c>
      <c r="D342" s="70">
        <v>116127240</v>
      </c>
      <c r="E342" s="57">
        <v>2000</v>
      </c>
      <c r="F342" s="71" t="s">
        <v>325</v>
      </c>
      <c r="G342" s="61">
        <v>0</v>
      </c>
      <c r="H342" s="70">
        <f t="shared" si="30"/>
        <v>0</v>
      </c>
      <c r="I342" s="11">
        <f t="shared" ca="1" si="29"/>
        <v>46119</v>
      </c>
      <c r="J342" s="11">
        <f t="shared" ca="1" si="31"/>
        <v>46118</v>
      </c>
      <c r="K342" s="13"/>
    </row>
    <row r="343" spans="1:11" ht="18" x14ac:dyDescent="0.4">
      <c r="A343" s="7" t="s">
        <v>0</v>
      </c>
      <c r="B343" s="81" t="s">
        <v>320</v>
      </c>
      <c r="C343" s="57">
        <v>19414</v>
      </c>
      <c r="D343" s="70">
        <v>116131240</v>
      </c>
      <c r="E343" s="57">
        <v>1500</v>
      </c>
      <c r="F343" s="71" t="s">
        <v>326</v>
      </c>
      <c r="G343" s="61">
        <v>0</v>
      </c>
      <c r="H343" s="70">
        <f t="shared" si="30"/>
        <v>0</v>
      </c>
      <c r="I343" s="11">
        <f t="shared" ref="I343:I373" ca="1" si="32">I342</f>
        <v>46119</v>
      </c>
      <c r="J343" s="11">
        <f t="shared" ca="1" si="31"/>
        <v>46118</v>
      </c>
      <c r="K343" s="13"/>
    </row>
    <row r="344" spans="1:11" ht="18" x14ac:dyDescent="0.4">
      <c r="A344" s="7" t="s">
        <v>0</v>
      </c>
      <c r="B344" s="81" t="s">
        <v>320</v>
      </c>
      <c r="C344" s="57">
        <v>19414</v>
      </c>
      <c r="D344" s="70">
        <v>117340240</v>
      </c>
      <c r="E344" s="57">
        <v>300</v>
      </c>
      <c r="F344" s="71" t="s">
        <v>327</v>
      </c>
      <c r="G344" s="61">
        <v>0</v>
      </c>
      <c r="H344" s="70">
        <f t="shared" si="30"/>
        <v>0</v>
      </c>
      <c r="I344" s="11">
        <f t="shared" ca="1" si="32"/>
        <v>46119</v>
      </c>
      <c r="J344" s="11">
        <f t="shared" ca="1" si="31"/>
        <v>46118</v>
      </c>
      <c r="K344" s="13"/>
    </row>
    <row r="345" spans="1:11" ht="18" x14ac:dyDescent="0.4">
      <c r="A345" s="7" t="s">
        <v>0</v>
      </c>
      <c r="B345" s="81" t="s">
        <v>320</v>
      </c>
      <c r="C345" s="57">
        <v>19414</v>
      </c>
      <c r="D345" s="70">
        <v>160433240</v>
      </c>
      <c r="E345" s="57">
        <v>1000</v>
      </c>
      <c r="F345" s="71" t="s">
        <v>328</v>
      </c>
      <c r="G345" s="61">
        <v>0</v>
      </c>
      <c r="H345" s="70">
        <f t="shared" si="30"/>
        <v>0</v>
      </c>
      <c r="I345" s="11">
        <f t="shared" ca="1" si="32"/>
        <v>46119</v>
      </c>
      <c r="J345" s="11">
        <f t="shared" ca="1" si="31"/>
        <v>46118</v>
      </c>
      <c r="K345" s="13"/>
    </row>
    <row r="346" spans="1:11" ht="18" x14ac:dyDescent="0.4">
      <c r="A346" s="7" t="s">
        <v>0</v>
      </c>
      <c r="B346" s="81" t="s">
        <v>320</v>
      </c>
      <c r="C346" s="57">
        <v>19414</v>
      </c>
      <c r="D346" s="70">
        <v>162874240</v>
      </c>
      <c r="E346" s="57">
        <v>500</v>
      </c>
      <c r="F346" s="71" t="s">
        <v>329</v>
      </c>
      <c r="G346" s="61">
        <v>0</v>
      </c>
      <c r="H346" s="70">
        <f t="shared" si="30"/>
        <v>0</v>
      </c>
      <c r="I346" s="11">
        <f t="shared" ca="1" si="32"/>
        <v>46119</v>
      </c>
      <c r="J346" s="11">
        <f t="shared" ca="1" si="31"/>
        <v>46118</v>
      </c>
      <c r="K346" s="13"/>
    </row>
    <row r="347" spans="1:11" ht="18" x14ac:dyDescent="0.4">
      <c r="A347" s="7" t="s">
        <v>0</v>
      </c>
      <c r="B347" s="81" t="s">
        <v>320</v>
      </c>
      <c r="C347" s="57">
        <v>19414</v>
      </c>
      <c r="D347" s="70">
        <v>162883240</v>
      </c>
      <c r="E347" s="57">
        <v>500</v>
      </c>
      <c r="F347" s="71" t="s">
        <v>330</v>
      </c>
      <c r="G347" s="61">
        <v>0</v>
      </c>
      <c r="H347" s="70">
        <f t="shared" si="30"/>
        <v>0</v>
      </c>
      <c r="I347" s="11">
        <f t="shared" ca="1" si="32"/>
        <v>46119</v>
      </c>
      <c r="J347" s="11">
        <f t="shared" ca="1" si="31"/>
        <v>46118</v>
      </c>
      <c r="K347" s="13"/>
    </row>
    <row r="348" spans="1:11" ht="18" x14ac:dyDescent="0.4">
      <c r="A348" s="7" t="s">
        <v>0</v>
      </c>
      <c r="B348" s="81" t="s">
        <v>320</v>
      </c>
      <c r="C348" s="57">
        <v>19414</v>
      </c>
      <c r="D348" s="70">
        <v>187517240</v>
      </c>
      <c r="E348" s="57">
        <v>1200</v>
      </c>
      <c r="F348" s="71" t="s">
        <v>331</v>
      </c>
      <c r="G348" s="61">
        <v>0</v>
      </c>
      <c r="H348" s="70">
        <f t="shared" si="30"/>
        <v>0</v>
      </c>
      <c r="I348" s="11">
        <f t="shared" ca="1" si="32"/>
        <v>46119</v>
      </c>
      <c r="J348" s="11">
        <f t="shared" ca="1" si="31"/>
        <v>46118</v>
      </c>
      <c r="K348" s="13"/>
    </row>
    <row r="349" spans="1:11" ht="18" x14ac:dyDescent="0.4">
      <c r="A349" s="7" t="s">
        <v>0</v>
      </c>
      <c r="B349" s="81" t="s">
        <v>320</v>
      </c>
      <c r="C349" s="57">
        <v>19414</v>
      </c>
      <c r="D349" s="70">
        <v>465484560</v>
      </c>
      <c r="E349" s="57">
        <v>700</v>
      </c>
      <c r="F349" s="71" t="s">
        <v>185</v>
      </c>
      <c r="G349" s="61">
        <v>0</v>
      </c>
      <c r="H349" s="70">
        <f t="shared" si="30"/>
        <v>0</v>
      </c>
      <c r="I349" s="11">
        <f t="shared" ca="1" si="32"/>
        <v>46119</v>
      </c>
      <c r="J349" s="11">
        <f t="shared" ca="1" si="31"/>
        <v>46118</v>
      </c>
      <c r="K349" s="13"/>
    </row>
    <row r="350" spans="1:11" ht="18" x14ac:dyDescent="0.4">
      <c r="A350" s="7" t="s">
        <v>0</v>
      </c>
      <c r="B350" s="81" t="s">
        <v>320</v>
      </c>
      <c r="C350" s="57">
        <v>19414</v>
      </c>
      <c r="D350" s="70">
        <v>465484570</v>
      </c>
      <c r="E350" s="57">
        <v>400</v>
      </c>
      <c r="F350" s="71" t="s">
        <v>185</v>
      </c>
      <c r="G350" s="61">
        <v>0</v>
      </c>
      <c r="H350" s="70">
        <f t="shared" si="30"/>
        <v>0</v>
      </c>
      <c r="I350" s="11">
        <f t="shared" ca="1" si="32"/>
        <v>46119</v>
      </c>
      <c r="J350" s="11">
        <f t="shared" ca="1" si="31"/>
        <v>46118</v>
      </c>
      <c r="K350" s="13"/>
    </row>
    <row r="351" spans="1:11" ht="18" x14ac:dyDescent="0.4">
      <c r="A351" s="7" t="s">
        <v>0</v>
      </c>
      <c r="B351" s="81" t="s">
        <v>320</v>
      </c>
      <c r="C351" s="57">
        <v>19414</v>
      </c>
      <c r="D351" s="70">
        <v>552607160</v>
      </c>
      <c r="E351" s="57">
        <v>800</v>
      </c>
      <c r="F351" s="71" t="s">
        <v>332</v>
      </c>
      <c r="G351" s="61">
        <v>0</v>
      </c>
      <c r="H351" s="70">
        <f t="shared" si="30"/>
        <v>0</v>
      </c>
      <c r="I351" s="11">
        <f t="shared" ca="1" si="32"/>
        <v>46119</v>
      </c>
      <c r="J351" s="11">
        <f t="shared" ca="1" si="31"/>
        <v>46118</v>
      </c>
      <c r="K351" s="13"/>
    </row>
    <row r="352" spans="1:11" ht="18" x14ac:dyDescent="0.4">
      <c r="A352" s="7" t="s">
        <v>0</v>
      </c>
      <c r="B352" s="81" t="s">
        <v>320</v>
      </c>
      <c r="C352" s="57">
        <v>19414</v>
      </c>
      <c r="D352" s="70">
        <v>162860240</v>
      </c>
      <c r="E352" s="57">
        <v>1800</v>
      </c>
      <c r="F352" s="71" t="s">
        <v>315</v>
      </c>
      <c r="G352" s="61">
        <v>0</v>
      </c>
      <c r="H352" s="70">
        <f t="shared" si="30"/>
        <v>0</v>
      </c>
      <c r="I352" s="11">
        <f t="shared" ca="1" si="32"/>
        <v>46119</v>
      </c>
      <c r="J352" s="11">
        <f t="shared" ca="1" si="31"/>
        <v>46118</v>
      </c>
      <c r="K352" s="13"/>
    </row>
    <row r="353" spans="1:11" ht="18" x14ac:dyDescent="0.4">
      <c r="A353" s="7" t="s">
        <v>0</v>
      </c>
      <c r="B353" s="81" t="s">
        <v>320</v>
      </c>
      <c r="C353" s="57">
        <v>19414</v>
      </c>
      <c r="D353" s="70">
        <v>187505240</v>
      </c>
      <c r="E353" s="57">
        <v>1000</v>
      </c>
      <c r="F353" s="71" t="s">
        <v>333</v>
      </c>
      <c r="G353" s="61">
        <v>0</v>
      </c>
      <c r="H353" s="70">
        <f t="shared" si="30"/>
        <v>0</v>
      </c>
      <c r="I353" s="11">
        <f t="shared" ca="1" si="32"/>
        <v>46119</v>
      </c>
      <c r="J353" s="11">
        <f t="shared" ca="1" si="31"/>
        <v>46118</v>
      </c>
      <c r="K353" s="13"/>
    </row>
    <row r="354" spans="1:11" ht="18" x14ac:dyDescent="0.4">
      <c r="A354" s="7" t="s">
        <v>0</v>
      </c>
      <c r="B354" s="81" t="s">
        <v>320</v>
      </c>
      <c r="C354" s="57">
        <v>19414</v>
      </c>
      <c r="D354" s="70">
        <v>187524240</v>
      </c>
      <c r="E354" s="57">
        <v>800</v>
      </c>
      <c r="F354" s="71" t="s">
        <v>334</v>
      </c>
      <c r="G354" s="61">
        <v>0</v>
      </c>
      <c r="H354" s="70">
        <f t="shared" si="30"/>
        <v>0</v>
      </c>
      <c r="I354" s="11">
        <f t="shared" ca="1" si="32"/>
        <v>46119</v>
      </c>
      <c r="J354" s="11">
        <f t="shared" ca="1" si="31"/>
        <v>46118</v>
      </c>
      <c r="K354" s="13"/>
    </row>
    <row r="355" spans="1:11" ht="18" x14ac:dyDescent="0.4">
      <c r="A355" s="7" t="s">
        <v>0</v>
      </c>
      <c r="B355" s="81" t="s">
        <v>320</v>
      </c>
      <c r="C355" s="57">
        <v>19414</v>
      </c>
      <c r="D355" s="70">
        <v>551872090</v>
      </c>
      <c r="E355" s="57">
        <v>180</v>
      </c>
      <c r="F355" s="71" t="s">
        <v>335</v>
      </c>
      <c r="G355" s="61">
        <v>0</v>
      </c>
      <c r="H355" s="70">
        <f t="shared" si="30"/>
        <v>0</v>
      </c>
      <c r="I355" s="11">
        <f t="shared" ca="1" si="32"/>
        <v>46119</v>
      </c>
      <c r="J355" s="11">
        <f t="shared" ca="1" si="31"/>
        <v>46118</v>
      </c>
      <c r="K355" s="13"/>
    </row>
    <row r="356" spans="1:11" ht="18" x14ac:dyDescent="0.4">
      <c r="A356" s="7" t="s">
        <v>0</v>
      </c>
      <c r="B356" s="81" t="s">
        <v>320</v>
      </c>
      <c r="C356" s="57">
        <v>19414</v>
      </c>
      <c r="D356" s="70">
        <v>735012020</v>
      </c>
      <c r="E356" s="57">
        <v>220</v>
      </c>
      <c r="F356" s="71" t="s">
        <v>336</v>
      </c>
      <c r="G356" s="61">
        <v>0</v>
      </c>
      <c r="H356" s="70">
        <f t="shared" si="30"/>
        <v>0</v>
      </c>
      <c r="I356" s="11">
        <f t="shared" ca="1" si="32"/>
        <v>46119</v>
      </c>
      <c r="J356" s="11">
        <f t="shared" ca="1" si="31"/>
        <v>46118</v>
      </c>
      <c r="K356" s="13"/>
    </row>
    <row r="357" spans="1:11" ht="18" x14ac:dyDescent="0.4">
      <c r="A357" s="7" t="s">
        <v>0</v>
      </c>
      <c r="B357" s="81" t="s">
        <v>320</v>
      </c>
      <c r="C357" s="57">
        <v>19414</v>
      </c>
      <c r="D357" s="70">
        <v>735012040</v>
      </c>
      <c r="E357" s="57">
        <v>250</v>
      </c>
      <c r="F357" s="71" t="s">
        <v>337</v>
      </c>
      <c r="G357" s="61">
        <v>0</v>
      </c>
      <c r="H357" s="70">
        <f t="shared" si="30"/>
        <v>0</v>
      </c>
      <c r="I357" s="11">
        <f t="shared" ca="1" si="32"/>
        <v>46119</v>
      </c>
      <c r="J357" s="11">
        <f t="shared" ca="1" si="31"/>
        <v>46118</v>
      </c>
      <c r="K357" s="13"/>
    </row>
    <row r="358" spans="1:11" ht="18" x14ac:dyDescent="0.4">
      <c r="A358" s="7" t="s">
        <v>0</v>
      </c>
      <c r="B358" s="81" t="s">
        <v>320</v>
      </c>
      <c r="C358" s="57">
        <v>19414</v>
      </c>
      <c r="D358" s="70">
        <v>735012080</v>
      </c>
      <c r="E358" s="57">
        <v>600</v>
      </c>
      <c r="F358" s="71" t="s">
        <v>338</v>
      </c>
      <c r="G358" s="61">
        <v>0</v>
      </c>
      <c r="H358" s="70">
        <f t="shared" si="30"/>
        <v>0</v>
      </c>
      <c r="I358" s="11">
        <f t="shared" ca="1" si="32"/>
        <v>46119</v>
      </c>
      <c r="J358" s="11">
        <f t="shared" ca="1" si="31"/>
        <v>46118</v>
      </c>
      <c r="K358" s="13"/>
    </row>
    <row r="359" spans="1:11" ht="18" x14ac:dyDescent="0.4">
      <c r="A359" s="7" t="s">
        <v>0</v>
      </c>
      <c r="B359" s="81" t="s">
        <v>320</v>
      </c>
      <c r="C359" s="57">
        <v>19414</v>
      </c>
      <c r="D359" s="70">
        <v>135872210</v>
      </c>
      <c r="E359" s="57">
        <v>2800</v>
      </c>
      <c r="F359" s="71" t="s">
        <v>339</v>
      </c>
      <c r="G359" s="61">
        <v>0</v>
      </c>
      <c r="H359" s="70">
        <f t="shared" si="30"/>
        <v>0</v>
      </c>
      <c r="I359" s="11">
        <f t="shared" ca="1" si="32"/>
        <v>46119</v>
      </c>
      <c r="J359" s="11">
        <f t="shared" ca="1" si="31"/>
        <v>46118</v>
      </c>
      <c r="K359" s="13"/>
    </row>
    <row r="360" spans="1:11" ht="18" x14ac:dyDescent="0.4">
      <c r="A360" s="7" t="s">
        <v>0</v>
      </c>
      <c r="B360" s="81" t="s">
        <v>340</v>
      </c>
      <c r="C360" s="57">
        <v>27951</v>
      </c>
      <c r="D360" s="70">
        <v>162870240</v>
      </c>
      <c r="E360" s="57">
        <v>800</v>
      </c>
      <c r="F360" s="71" t="s">
        <v>341</v>
      </c>
      <c r="G360" s="61">
        <v>0</v>
      </c>
      <c r="H360" s="70">
        <f t="shared" si="30"/>
        <v>0</v>
      </c>
      <c r="I360" s="11">
        <f t="shared" ca="1" si="32"/>
        <v>46119</v>
      </c>
      <c r="J360" s="11">
        <f t="shared" ca="1" si="31"/>
        <v>46118</v>
      </c>
      <c r="K360" s="13"/>
    </row>
    <row r="361" spans="1:11" ht="18" x14ac:dyDescent="0.4">
      <c r="A361" s="7" t="s">
        <v>0</v>
      </c>
      <c r="B361" s="81" t="s">
        <v>340</v>
      </c>
      <c r="C361" s="57">
        <v>27951</v>
      </c>
      <c r="D361" s="70">
        <v>552581940</v>
      </c>
      <c r="E361" s="57">
        <v>800</v>
      </c>
      <c r="F361" s="71" t="s">
        <v>342</v>
      </c>
      <c r="G361" s="61">
        <v>0</v>
      </c>
      <c r="H361" s="70">
        <f t="shared" si="30"/>
        <v>0</v>
      </c>
      <c r="I361" s="11">
        <f t="shared" ca="1" si="32"/>
        <v>46119</v>
      </c>
      <c r="J361" s="11">
        <f t="shared" ca="1" si="31"/>
        <v>46118</v>
      </c>
      <c r="K361" s="13"/>
    </row>
    <row r="362" spans="1:11" ht="18" x14ac:dyDescent="0.4">
      <c r="A362" s="7" t="s">
        <v>0</v>
      </c>
      <c r="B362" s="81" t="s">
        <v>343</v>
      </c>
      <c r="C362" s="57">
        <v>10627</v>
      </c>
      <c r="D362" s="70">
        <v>116123240</v>
      </c>
      <c r="E362" s="57">
        <v>18000</v>
      </c>
      <c r="F362" s="71" t="s">
        <v>344</v>
      </c>
      <c r="G362" s="61">
        <v>0</v>
      </c>
      <c r="H362" s="70">
        <f t="shared" si="30"/>
        <v>0</v>
      </c>
      <c r="I362" s="11">
        <f t="shared" ca="1" si="32"/>
        <v>46119</v>
      </c>
      <c r="J362" s="11">
        <f t="shared" ca="1" si="31"/>
        <v>46118</v>
      </c>
      <c r="K362" s="13"/>
    </row>
    <row r="363" spans="1:11" ht="18" x14ac:dyDescent="0.4">
      <c r="A363" s="7" t="s">
        <v>0</v>
      </c>
      <c r="B363" s="81" t="s">
        <v>137</v>
      </c>
      <c r="C363" s="57">
        <v>36019</v>
      </c>
      <c r="D363" s="70">
        <v>130307240</v>
      </c>
      <c r="E363" s="57">
        <v>350</v>
      </c>
      <c r="F363" s="71" t="s">
        <v>345</v>
      </c>
      <c r="G363" s="61">
        <v>0</v>
      </c>
      <c r="H363" s="70">
        <f t="shared" si="30"/>
        <v>0</v>
      </c>
      <c r="I363" s="11">
        <f t="shared" ca="1" si="32"/>
        <v>46119</v>
      </c>
      <c r="J363" s="11">
        <f t="shared" ca="1" si="31"/>
        <v>46118</v>
      </c>
      <c r="K363" s="13"/>
    </row>
    <row r="364" spans="1:11" ht="18" x14ac:dyDescent="0.4">
      <c r="A364" s="7" t="s">
        <v>0</v>
      </c>
      <c r="B364" s="81" t="s">
        <v>137</v>
      </c>
      <c r="C364" s="57">
        <v>36019</v>
      </c>
      <c r="D364" s="70">
        <v>143078240</v>
      </c>
      <c r="E364" s="57">
        <v>350</v>
      </c>
      <c r="F364" s="71" t="s">
        <v>346</v>
      </c>
      <c r="G364" s="61">
        <v>0</v>
      </c>
      <c r="H364" s="70">
        <f t="shared" si="30"/>
        <v>0</v>
      </c>
      <c r="I364" s="11">
        <f t="shared" ca="1" si="32"/>
        <v>46119</v>
      </c>
      <c r="J364" s="11">
        <f t="shared" ca="1" si="31"/>
        <v>46118</v>
      </c>
      <c r="K364" s="13"/>
    </row>
    <row r="365" spans="1:11" ht="18" x14ac:dyDescent="0.4">
      <c r="A365" s="7" t="s">
        <v>0</v>
      </c>
      <c r="B365" s="81" t="s">
        <v>137</v>
      </c>
      <c r="C365" s="57">
        <v>36019</v>
      </c>
      <c r="D365" s="70">
        <v>159720240</v>
      </c>
      <c r="E365" s="57">
        <v>130</v>
      </c>
      <c r="F365" s="71" t="s">
        <v>347</v>
      </c>
      <c r="G365" s="61">
        <v>0</v>
      </c>
      <c r="H365" s="70">
        <f t="shared" si="30"/>
        <v>0</v>
      </c>
      <c r="I365" s="11">
        <f t="shared" ca="1" si="32"/>
        <v>46119</v>
      </c>
      <c r="J365" s="11">
        <f t="shared" ca="1" si="31"/>
        <v>46118</v>
      </c>
      <c r="K365" s="13"/>
    </row>
    <row r="366" spans="1:11" ht="18" x14ac:dyDescent="0.4">
      <c r="A366" s="7" t="s">
        <v>0</v>
      </c>
      <c r="B366" s="81" t="s">
        <v>137</v>
      </c>
      <c r="C366" s="57">
        <v>36019</v>
      </c>
      <c r="D366" s="70">
        <v>187502240</v>
      </c>
      <c r="E366" s="57">
        <v>1400</v>
      </c>
      <c r="F366" s="71" t="s">
        <v>348</v>
      </c>
      <c r="G366" s="61">
        <v>0</v>
      </c>
      <c r="H366" s="70">
        <f t="shared" si="30"/>
        <v>0</v>
      </c>
      <c r="I366" s="11">
        <f t="shared" ca="1" si="32"/>
        <v>46119</v>
      </c>
      <c r="J366" s="11">
        <f t="shared" ca="1" si="31"/>
        <v>46118</v>
      </c>
      <c r="K366" s="13"/>
    </row>
    <row r="367" spans="1:11" ht="18" x14ac:dyDescent="0.4">
      <c r="A367" s="7" t="s">
        <v>0</v>
      </c>
      <c r="B367" s="81" t="s">
        <v>137</v>
      </c>
      <c r="C367" s="57">
        <v>36019</v>
      </c>
      <c r="D367" s="70">
        <v>187528210</v>
      </c>
      <c r="E367" s="57">
        <v>1400</v>
      </c>
      <c r="F367" s="71" t="s">
        <v>349</v>
      </c>
      <c r="G367" s="61">
        <v>0</v>
      </c>
      <c r="H367" s="70">
        <f t="shared" si="30"/>
        <v>0</v>
      </c>
      <c r="I367" s="11">
        <f t="shared" ca="1" si="32"/>
        <v>46119</v>
      </c>
      <c r="J367" s="11">
        <f t="shared" ca="1" si="31"/>
        <v>46118</v>
      </c>
      <c r="K367" s="13"/>
    </row>
    <row r="368" spans="1:11" ht="18" x14ac:dyDescent="0.4">
      <c r="A368" s="7" t="s">
        <v>0</v>
      </c>
      <c r="B368" s="81" t="s">
        <v>137</v>
      </c>
      <c r="C368" s="57">
        <v>36019</v>
      </c>
      <c r="D368" s="70">
        <v>463472570</v>
      </c>
      <c r="E368" s="57">
        <v>1200</v>
      </c>
      <c r="F368" s="71" t="s">
        <v>350</v>
      </c>
      <c r="G368" s="61">
        <v>0</v>
      </c>
      <c r="H368" s="70">
        <f t="shared" si="30"/>
        <v>0</v>
      </c>
      <c r="I368" s="11">
        <f t="shared" ca="1" si="32"/>
        <v>46119</v>
      </c>
      <c r="J368" s="11">
        <f t="shared" ca="1" si="31"/>
        <v>46118</v>
      </c>
      <c r="K368" s="13"/>
    </row>
    <row r="369" spans="1:11" ht="18" x14ac:dyDescent="0.4">
      <c r="A369" s="7" t="s">
        <v>0</v>
      </c>
      <c r="B369" s="81" t="s">
        <v>137</v>
      </c>
      <c r="C369" s="57">
        <v>36019</v>
      </c>
      <c r="D369" s="70">
        <v>551877370</v>
      </c>
      <c r="E369" s="57">
        <v>3600</v>
      </c>
      <c r="F369" s="71" t="s">
        <v>351</v>
      </c>
      <c r="G369" s="61">
        <v>0</v>
      </c>
      <c r="H369" s="70">
        <f t="shared" si="30"/>
        <v>0</v>
      </c>
      <c r="I369" s="11">
        <f t="shared" ca="1" si="32"/>
        <v>46119</v>
      </c>
      <c r="J369" s="11">
        <f t="shared" ca="1" si="31"/>
        <v>46118</v>
      </c>
      <c r="K369" s="13"/>
    </row>
    <row r="370" spans="1:11" ht="18" x14ac:dyDescent="0.4">
      <c r="A370" s="7" t="s">
        <v>0</v>
      </c>
      <c r="B370" s="81" t="s">
        <v>137</v>
      </c>
      <c r="C370" s="57">
        <v>36019</v>
      </c>
      <c r="D370" s="70">
        <v>552501310</v>
      </c>
      <c r="E370" s="57">
        <v>350</v>
      </c>
      <c r="F370" s="71" t="s">
        <v>352</v>
      </c>
      <c r="G370" s="61">
        <v>0</v>
      </c>
      <c r="H370" s="70">
        <f t="shared" si="30"/>
        <v>0</v>
      </c>
      <c r="I370" s="11">
        <f t="shared" ca="1" si="32"/>
        <v>46119</v>
      </c>
      <c r="J370" s="11">
        <f t="shared" ca="1" si="31"/>
        <v>46118</v>
      </c>
      <c r="K370" s="13"/>
    </row>
    <row r="371" spans="1:11" ht="18" x14ac:dyDescent="0.4">
      <c r="A371" s="7" t="s">
        <v>0</v>
      </c>
      <c r="B371" s="81" t="s">
        <v>137</v>
      </c>
      <c r="C371" s="57">
        <v>36019</v>
      </c>
      <c r="D371" s="70">
        <v>552261740</v>
      </c>
      <c r="E371" s="57">
        <v>250</v>
      </c>
      <c r="F371" s="71" t="s">
        <v>353</v>
      </c>
      <c r="G371" s="61">
        <v>0</v>
      </c>
      <c r="H371" s="70">
        <f t="shared" ref="H371:H434" si="33">+G371/E371</f>
        <v>0</v>
      </c>
      <c r="I371" s="11">
        <f t="shared" ca="1" si="32"/>
        <v>46119</v>
      </c>
      <c r="J371" s="11">
        <f t="shared" ca="1" si="31"/>
        <v>46118</v>
      </c>
      <c r="K371" s="13"/>
    </row>
    <row r="372" spans="1:11" ht="18" x14ac:dyDescent="0.4">
      <c r="A372" s="7" t="s">
        <v>0</v>
      </c>
      <c r="B372" s="81" t="s">
        <v>137</v>
      </c>
      <c r="C372" s="57">
        <v>36019</v>
      </c>
      <c r="D372" s="70">
        <v>463507860</v>
      </c>
      <c r="E372" s="57">
        <v>150</v>
      </c>
      <c r="F372" s="71" t="s">
        <v>127</v>
      </c>
      <c r="G372" s="61">
        <v>0</v>
      </c>
      <c r="H372" s="70">
        <f t="shared" si="33"/>
        <v>0</v>
      </c>
      <c r="I372" s="11">
        <f t="shared" ca="1" si="32"/>
        <v>46119</v>
      </c>
      <c r="J372" s="11">
        <f t="shared" ca="1" si="31"/>
        <v>46118</v>
      </c>
      <c r="K372" s="13"/>
    </row>
    <row r="373" spans="1:11" ht="18" x14ac:dyDescent="0.4">
      <c r="A373" s="14" t="s">
        <v>0</v>
      </c>
      <c r="B373" s="84" t="s">
        <v>137</v>
      </c>
      <c r="C373" s="78">
        <v>36019</v>
      </c>
      <c r="D373" s="79">
        <v>552589360</v>
      </c>
      <c r="E373" s="78">
        <v>230</v>
      </c>
      <c r="F373" s="80" t="s">
        <v>127</v>
      </c>
      <c r="G373" s="90">
        <v>0</v>
      </c>
      <c r="H373" s="70">
        <f t="shared" si="33"/>
        <v>0</v>
      </c>
      <c r="I373" s="36">
        <f t="shared" ca="1" si="32"/>
        <v>46119</v>
      </c>
      <c r="J373" s="36">
        <f t="shared" ca="1" si="31"/>
        <v>46118</v>
      </c>
      <c r="K373" s="15"/>
    </row>
    <row r="374" spans="1:11" ht="18" x14ac:dyDescent="0.4">
      <c r="A374" s="7" t="s">
        <v>719</v>
      </c>
      <c r="B374" s="7" t="s">
        <v>354</v>
      </c>
      <c r="C374" s="8">
        <v>30464</v>
      </c>
      <c r="D374" s="9">
        <v>463444260</v>
      </c>
      <c r="E374" s="57">
        <v>200</v>
      </c>
      <c r="F374" s="10" t="s">
        <v>356</v>
      </c>
      <c r="G374" s="9">
        <v>0</v>
      </c>
      <c r="H374" s="70">
        <f t="shared" si="33"/>
        <v>0</v>
      </c>
      <c r="I374" s="11">
        <f ca="1">I373</f>
        <v>46119</v>
      </c>
      <c r="J374" s="11">
        <f t="shared" ca="1" si="31"/>
        <v>46118</v>
      </c>
      <c r="K374" s="13"/>
    </row>
    <row r="375" spans="1:11" ht="18" x14ac:dyDescent="0.4">
      <c r="A375" s="7" t="s">
        <v>719</v>
      </c>
      <c r="B375" s="7" t="s">
        <v>357</v>
      </c>
      <c r="C375" s="8">
        <v>19414</v>
      </c>
      <c r="D375" s="9">
        <v>463584330</v>
      </c>
      <c r="E375" s="57">
        <v>1500</v>
      </c>
      <c r="F375" s="10" t="s">
        <v>168</v>
      </c>
      <c r="G375" s="9">
        <v>25500</v>
      </c>
      <c r="H375" s="70">
        <f t="shared" si="33"/>
        <v>17</v>
      </c>
      <c r="I375" s="11">
        <f t="shared" ref="I375:I438" ca="1" si="34">I374</f>
        <v>46119</v>
      </c>
      <c r="J375" s="11">
        <f t="shared" ca="1" si="31"/>
        <v>46118</v>
      </c>
      <c r="K375" s="13"/>
    </row>
    <row r="376" spans="1:11" ht="18" x14ac:dyDescent="0.4">
      <c r="A376" s="7" t="s">
        <v>719</v>
      </c>
      <c r="B376" s="7" t="s">
        <v>357</v>
      </c>
      <c r="C376" s="8">
        <v>19414</v>
      </c>
      <c r="D376" s="9">
        <v>552709810</v>
      </c>
      <c r="E376" s="57">
        <v>100</v>
      </c>
      <c r="F376" s="10" t="s">
        <v>358</v>
      </c>
      <c r="G376" s="9">
        <v>900</v>
      </c>
      <c r="H376" s="70">
        <f t="shared" si="33"/>
        <v>9</v>
      </c>
      <c r="I376" s="11">
        <f t="shared" ca="1" si="34"/>
        <v>46119</v>
      </c>
      <c r="J376" s="11">
        <f t="shared" ca="1" si="31"/>
        <v>46118</v>
      </c>
      <c r="K376" s="13"/>
    </row>
    <row r="377" spans="1:11" ht="18" x14ac:dyDescent="0.4">
      <c r="A377" s="7" t="s">
        <v>719</v>
      </c>
      <c r="B377" s="7" t="s">
        <v>357</v>
      </c>
      <c r="C377" s="8">
        <v>19414</v>
      </c>
      <c r="D377" s="9">
        <v>552679990</v>
      </c>
      <c r="E377" s="57">
        <v>600</v>
      </c>
      <c r="F377" s="10" t="s">
        <v>359</v>
      </c>
      <c r="G377" s="9">
        <v>4200</v>
      </c>
      <c r="H377" s="70">
        <f t="shared" si="33"/>
        <v>7</v>
      </c>
      <c r="I377" s="11">
        <f t="shared" ca="1" si="34"/>
        <v>46119</v>
      </c>
      <c r="J377" s="11">
        <f t="shared" ca="1" si="31"/>
        <v>46118</v>
      </c>
      <c r="K377" s="13"/>
    </row>
    <row r="378" spans="1:11" ht="18" x14ac:dyDescent="0.4">
      <c r="A378" s="7" t="s">
        <v>719</v>
      </c>
      <c r="B378" s="7" t="s">
        <v>357</v>
      </c>
      <c r="C378" s="8">
        <v>19414</v>
      </c>
      <c r="D378" s="9">
        <v>552819860</v>
      </c>
      <c r="E378" s="57">
        <v>50</v>
      </c>
      <c r="F378" s="10" t="s">
        <v>360</v>
      </c>
      <c r="G378" s="9">
        <v>64200</v>
      </c>
      <c r="H378" s="70">
        <f t="shared" si="33"/>
        <v>1284</v>
      </c>
      <c r="I378" s="11">
        <f t="shared" ca="1" si="34"/>
        <v>46119</v>
      </c>
      <c r="J378" s="11">
        <f t="shared" ca="1" si="31"/>
        <v>46118</v>
      </c>
      <c r="K378" s="13"/>
    </row>
    <row r="379" spans="1:11" ht="18" x14ac:dyDescent="0.4">
      <c r="A379" s="7" t="s">
        <v>719</v>
      </c>
      <c r="B379" s="7" t="s">
        <v>357</v>
      </c>
      <c r="C379" s="8">
        <v>19414</v>
      </c>
      <c r="D379" s="9">
        <v>552584580</v>
      </c>
      <c r="E379" s="57">
        <v>600</v>
      </c>
      <c r="F379" s="10" t="s">
        <v>361</v>
      </c>
      <c r="G379" s="9">
        <v>19800</v>
      </c>
      <c r="H379" s="70">
        <f t="shared" si="33"/>
        <v>33</v>
      </c>
      <c r="I379" s="11">
        <f t="shared" ca="1" si="34"/>
        <v>46119</v>
      </c>
      <c r="J379" s="11">
        <f t="shared" ca="1" si="31"/>
        <v>46118</v>
      </c>
      <c r="K379" s="13"/>
    </row>
    <row r="380" spans="1:11" ht="18" x14ac:dyDescent="0.4">
      <c r="A380" s="7" t="s">
        <v>719</v>
      </c>
      <c r="B380" s="7" t="s">
        <v>357</v>
      </c>
      <c r="C380" s="8">
        <v>19414</v>
      </c>
      <c r="D380" s="9">
        <v>552691000</v>
      </c>
      <c r="E380" s="57">
        <v>800</v>
      </c>
      <c r="F380" s="10" t="s">
        <v>362</v>
      </c>
      <c r="G380" s="9">
        <v>0</v>
      </c>
      <c r="H380" s="70">
        <f t="shared" si="33"/>
        <v>0</v>
      </c>
      <c r="I380" s="11">
        <f t="shared" ca="1" si="34"/>
        <v>46119</v>
      </c>
      <c r="J380" s="11">
        <f t="shared" ca="1" si="31"/>
        <v>46118</v>
      </c>
      <c r="K380" s="13"/>
    </row>
    <row r="381" spans="1:11" ht="18" x14ac:dyDescent="0.4">
      <c r="A381" s="7" t="s">
        <v>719</v>
      </c>
      <c r="B381" s="7" t="s">
        <v>357</v>
      </c>
      <c r="C381" s="8">
        <v>19414</v>
      </c>
      <c r="D381" s="9">
        <v>187529240</v>
      </c>
      <c r="E381" s="57">
        <v>400</v>
      </c>
      <c r="F381" s="10" t="s">
        <v>363</v>
      </c>
      <c r="G381" s="9">
        <v>0</v>
      </c>
      <c r="H381" s="70">
        <f t="shared" si="33"/>
        <v>0</v>
      </c>
      <c r="I381" s="11">
        <f t="shared" ca="1" si="34"/>
        <v>46119</v>
      </c>
      <c r="J381" s="11">
        <f t="shared" ca="1" si="31"/>
        <v>46118</v>
      </c>
      <c r="K381" s="13"/>
    </row>
    <row r="382" spans="1:11" ht="18" x14ac:dyDescent="0.4">
      <c r="A382" s="7" t="s">
        <v>719</v>
      </c>
      <c r="B382" s="7" t="s">
        <v>357</v>
      </c>
      <c r="C382" s="8">
        <v>19414</v>
      </c>
      <c r="D382" s="9">
        <v>552836160</v>
      </c>
      <c r="E382" s="57">
        <v>800</v>
      </c>
      <c r="F382" s="10" t="s">
        <v>364</v>
      </c>
      <c r="G382" s="9">
        <v>0</v>
      </c>
      <c r="H382" s="70">
        <f t="shared" si="33"/>
        <v>0</v>
      </c>
      <c r="I382" s="11">
        <f t="shared" ca="1" si="34"/>
        <v>46119</v>
      </c>
      <c r="J382" s="11">
        <f t="shared" ca="1" si="31"/>
        <v>46118</v>
      </c>
      <c r="K382" s="13"/>
    </row>
    <row r="383" spans="1:11" ht="18" x14ac:dyDescent="0.4">
      <c r="A383" s="7" t="s">
        <v>719</v>
      </c>
      <c r="B383" s="7" t="s">
        <v>357</v>
      </c>
      <c r="C383" s="8">
        <v>19414</v>
      </c>
      <c r="D383" s="9">
        <v>187505240</v>
      </c>
      <c r="E383" s="57">
        <v>1000</v>
      </c>
      <c r="F383" s="10" t="s">
        <v>365</v>
      </c>
      <c r="G383" s="9">
        <v>0</v>
      </c>
      <c r="H383" s="70">
        <f t="shared" si="33"/>
        <v>0</v>
      </c>
      <c r="I383" s="11">
        <f t="shared" ca="1" si="34"/>
        <v>46119</v>
      </c>
      <c r="J383" s="11">
        <f t="shared" ref="J383:J456" ca="1" si="35">TODAY()</f>
        <v>46118</v>
      </c>
      <c r="K383" s="13"/>
    </row>
    <row r="384" spans="1:11" ht="18" x14ac:dyDescent="0.4">
      <c r="A384" s="7" t="s">
        <v>719</v>
      </c>
      <c r="B384" s="7" t="s">
        <v>357</v>
      </c>
      <c r="C384" s="8">
        <v>19414</v>
      </c>
      <c r="D384" s="9">
        <v>187517240</v>
      </c>
      <c r="E384" s="57">
        <v>1200</v>
      </c>
      <c r="F384" s="10" t="s">
        <v>366</v>
      </c>
      <c r="G384" s="9">
        <v>0</v>
      </c>
      <c r="H384" s="70">
        <f t="shared" si="33"/>
        <v>0</v>
      </c>
      <c r="I384" s="11">
        <f t="shared" ca="1" si="34"/>
        <v>46119</v>
      </c>
      <c r="J384" s="11">
        <f t="shared" ca="1" si="35"/>
        <v>46118</v>
      </c>
      <c r="K384" s="13"/>
    </row>
    <row r="385" spans="1:11" ht="18" x14ac:dyDescent="0.4">
      <c r="A385" s="7" t="s">
        <v>719</v>
      </c>
      <c r="B385" s="7" t="s">
        <v>357</v>
      </c>
      <c r="C385" s="8">
        <v>19414</v>
      </c>
      <c r="D385" s="9">
        <v>463479880</v>
      </c>
      <c r="E385" s="57">
        <v>1000</v>
      </c>
      <c r="F385" s="10" t="s">
        <v>127</v>
      </c>
      <c r="G385" s="9">
        <v>0</v>
      </c>
      <c r="H385" s="70">
        <f t="shared" si="33"/>
        <v>0</v>
      </c>
      <c r="I385" s="11">
        <f t="shared" ca="1" si="34"/>
        <v>46119</v>
      </c>
      <c r="J385" s="11">
        <f t="shared" ca="1" si="35"/>
        <v>46118</v>
      </c>
      <c r="K385" s="13"/>
    </row>
    <row r="386" spans="1:11" ht="18" x14ac:dyDescent="0.4">
      <c r="A386" s="7" t="s">
        <v>719</v>
      </c>
      <c r="B386" s="7" t="s">
        <v>367</v>
      </c>
      <c r="C386" s="8">
        <v>20419</v>
      </c>
      <c r="D386" s="9">
        <v>552681860</v>
      </c>
      <c r="E386" s="57">
        <v>560</v>
      </c>
      <c r="F386" s="10" t="s">
        <v>234</v>
      </c>
      <c r="G386" s="9">
        <v>1680</v>
      </c>
      <c r="H386" s="70">
        <f t="shared" si="33"/>
        <v>3</v>
      </c>
      <c r="I386" s="11">
        <f t="shared" ca="1" si="34"/>
        <v>46119</v>
      </c>
      <c r="J386" s="11">
        <f t="shared" ca="1" si="35"/>
        <v>46118</v>
      </c>
      <c r="K386" s="13"/>
    </row>
    <row r="387" spans="1:11" ht="18" x14ac:dyDescent="0.4">
      <c r="A387" s="7" t="s">
        <v>719</v>
      </c>
      <c r="B387" s="7" t="s">
        <v>367</v>
      </c>
      <c r="C387" s="8">
        <v>20419</v>
      </c>
      <c r="D387" s="9">
        <v>552678480</v>
      </c>
      <c r="E387" s="57">
        <v>800</v>
      </c>
      <c r="F387" s="10" t="s">
        <v>234</v>
      </c>
      <c r="G387" s="9">
        <v>800</v>
      </c>
      <c r="H387" s="70">
        <f t="shared" si="33"/>
        <v>1</v>
      </c>
      <c r="I387" s="11">
        <f t="shared" ca="1" si="34"/>
        <v>46119</v>
      </c>
      <c r="J387" s="11">
        <f t="shared" ca="1" si="35"/>
        <v>46118</v>
      </c>
      <c r="K387" s="13"/>
    </row>
    <row r="388" spans="1:11" ht="18" x14ac:dyDescent="0.4">
      <c r="A388" s="7" t="s">
        <v>719</v>
      </c>
      <c r="B388" s="7" t="s">
        <v>368</v>
      </c>
      <c r="C388" s="8">
        <v>32059</v>
      </c>
      <c r="D388" s="9">
        <v>552677450</v>
      </c>
      <c r="E388" s="57">
        <v>4500</v>
      </c>
      <c r="F388" s="10" t="s">
        <v>230</v>
      </c>
      <c r="G388" s="9">
        <v>4500</v>
      </c>
      <c r="H388" s="70">
        <f t="shared" si="33"/>
        <v>1</v>
      </c>
      <c r="I388" s="11">
        <f t="shared" ca="1" si="34"/>
        <v>46119</v>
      </c>
      <c r="J388" s="11">
        <f t="shared" ca="1" si="35"/>
        <v>46118</v>
      </c>
      <c r="K388" s="13"/>
    </row>
    <row r="389" spans="1:11" ht="18" x14ac:dyDescent="0.4">
      <c r="A389" s="7" t="s">
        <v>719</v>
      </c>
      <c r="B389" s="7" t="s">
        <v>369</v>
      </c>
      <c r="C389" s="8">
        <v>14928</v>
      </c>
      <c r="D389" s="9">
        <v>463404710</v>
      </c>
      <c r="E389" s="57">
        <v>100</v>
      </c>
      <c r="F389" s="10" t="s">
        <v>370</v>
      </c>
      <c r="G389" s="9">
        <v>3000</v>
      </c>
      <c r="H389" s="70">
        <f t="shared" si="33"/>
        <v>30</v>
      </c>
      <c r="I389" s="11">
        <f t="shared" ca="1" si="34"/>
        <v>46119</v>
      </c>
      <c r="J389" s="11">
        <f t="shared" ca="1" si="35"/>
        <v>46118</v>
      </c>
      <c r="K389" s="13"/>
    </row>
    <row r="390" spans="1:11" ht="18" x14ac:dyDescent="0.4">
      <c r="A390" s="7" t="s">
        <v>719</v>
      </c>
      <c r="B390" s="7" t="s">
        <v>371</v>
      </c>
      <c r="C390" s="8">
        <v>78605</v>
      </c>
      <c r="D390" s="9">
        <v>552679850</v>
      </c>
      <c r="E390" s="57">
        <v>300</v>
      </c>
      <c r="F390" s="10" t="s">
        <v>281</v>
      </c>
      <c r="G390" s="9">
        <v>1800</v>
      </c>
      <c r="H390" s="70">
        <f t="shared" si="33"/>
        <v>6</v>
      </c>
      <c r="I390" s="11">
        <f t="shared" ca="1" si="34"/>
        <v>46119</v>
      </c>
      <c r="J390" s="11">
        <f t="shared" ca="1" si="35"/>
        <v>46118</v>
      </c>
      <c r="K390" s="13"/>
    </row>
    <row r="391" spans="1:11" ht="18" x14ac:dyDescent="0.4">
      <c r="A391" s="7" t="s">
        <v>719</v>
      </c>
      <c r="B391" s="7" t="s">
        <v>372</v>
      </c>
      <c r="C391" s="8">
        <v>27951</v>
      </c>
      <c r="D391" s="9">
        <v>463411550</v>
      </c>
      <c r="E391" s="57">
        <v>1100</v>
      </c>
      <c r="F391" s="10" t="s">
        <v>373</v>
      </c>
      <c r="G391" s="9">
        <v>0</v>
      </c>
      <c r="H391" s="70">
        <f t="shared" si="33"/>
        <v>0</v>
      </c>
      <c r="I391" s="11">
        <f t="shared" ca="1" si="34"/>
        <v>46119</v>
      </c>
      <c r="J391" s="11">
        <f t="shared" ca="1" si="35"/>
        <v>46118</v>
      </c>
      <c r="K391" s="13"/>
    </row>
    <row r="392" spans="1:11" ht="18" x14ac:dyDescent="0.4">
      <c r="A392" s="7" t="s">
        <v>719</v>
      </c>
      <c r="B392" s="7" t="s">
        <v>372</v>
      </c>
      <c r="C392" s="8">
        <v>27951</v>
      </c>
      <c r="D392" s="9">
        <v>463415550</v>
      </c>
      <c r="E392" s="57">
        <v>800</v>
      </c>
      <c r="F392" s="10" t="s">
        <v>374</v>
      </c>
      <c r="G392" s="9">
        <v>0</v>
      </c>
      <c r="H392" s="70">
        <f t="shared" si="33"/>
        <v>0</v>
      </c>
      <c r="I392" s="11">
        <f t="shared" ca="1" si="34"/>
        <v>46119</v>
      </c>
      <c r="J392" s="11">
        <f t="shared" ca="1" si="35"/>
        <v>46118</v>
      </c>
      <c r="K392" s="13"/>
    </row>
    <row r="393" spans="1:11" ht="18" x14ac:dyDescent="0.4">
      <c r="A393" s="7" t="s">
        <v>719</v>
      </c>
      <c r="B393" s="7" t="s">
        <v>375</v>
      </c>
      <c r="C393" s="8">
        <v>24229</v>
      </c>
      <c r="D393" s="9">
        <v>463471630</v>
      </c>
      <c r="E393" s="57">
        <v>200</v>
      </c>
      <c r="F393" s="10" t="s">
        <v>376</v>
      </c>
      <c r="G393" s="9">
        <v>3200</v>
      </c>
      <c r="H393" s="70">
        <f t="shared" si="33"/>
        <v>16</v>
      </c>
      <c r="I393" s="11">
        <f t="shared" ca="1" si="34"/>
        <v>46119</v>
      </c>
      <c r="J393" s="11">
        <f t="shared" ca="1" si="35"/>
        <v>46118</v>
      </c>
      <c r="K393" s="13"/>
    </row>
    <row r="394" spans="1:11" ht="18" x14ac:dyDescent="0.4">
      <c r="A394" s="7" t="s">
        <v>719</v>
      </c>
      <c r="B394" s="7" t="s">
        <v>375</v>
      </c>
      <c r="C394" s="8">
        <v>24229</v>
      </c>
      <c r="D394" s="9">
        <v>463508000</v>
      </c>
      <c r="E394" s="57">
        <v>120</v>
      </c>
      <c r="F394" s="10" t="s">
        <v>271</v>
      </c>
      <c r="G394" s="9">
        <v>4800</v>
      </c>
      <c r="H394" s="70">
        <f t="shared" si="33"/>
        <v>40</v>
      </c>
      <c r="I394" s="11">
        <f t="shared" ca="1" si="34"/>
        <v>46119</v>
      </c>
      <c r="J394" s="11">
        <f t="shared" ca="1" si="35"/>
        <v>46118</v>
      </c>
      <c r="K394" s="13"/>
    </row>
    <row r="395" spans="1:11" ht="18" x14ac:dyDescent="0.4">
      <c r="A395" s="7" t="s">
        <v>719</v>
      </c>
      <c r="B395" s="7" t="s">
        <v>377</v>
      </c>
      <c r="C395" s="8">
        <v>36019</v>
      </c>
      <c r="D395" s="9">
        <v>552768830</v>
      </c>
      <c r="E395" s="57">
        <v>2200</v>
      </c>
      <c r="F395" s="10" t="s">
        <v>378</v>
      </c>
      <c r="G395" s="9">
        <v>0</v>
      </c>
      <c r="H395" s="70">
        <f t="shared" si="33"/>
        <v>0</v>
      </c>
      <c r="I395" s="11">
        <f t="shared" ca="1" si="34"/>
        <v>46119</v>
      </c>
      <c r="J395" s="11">
        <f t="shared" ca="1" si="35"/>
        <v>46118</v>
      </c>
      <c r="K395" s="13"/>
    </row>
    <row r="396" spans="1:11" ht="18" x14ac:dyDescent="0.4">
      <c r="A396" s="7" t="s">
        <v>719</v>
      </c>
      <c r="B396" s="7" t="s">
        <v>377</v>
      </c>
      <c r="C396" s="8">
        <v>36019</v>
      </c>
      <c r="D396" s="9">
        <v>552686720</v>
      </c>
      <c r="E396" s="57">
        <v>250</v>
      </c>
      <c r="F396" s="10" t="s">
        <v>379</v>
      </c>
      <c r="G396" s="9">
        <v>9000</v>
      </c>
      <c r="H396" s="70">
        <f t="shared" si="33"/>
        <v>36</v>
      </c>
      <c r="I396" s="11">
        <f t="shared" ca="1" si="34"/>
        <v>46119</v>
      </c>
      <c r="J396" s="11">
        <f t="shared" ca="1" si="35"/>
        <v>46118</v>
      </c>
      <c r="K396" s="13"/>
    </row>
    <row r="397" spans="1:11" ht="18" x14ac:dyDescent="0.4">
      <c r="A397" s="7" t="s">
        <v>719</v>
      </c>
      <c r="B397" s="7" t="s">
        <v>377</v>
      </c>
      <c r="C397" s="8">
        <v>36019</v>
      </c>
      <c r="D397" s="9">
        <v>552693200</v>
      </c>
      <c r="E397" s="57">
        <v>1000</v>
      </c>
      <c r="F397" s="10" t="s">
        <v>380</v>
      </c>
      <c r="G397" s="9">
        <v>10000</v>
      </c>
      <c r="H397" s="70">
        <f t="shared" si="33"/>
        <v>10</v>
      </c>
      <c r="I397" s="11">
        <f t="shared" ca="1" si="34"/>
        <v>46119</v>
      </c>
      <c r="J397" s="11">
        <f t="shared" ca="1" si="35"/>
        <v>46118</v>
      </c>
      <c r="K397" s="13"/>
    </row>
    <row r="398" spans="1:11" ht="18" x14ac:dyDescent="0.4">
      <c r="A398" s="7" t="s">
        <v>719</v>
      </c>
      <c r="B398" s="7" t="s">
        <v>377</v>
      </c>
      <c r="C398" s="8">
        <v>36019</v>
      </c>
      <c r="D398" s="9">
        <v>552728620</v>
      </c>
      <c r="E398" s="57">
        <v>1500</v>
      </c>
      <c r="F398" s="10" t="s">
        <v>381</v>
      </c>
      <c r="G398" s="9">
        <v>18000</v>
      </c>
      <c r="H398" s="70">
        <f t="shared" si="33"/>
        <v>12</v>
      </c>
      <c r="I398" s="11">
        <f t="shared" ca="1" si="34"/>
        <v>46119</v>
      </c>
      <c r="J398" s="11">
        <f t="shared" ca="1" si="35"/>
        <v>46118</v>
      </c>
      <c r="K398" s="13"/>
    </row>
    <row r="399" spans="1:11" ht="18" x14ac:dyDescent="0.4">
      <c r="A399" s="7" t="s">
        <v>719</v>
      </c>
      <c r="B399" s="7" t="s">
        <v>377</v>
      </c>
      <c r="C399" s="8">
        <v>36019</v>
      </c>
      <c r="D399" s="9">
        <v>552679970</v>
      </c>
      <c r="E399" s="57">
        <v>1200</v>
      </c>
      <c r="F399" s="10" t="s">
        <v>382</v>
      </c>
      <c r="G399" s="9">
        <v>7200</v>
      </c>
      <c r="H399" s="70">
        <f t="shared" si="33"/>
        <v>6</v>
      </c>
      <c r="I399" s="11">
        <f t="shared" ca="1" si="34"/>
        <v>46119</v>
      </c>
      <c r="J399" s="11">
        <f t="shared" ca="1" si="35"/>
        <v>46118</v>
      </c>
      <c r="K399" s="13"/>
    </row>
    <row r="400" spans="1:11" ht="18" x14ac:dyDescent="0.4">
      <c r="A400" s="7" t="s">
        <v>719</v>
      </c>
      <c r="B400" s="7" t="s">
        <v>377</v>
      </c>
      <c r="C400" s="8">
        <v>36019</v>
      </c>
      <c r="D400" s="9">
        <v>552677410</v>
      </c>
      <c r="E400" s="57">
        <v>200</v>
      </c>
      <c r="F400" s="10" t="s">
        <v>383</v>
      </c>
      <c r="G400" s="9">
        <v>4800</v>
      </c>
      <c r="H400" s="70">
        <f t="shared" si="33"/>
        <v>24</v>
      </c>
      <c r="I400" s="11">
        <f t="shared" ca="1" si="34"/>
        <v>46119</v>
      </c>
      <c r="J400" s="11">
        <f t="shared" ca="1" si="35"/>
        <v>46118</v>
      </c>
      <c r="K400" s="13"/>
    </row>
    <row r="401" spans="1:11" ht="18" x14ac:dyDescent="0.4">
      <c r="A401" s="7" t="s">
        <v>719</v>
      </c>
      <c r="B401" s="7" t="s">
        <v>377</v>
      </c>
      <c r="C401" s="8">
        <v>36019</v>
      </c>
      <c r="D401" s="9">
        <v>463535790</v>
      </c>
      <c r="E401" s="57">
        <v>700</v>
      </c>
      <c r="F401" s="10" t="s">
        <v>384</v>
      </c>
      <c r="G401" s="9">
        <v>16800</v>
      </c>
      <c r="H401" s="70">
        <f t="shared" si="33"/>
        <v>24</v>
      </c>
      <c r="I401" s="11">
        <f t="shared" ca="1" si="34"/>
        <v>46119</v>
      </c>
      <c r="J401" s="11">
        <f t="shared" ca="1" si="35"/>
        <v>46118</v>
      </c>
      <c r="K401" s="13"/>
    </row>
    <row r="402" spans="1:11" ht="18" x14ac:dyDescent="0.4">
      <c r="A402" s="7" t="s">
        <v>719</v>
      </c>
      <c r="B402" s="7" t="s">
        <v>377</v>
      </c>
      <c r="C402" s="8">
        <v>36019</v>
      </c>
      <c r="D402" s="9">
        <v>463589540</v>
      </c>
      <c r="E402" s="57">
        <v>150</v>
      </c>
      <c r="F402" s="10" t="s">
        <v>385</v>
      </c>
      <c r="G402" s="9">
        <v>0</v>
      </c>
      <c r="H402" s="70">
        <f t="shared" si="33"/>
        <v>0</v>
      </c>
      <c r="I402" s="11">
        <f t="shared" ca="1" si="34"/>
        <v>46119</v>
      </c>
      <c r="J402" s="11">
        <f t="shared" ca="1" si="35"/>
        <v>46118</v>
      </c>
      <c r="K402" s="13"/>
    </row>
    <row r="403" spans="1:11" ht="18" x14ac:dyDescent="0.4">
      <c r="A403" s="7" t="s">
        <v>719</v>
      </c>
      <c r="B403" s="7" t="s">
        <v>377</v>
      </c>
      <c r="C403" s="8">
        <v>36019</v>
      </c>
      <c r="D403" s="9">
        <v>463586380</v>
      </c>
      <c r="E403" s="57">
        <v>3000</v>
      </c>
      <c r="F403" s="10" t="s">
        <v>386</v>
      </c>
      <c r="G403" s="9">
        <v>0</v>
      </c>
      <c r="H403" s="70">
        <f t="shared" si="33"/>
        <v>0</v>
      </c>
      <c r="I403" s="11">
        <f t="shared" ca="1" si="34"/>
        <v>46119</v>
      </c>
      <c r="J403" s="11">
        <f t="shared" ca="1" si="35"/>
        <v>46118</v>
      </c>
      <c r="K403" s="13"/>
    </row>
    <row r="404" spans="1:11" ht="18" x14ac:dyDescent="0.4">
      <c r="A404" s="7" t="s">
        <v>719</v>
      </c>
      <c r="B404" s="7" t="s">
        <v>377</v>
      </c>
      <c r="C404" s="8">
        <v>36019</v>
      </c>
      <c r="D404" s="9">
        <v>552636100</v>
      </c>
      <c r="E404" s="57">
        <v>200</v>
      </c>
      <c r="F404" s="10" t="s">
        <v>387</v>
      </c>
      <c r="G404" s="9">
        <v>7200</v>
      </c>
      <c r="H404" s="70">
        <f t="shared" si="33"/>
        <v>36</v>
      </c>
      <c r="I404" s="11">
        <f t="shared" ca="1" si="34"/>
        <v>46119</v>
      </c>
      <c r="J404" s="11">
        <f t="shared" ca="1" si="35"/>
        <v>46118</v>
      </c>
      <c r="K404" s="13"/>
    </row>
    <row r="405" spans="1:11" ht="18" x14ac:dyDescent="0.4">
      <c r="A405" s="7" t="s">
        <v>719</v>
      </c>
      <c r="B405" s="7" t="s">
        <v>377</v>
      </c>
      <c r="C405" s="8">
        <v>36019</v>
      </c>
      <c r="D405" s="9">
        <v>135435340</v>
      </c>
      <c r="E405" s="57">
        <v>900</v>
      </c>
      <c r="F405" s="10" t="s">
        <v>388</v>
      </c>
      <c r="G405" s="9">
        <v>9900</v>
      </c>
      <c r="H405" s="70">
        <f t="shared" si="33"/>
        <v>11</v>
      </c>
      <c r="I405" s="11">
        <f t="shared" ca="1" si="34"/>
        <v>46119</v>
      </c>
      <c r="J405" s="11">
        <f t="shared" ca="1" si="35"/>
        <v>46118</v>
      </c>
      <c r="K405" s="13"/>
    </row>
    <row r="406" spans="1:11" ht="18" x14ac:dyDescent="0.4">
      <c r="A406" s="7" t="s">
        <v>719</v>
      </c>
      <c r="B406" s="7" t="s">
        <v>377</v>
      </c>
      <c r="C406" s="8">
        <v>36019</v>
      </c>
      <c r="D406" s="9">
        <v>552739160</v>
      </c>
      <c r="E406" s="57">
        <v>500</v>
      </c>
      <c r="F406" s="10" t="s">
        <v>389</v>
      </c>
      <c r="G406" s="9">
        <v>19500</v>
      </c>
      <c r="H406" s="70">
        <f t="shared" si="33"/>
        <v>39</v>
      </c>
      <c r="I406" s="11">
        <f t="shared" ca="1" si="34"/>
        <v>46119</v>
      </c>
      <c r="J406" s="11">
        <f t="shared" ca="1" si="35"/>
        <v>46118</v>
      </c>
      <c r="K406" s="13"/>
    </row>
    <row r="407" spans="1:11" ht="18" x14ac:dyDescent="0.4">
      <c r="A407" s="7" t="s">
        <v>719</v>
      </c>
      <c r="B407" s="7" t="s">
        <v>377</v>
      </c>
      <c r="C407" s="8">
        <v>36019</v>
      </c>
      <c r="D407" s="9">
        <v>187502240</v>
      </c>
      <c r="E407" s="57">
        <v>1400</v>
      </c>
      <c r="F407" s="10" t="s">
        <v>348</v>
      </c>
      <c r="G407" s="9">
        <v>2800</v>
      </c>
      <c r="H407" s="70">
        <f t="shared" si="33"/>
        <v>2</v>
      </c>
      <c r="I407" s="11">
        <f t="shared" ca="1" si="34"/>
        <v>46119</v>
      </c>
      <c r="J407" s="11">
        <f t="shared" ca="1" si="35"/>
        <v>46118</v>
      </c>
      <c r="K407" s="13"/>
    </row>
    <row r="408" spans="1:11" ht="18" x14ac:dyDescent="0.4">
      <c r="A408" s="7" t="s">
        <v>719</v>
      </c>
      <c r="B408" s="7" t="s">
        <v>377</v>
      </c>
      <c r="C408" s="8">
        <v>36019</v>
      </c>
      <c r="D408" s="9">
        <v>463622410</v>
      </c>
      <c r="E408" s="57">
        <v>350</v>
      </c>
      <c r="F408" s="10" t="s">
        <v>724</v>
      </c>
      <c r="G408" s="9">
        <v>0</v>
      </c>
      <c r="H408" s="70">
        <f t="shared" si="33"/>
        <v>0</v>
      </c>
      <c r="I408" s="11">
        <f t="shared" ca="1" si="34"/>
        <v>46119</v>
      </c>
      <c r="J408" s="11">
        <f t="shared" ca="1" si="35"/>
        <v>46118</v>
      </c>
      <c r="K408" s="13"/>
    </row>
    <row r="409" spans="1:11" ht="18" x14ac:dyDescent="0.4">
      <c r="A409" s="7" t="s">
        <v>719</v>
      </c>
      <c r="B409" s="7" t="s">
        <v>391</v>
      </c>
      <c r="C409" s="8">
        <v>47104</v>
      </c>
      <c r="D409" s="9">
        <v>463361830</v>
      </c>
      <c r="E409" s="57">
        <v>240</v>
      </c>
      <c r="F409" s="10" t="s">
        <v>23</v>
      </c>
      <c r="G409" s="9">
        <v>1440</v>
      </c>
      <c r="H409" s="70">
        <f t="shared" si="33"/>
        <v>6</v>
      </c>
      <c r="I409" s="11">
        <f t="shared" ca="1" si="34"/>
        <v>46119</v>
      </c>
      <c r="J409" s="11">
        <f t="shared" ca="1" si="35"/>
        <v>46118</v>
      </c>
      <c r="K409" s="13"/>
    </row>
    <row r="410" spans="1:11" ht="18" x14ac:dyDescent="0.4">
      <c r="A410" s="7" t="s">
        <v>719</v>
      </c>
      <c r="B410" s="7" t="s">
        <v>391</v>
      </c>
      <c r="C410" s="8">
        <v>47104</v>
      </c>
      <c r="D410" s="9">
        <v>463361840</v>
      </c>
      <c r="E410" s="57">
        <v>240</v>
      </c>
      <c r="F410" s="10" t="s">
        <v>23</v>
      </c>
      <c r="G410" s="9">
        <v>480</v>
      </c>
      <c r="H410" s="70">
        <f t="shared" si="33"/>
        <v>2</v>
      </c>
      <c r="I410" s="11">
        <f t="shared" ca="1" si="34"/>
        <v>46119</v>
      </c>
      <c r="J410" s="11">
        <f t="shared" ca="1" si="35"/>
        <v>46118</v>
      </c>
      <c r="K410" s="13"/>
    </row>
    <row r="411" spans="1:11" ht="18" x14ac:dyDescent="0.4">
      <c r="A411" s="7" t="s">
        <v>719</v>
      </c>
      <c r="B411" s="7" t="s">
        <v>250</v>
      </c>
      <c r="C411" s="8">
        <v>37866</v>
      </c>
      <c r="D411" s="9">
        <v>463550740</v>
      </c>
      <c r="E411" s="57">
        <v>120</v>
      </c>
      <c r="F411" s="10" t="s">
        <v>392</v>
      </c>
      <c r="G411" s="9">
        <v>0</v>
      </c>
      <c r="H411" s="70">
        <f t="shared" si="33"/>
        <v>0</v>
      </c>
      <c r="I411" s="11">
        <f t="shared" ca="1" si="34"/>
        <v>46119</v>
      </c>
      <c r="J411" s="11">
        <f t="shared" ca="1" si="35"/>
        <v>46118</v>
      </c>
      <c r="K411" s="13"/>
    </row>
    <row r="412" spans="1:11" ht="18" x14ac:dyDescent="0.4">
      <c r="A412" s="7" t="s">
        <v>719</v>
      </c>
      <c r="B412" s="7" t="s">
        <v>250</v>
      </c>
      <c r="C412" s="8">
        <v>37866</v>
      </c>
      <c r="D412" s="9">
        <v>463584840</v>
      </c>
      <c r="E412" s="57">
        <v>120</v>
      </c>
      <c r="F412" s="10" t="s">
        <v>392</v>
      </c>
      <c r="G412" s="9">
        <v>0</v>
      </c>
      <c r="H412" s="70">
        <f t="shared" si="33"/>
        <v>0</v>
      </c>
      <c r="I412" s="11">
        <f t="shared" ca="1" si="34"/>
        <v>46119</v>
      </c>
      <c r="J412" s="11">
        <f t="shared" ca="1" si="35"/>
        <v>46118</v>
      </c>
      <c r="K412" s="13"/>
    </row>
    <row r="413" spans="1:11" ht="18" x14ac:dyDescent="0.4">
      <c r="A413" s="7" t="s">
        <v>719</v>
      </c>
      <c r="B413" s="7" t="s">
        <v>250</v>
      </c>
      <c r="C413" s="8">
        <v>37866</v>
      </c>
      <c r="D413" s="9">
        <v>463584880</v>
      </c>
      <c r="E413" s="57">
        <v>120</v>
      </c>
      <c r="F413" s="10" t="s">
        <v>393</v>
      </c>
      <c r="G413" s="9">
        <v>0</v>
      </c>
      <c r="H413" s="70">
        <f t="shared" si="33"/>
        <v>0</v>
      </c>
      <c r="I413" s="11">
        <f t="shared" ca="1" si="34"/>
        <v>46119</v>
      </c>
      <c r="J413" s="11">
        <f t="shared" ca="1" si="35"/>
        <v>46118</v>
      </c>
      <c r="K413" s="13"/>
    </row>
    <row r="414" spans="1:11" ht="18" x14ac:dyDescent="0.4">
      <c r="A414" s="7" t="s">
        <v>719</v>
      </c>
      <c r="B414" s="7" t="s">
        <v>250</v>
      </c>
      <c r="C414" s="8">
        <v>37866</v>
      </c>
      <c r="D414" s="9">
        <v>463584870</v>
      </c>
      <c r="E414" s="57">
        <v>120</v>
      </c>
      <c r="F414" s="10" t="s">
        <v>394</v>
      </c>
      <c r="G414" s="9">
        <v>600</v>
      </c>
      <c r="H414" s="70">
        <f t="shared" si="33"/>
        <v>5</v>
      </c>
      <c r="I414" s="11">
        <f t="shared" ca="1" si="34"/>
        <v>46119</v>
      </c>
      <c r="J414" s="11">
        <f t="shared" ca="1" si="35"/>
        <v>46118</v>
      </c>
      <c r="K414" s="13"/>
    </row>
    <row r="415" spans="1:11" ht="18" x14ac:dyDescent="0.4">
      <c r="A415" s="7" t="s">
        <v>719</v>
      </c>
      <c r="B415" s="7" t="s">
        <v>250</v>
      </c>
      <c r="C415" s="8">
        <v>37866</v>
      </c>
      <c r="D415" s="9">
        <v>463604240</v>
      </c>
      <c r="E415" s="57">
        <v>120</v>
      </c>
      <c r="F415" s="10" t="s">
        <v>394</v>
      </c>
      <c r="G415" s="9">
        <v>0</v>
      </c>
      <c r="H415" s="70">
        <f t="shared" si="33"/>
        <v>0</v>
      </c>
      <c r="I415" s="11">
        <f t="shared" ca="1" si="34"/>
        <v>46119</v>
      </c>
      <c r="J415" s="11">
        <f t="shared" ca="1" si="35"/>
        <v>46118</v>
      </c>
      <c r="K415" s="13"/>
    </row>
    <row r="416" spans="1:11" ht="18" x14ac:dyDescent="0.4">
      <c r="A416" s="7" t="s">
        <v>719</v>
      </c>
      <c r="B416" s="7" t="s">
        <v>250</v>
      </c>
      <c r="C416" s="8">
        <v>37866</v>
      </c>
      <c r="D416" s="9">
        <v>463579240</v>
      </c>
      <c r="E416" s="57">
        <v>120</v>
      </c>
      <c r="F416" s="10" t="s">
        <v>394</v>
      </c>
      <c r="G416" s="9">
        <v>0</v>
      </c>
      <c r="H416" s="70">
        <f t="shared" si="33"/>
        <v>0</v>
      </c>
      <c r="I416" s="11">
        <f t="shared" ca="1" si="34"/>
        <v>46119</v>
      </c>
      <c r="J416" s="11">
        <f t="shared" ca="1" si="35"/>
        <v>46118</v>
      </c>
      <c r="K416" s="13"/>
    </row>
    <row r="417" spans="1:11" ht="18" x14ac:dyDescent="0.4">
      <c r="A417" s="7" t="s">
        <v>719</v>
      </c>
      <c r="B417" s="7" t="s">
        <v>250</v>
      </c>
      <c r="C417" s="8">
        <v>37866</v>
      </c>
      <c r="D417" s="9">
        <v>463579360</v>
      </c>
      <c r="E417" s="57">
        <v>120</v>
      </c>
      <c r="F417" s="10" t="s">
        <v>394</v>
      </c>
      <c r="G417" s="9">
        <v>720</v>
      </c>
      <c r="H417" s="70">
        <f t="shared" si="33"/>
        <v>6</v>
      </c>
      <c r="I417" s="11">
        <f t="shared" ca="1" si="34"/>
        <v>46119</v>
      </c>
      <c r="J417" s="11">
        <f t="shared" ca="1" si="35"/>
        <v>46118</v>
      </c>
      <c r="K417" s="13"/>
    </row>
    <row r="418" spans="1:11" ht="18" x14ac:dyDescent="0.4">
      <c r="A418" s="7" t="s">
        <v>719</v>
      </c>
      <c r="B418" s="7" t="s">
        <v>250</v>
      </c>
      <c r="C418" s="8">
        <v>37866</v>
      </c>
      <c r="D418" s="9">
        <v>463579680</v>
      </c>
      <c r="E418" s="57">
        <v>120</v>
      </c>
      <c r="F418" s="10" t="s">
        <v>394</v>
      </c>
      <c r="G418" s="9">
        <v>120</v>
      </c>
      <c r="H418" s="70">
        <f t="shared" si="33"/>
        <v>1</v>
      </c>
      <c r="I418" s="11">
        <f t="shared" ca="1" si="34"/>
        <v>46119</v>
      </c>
      <c r="J418" s="11">
        <f t="shared" ca="1" si="35"/>
        <v>46118</v>
      </c>
      <c r="K418" s="13"/>
    </row>
    <row r="419" spans="1:11" ht="18" x14ac:dyDescent="0.4">
      <c r="A419" s="7" t="s">
        <v>719</v>
      </c>
      <c r="B419" s="7" t="s">
        <v>250</v>
      </c>
      <c r="C419" s="8">
        <v>37866</v>
      </c>
      <c r="D419" s="9">
        <v>463579760</v>
      </c>
      <c r="E419" s="57">
        <v>120</v>
      </c>
      <c r="F419" s="10" t="s">
        <v>394</v>
      </c>
      <c r="G419" s="9">
        <v>0</v>
      </c>
      <c r="H419" s="70">
        <f t="shared" si="33"/>
        <v>0</v>
      </c>
      <c r="I419" s="11">
        <f t="shared" ca="1" si="34"/>
        <v>46119</v>
      </c>
      <c r="J419" s="11">
        <f t="shared" ca="1" si="35"/>
        <v>46118</v>
      </c>
      <c r="K419" s="13"/>
    </row>
    <row r="420" spans="1:11" ht="18" x14ac:dyDescent="0.4">
      <c r="A420" s="7" t="s">
        <v>719</v>
      </c>
      <c r="B420" s="7" t="s">
        <v>250</v>
      </c>
      <c r="C420" s="8">
        <v>37866</v>
      </c>
      <c r="D420" s="9">
        <v>463579900</v>
      </c>
      <c r="E420" s="57">
        <v>120</v>
      </c>
      <c r="F420" s="10" t="s">
        <v>394</v>
      </c>
      <c r="G420" s="9">
        <v>0</v>
      </c>
      <c r="H420" s="70">
        <f t="shared" si="33"/>
        <v>0</v>
      </c>
      <c r="I420" s="11">
        <f t="shared" ca="1" si="34"/>
        <v>46119</v>
      </c>
      <c r="J420" s="11">
        <f t="shared" ca="1" si="35"/>
        <v>46118</v>
      </c>
      <c r="K420" s="13"/>
    </row>
    <row r="421" spans="1:11" ht="18" x14ac:dyDescent="0.4">
      <c r="A421" s="7" t="s">
        <v>719</v>
      </c>
      <c r="B421" s="7" t="s">
        <v>250</v>
      </c>
      <c r="C421" s="8">
        <v>37866</v>
      </c>
      <c r="D421" s="9">
        <v>463580810</v>
      </c>
      <c r="E421" s="57">
        <v>120</v>
      </c>
      <c r="F421" s="10" t="s">
        <v>394</v>
      </c>
      <c r="G421" s="9">
        <v>0</v>
      </c>
      <c r="H421" s="70">
        <f t="shared" si="33"/>
        <v>0</v>
      </c>
      <c r="I421" s="11">
        <f t="shared" ca="1" si="34"/>
        <v>46119</v>
      </c>
      <c r="J421" s="11">
        <f t="shared" ca="1" si="35"/>
        <v>46118</v>
      </c>
      <c r="K421" s="13"/>
    </row>
    <row r="422" spans="1:11" ht="18" x14ac:dyDescent="0.4">
      <c r="A422" s="7" t="s">
        <v>719</v>
      </c>
      <c r="B422" s="7" t="s">
        <v>250</v>
      </c>
      <c r="C422" s="8">
        <v>37866</v>
      </c>
      <c r="D422" s="9">
        <v>463607250</v>
      </c>
      <c r="E422" s="57">
        <v>120</v>
      </c>
      <c r="F422" s="10" t="s">
        <v>394</v>
      </c>
      <c r="G422" s="9">
        <v>120</v>
      </c>
      <c r="H422" s="70">
        <f t="shared" si="33"/>
        <v>1</v>
      </c>
      <c r="I422" s="11">
        <f t="shared" ca="1" si="34"/>
        <v>46119</v>
      </c>
      <c r="J422" s="11">
        <f t="shared" ca="1" si="35"/>
        <v>46118</v>
      </c>
      <c r="K422" s="13"/>
    </row>
    <row r="423" spans="1:11" ht="18" x14ac:dyDescent="0.4">
      <c r="A423" s="7" t="s">
        <v>719</v>
      </c>
      <c r="B423" s="7" t="s">
        <v>250</v>
      </c>
      <c r="C423" s="8">
        <v>37866</v>
      </c>
      <c r="D423" s="9">
        <v>463609500</v>
      </c>
      <c r="E423" s="57">
        <v>120</v>
      </c>
      <c r="F423" s="10" t="s">
        <v>394</v>
      </c>
      <c r="G423" s="9">
        <v>120</v>
      </c>
      <c r="H423" s="70">
        <f t="shared" si="33"/>
        <v>1</v>
      </c>
      <c r="I423" s="11">
        <f t="shared" ca="1" si="34"/>
        <v>46119</v>
      </c>
      <c r="J423" s="11">
        <f t="shared" ca="1" si="35"/>
        <v>46118</v>
      </c>
      <c r="K423" s="13"/>
    </row>
    <row r="424" spans="1:11" ht="18" x14ac:dyDescent="0.4">
      <c r="A424" s="7" t="s">
        <v>719</v>
      </c>
      <c r="B424" s="7" t="s">
        <v>396</v>
      </c>
      <c r="C424" s="8">
        <v>10675</v>
      </c>
      <c r="D424" s="9">
        <v>552678530</v>
      </c>
      <c r="E424" s="57">
        <v>3600</v>
      </c>
      <c r="F424" s="10" t="s">
        <v>397</v>
      </c>
      <c r="G424" s="9">
        <v>7200</v>
      </c>
      <c r="H424" s="70">
        <f t="shared" si="33"/>
        <v>2</v>
      </c>
      <c r="I424" s="11">
        <f t="shared" ca="1" si="34"/>
        <v>46119</v>
      </c>
      <c r="J424" s="11">
        <f t="shared" ca="1" si="35"/>
        <v>46118</v>
      </c>
      <c r="K424" s="13"/>
    </row>
    <row r="425" spans="1:11" ht="18" x14ac:dyDescent="0.4">
      <c r="A425" s="7" t="s">
        <v>719</v>
      </c>
      <c r="B425" s="7" t="s">
        <v>396</v>
      </c>
      <c r="C425" s="8">
        <v>10675</v>
      </c>
      <c r="D425" s="9">
        <v>552755990</v>
      </c>
      <c r="E425" s="57">
        <v>7200</v>
      </c>
      <c r="F425" s="10" t="s">
        <v>398</v>
      </c>
      <c r="G425" s="9">
        <v>7200</v>
      </c>
      <c r="H425" s="70">
        <f t="shared" si="33"/>
        <v>1</v>
      </c>
      <c r="I425" s="11">
        <f t="shared" ca="1" si="34"/>
        <v>46119</v>
      </c>
      <c r="J425" s="11">
        <f t="shared" ca="1" si="35"/>
        <v>46118</v>
      </c>
      <c r="K425" s="13"/>
    </row>
    <row r="426" spans="1:11" ht="18" x14ac:dyDescent="0.4">
      <c r="A426" s="7" t="s">
        <v>719</v>
      </c>
      <c r="B426" s="7" t="s">
        <v>399</v>
      </c>
      <c r="C426" s="8">
        <v>32572</v>
      </c>
      <c r="D426" s="9">
        <v>552679980</v>
      </c>
      <c r="E426" s="57">
        <v>720</v>
      </c>
      <c r="F426" s="10" t="s">
        <v>400</v>
      </c>
      <c r="G426" s="9">
        <v>10800</v>
      </c>
      <c r="H426" s="70">
        <f t="shared" si="33"/>
        <v>15</v>
      </c>
      <c r="I426" s="11">
        <f t="shared" ca="1" si="34"/>
        <v>46119</v>
      </c>
      <c r="J426" s="11">
        <f t="shared" ca="1" si="35"/>
        <v>46118</v>
      </c>
      <c r="K426" s="13"/>
    </row>
    <row r="427" spans="1:11" ht="18" x14ac:dyDescent="0.4">
      <c r="A427" s="7" t="s">
        <v>719</v>
      </c>
      <c r="B427" s="7" t="s">
        <v>401</v>
      </c>
      <c r="C427" s="8">
        <v>31610</v>
      </c>
      <c r="D427" s="9">
        <v>552681700</v>
      </c>
      <c r="E427" s="57">
        <v>420</v>
      </c>
      <c r="F427" s="10" t="s">
        <v>402</v>
      </c>
      <c r="G427" s="9">
        <v>1680</v>
      </c>
      <c r="H427" s="70">
        <f t="shared" si="33"/>
        <v>4</v>
      </c>
      <c r="I427" s="11">
        <f t="shared" ca="1" si="34"/>
        <v>46119</v>
      </c>
      <c r="J427" s="11">
        <f t="shared" ca="1" si="35"/>
        <v>46118</v>
      </c>
      <c r="K427" s="13"/>
    </row>
    <row r="428" spans="1:11" ht="18" x14ac:dyDescent="0.4">
      <c r="A428" s="7" t="s">
        <v>719</v>
      </c>
      <c r="B428" s="7" t="s">
        <v>401</v>
      </c>
      <c r="C428" s="8">
        <v>31610</v>
      </c>
      <c r="D428" s="9">
        <v>552678490</v>
      </c>
      <c r="E428" s="57">
        <v>520</v>
      </c>
      <c r="F428" s="10" t="s">
        <v>402</v>
      </c>
      <c r="G428" s="9">
        <v>1040</v>
      </c>
      <c r="H428" s="70">
        <f t="shared" si="33"/>
        <v>2</v>
      </c>
      <c r="I428" s="11">
        <f t="shared" ca="1" si="34"/>
        <v>46119</v>
      </c>
      <c r="J428" s="11">
        <f t="shared" ca="1" si="35"/>
        <v>46118</v>
      </c>
      <c r="K428" s="13"/>
    </row>
    <row r="429" spans="1:11" ht="18" x14ac:dyDescent="0.4">
      <c r="A429" s="7" t="s">
        <v>719</v>
      </c>
      <c r="B429" s="7" t="s">
        <v>403</v>
      </c>
      <c r="C429" s="8">
        <v>34836</v>
      </c>
      <c r="D429" s="9">
        <v>552793140</v>
      </c>
      <c r="E429" s="57">
        <v>720</v>
      </c>
      <c r="F429" s="10" t="s">
        <v>404</v>
      </c>
      <c r="G429" s="9">
        <v>2880</v>
      </c>
      <c r="H429" s="70">
        <f t="shared" si="33"/>
        <v>4</v>
      </c>
      <c r="I429" s="11">
        <f t="shared" ca="1" si="34"/>
        <v>46119</v>
      </c>
      <c r="J429" s="11">
        <f t="shared" ca="1" si="35"/>
        <v>46118</v>
      </c>
      <c r="K429" s="13"/>
    </row>
    <row r="430" spans="1:11" ht="18" x14ac:dyDescent="0.4">
      <c r="A430" s="7" t="s">
        <v>719</v>
      </c>
      <c r="B430" s="7" t="s">
        <v>403</v>
      </c>
      <c r="C430" s="8">
        <v>34836</v>
      </c>
      <c r="D430" s="9">
        <v>552793150</v>
      </c>
      <c r="E430" s="57">
        <v>720</v>
      </c>
      <c r="F430" s="10" t="s">
        <v>405</v>
      </c>
      <c r="G430" s="9">
        <v>30960</v>
      </c>
      <c r="H430" s="70">
        <f t="shared" si="33"/>
        <v>43</v>
      </c>
      <c r="I430" s="11">
        <f t="shared" ca="1" si="34"/>
        <v>46119</v>
      </c>
      <c r="J430" s="11">
        <f t="shared" ca="1" si="35"/>
        <v>46118</v>
      </c>
      <c r="K430" s="13"/>
    </row>
    <row r="431" spans="1:11" ht="18" x14ac:dyDescent="0.4">
      <c r="A431" s="7" t="s">
        <v>719</v>
      </c>
      <c r="B431" s="7" t="s">
        <v>403</v>
      </c>
      <c r="C431" s="8">
        <v>34836</v>
      </c>
      <c r="D431" s="9">
        <v>552793160</v>
      </c>
      <c r="E431" s="57">
        <v>720</v>
      </c>
      <c r="F431" s="10" t="s">
        <v>406</v>
      </c>
      <c r="G431" s="9">
        <v>5760</v>
      </c>
      <c r="H431" s="70">
        <f t="shared" si="33"/>
        <v>8</v>
      </c>
      <c r="I431" s="11">
        <f t="shared" ca="1" si="34"/>
        <v>46119</v>
      </c>
      <c r="J431" s="11">
        <f t="shared" ca="1" si="35"/>
        <v>46118</v>
      </c>
      <c r="K431" s="13"/>
    </row>
    <row r="432" spans="1:11" ht="18" x14ac:dyDescent="0.4">
      <c r="A432" s="7" t="s">
        <v>719</v>
      </c>
      <c r="B432" s="7" t="s">
        <v>403</v>
      </c>
      <c r="C432" s="8">
        <v>34836</v>
      </c>
      <c r="D432" s="9">
        <v>552677750</v>
      </c>
      <c r="E432" s="57">
        <v>480</v>
      </c>
      <c r="F432" s="10" t="s">
        <v>144</v>
      </c>
      <c r="G432" s="9">
        <v>0</v>
      </c>
      <c r="H432" s="70">
        <f t="shared" si="33"/>
        <v>0</v>
      </c>
      <c r="I432" s="11">
        <f t="shared" ca="1" si="34"/>
        <v>46119</v>
      </c>
      <c r="J432" s="11">
        <f t="shared" ca="1" si="35"/>
        <v>46118</v>
      </c>
      <c r="K432" s="13"/>
    </row>
    <row r="433" spans="1:11" ht="18" x14ac:dyDescent="0.4">
      <c r="A433" s="7" t="s">
        <v>719</v>
      </c>
      <c r="B433" s="7" t="s">
        <v>403</v>
      </c>
      <c r="C433" s="8">
        <v>34836</v>
      </c>
      <c r="D433" s="9">
        <v>552677760</v>
      </c>
      <c r="E433" s="57">
        <v>480</v>
      </c>
      <c r="F433" s="10" t="s">
        <v>145</v>
      </c>
      <c r="G433" s="9">
        <v>12480</v>
      </c>
      <c r="H433" s="70">
        <f t="shared" si="33"/>
        <v>26</v>
      </c>
      <c r="I433" s="11">
        <f t="shared" ca="1" si="34"/>
        <v>46119</v>
      </c>
      <c r="J433" s="11">
        <f t="shared" ca="1" si="35"/>
        <v>46118</v>
      </c>
      <c r="K433" s="13"/>
    </row>
    <row r="434" spans="1:11" ht="18" x14ac:dyDescent="0.4">
      <c r="A434" s="7" t="s">
        <v>719</v>
      </c>
      <c r="B434" s="7" t="s">
        <v>403</v>
      </c>
      <c r="C434" s="8">
        <v>34836</v>
      </c>
      <c r="D434" s="9">
        <v>552677770</v>
      </c>
      <c r="E434" s="57">
        <v>480</v>
      </c>
      <c r="F434" s="10" t="s">
        <v>146</v>
      </c>
      <c r="G434" s="9">
        <v>2880</v>
      </c>
      <c r="H434" s="70">
        <f t="shared" si="33"/>
        <v>6</v>
      </c>
      <c r="I434" s="11">
        <f t="shared" ca="1" si="34"/>
        <v>46119</v>
      </c>
      <c r="J434" s="11">
        <f t="shared" ca="1" si="35"/>
        <v>46118</v>
      </c>
      <c r="K434" s="13"/>
    </row>
    <row r="435" spans="1:11" ht="18" x14ac:dyDescent="0.4">
      <c r="A435" s="7" t="s">
        <v>719</v>
      </c>
      <c r="B435" s="7" t="s">
        <v>403</v>
      </c>
      <c r="C435" s="8">
        <v>34836</v>
      </c>
      <c r="D435" s="9">
        <v>552677810</v>
      </c>
      <c r="E435" s="57">
        <v>480</v>
      </c>
      <c r="F435" s="10" t="s">
        <v>147</v>
      </c>
      <c r="G435" s="9">
        <v>5280</v>
      </c>
      <c r="H435" s="70">
        <f t="shared" ref="H435:H498" si="36">+G435/E435</f>
        <v>11</v>
      </c>
      <c r="I435" s="11">
        <f t="shared" ca="1" si="34"/>
        <v>46119</v>
      </c>
      <c r="J435" s="11">
        <f t="shared" ca="1" si="35"/>
        <v>46118</v>
      </c>
      <c r="K435" s="13"/>
    </row>
    <row r="436" spans="1:11" ht="18" x14ac:dyDescent="0.4">
      <c r="A436" s="7" t="s">
        <v>719</v>
      </c>
      <c r="B436" s="7" t="s">
        <v>403</v>
      </c>
      <c r="C436" s="8">
        <v>34836</v>
      </c>
      <c r="D436" s="9">
        <v>552677820</v>
      </c>
      <c r="E436" s="57">
        <v>480</v>
      </c>
      <c r="F436" s="10" t="s">
        <v>148</v>
      </c>
      <c r="G436" s="9">
        <v>21120</v>
      </c>
      <c r="H436" s="70">
        <f t="shared" si="36"/>
        <v>44</v>
      </c>
      <c r="I436" s="11">
        <f t="shared" ca="1" si="34"/>
        <v>46119</v>
      </c>
      <c r="J436" s="11">
        <f t="shared" ca="1" si="35"/>
        <v>46118</v>
      </c>
      <c r="K436" s="13"/>
    </row>
    <row r="437" spans="1:11" ht="18" x14ac:dyDescent="0.4">
      <c r="A437" s="7" t="s">
        <v>719</v>
      </c>
      <c r="B437" s="7" t="s">
        <v>403</v>
      </c>
      <c r="C437" s="8">
        <v>34836</v>
      </c>
      <c r="D437" s="9">
        <v>552677830</v>
      </c>
      <c r="E437" s="57">
        <v>480</v>
      </c>
      <c r="F437" s="10" t="s">
        <v>149</v>
      </c>
      <c r="G437" s="9">
        <v>0</v>
      </c>
      <c r="H437" s="70">
        <f t="shared" si="36"/>
        <v>0</v>
      </c>
      <c r="I437" s="11">
        <f t="shared" ca="1" si="34"/>
        <v>46119</v>
      </c>
      <c r="J437" s="11">
        <f t="shared" ca="1" si="35"/>
        <v>46118</v>
      </c>
      <c r="K437" s="13"/>
    </row>
    <row r="438" spans="1:11" ht="18" x14ac:dyDescent="0.4">
      <c r="A438" s="7" t="s">
        <v>719</v>
      </c>
      <c r="B438" s="7" t="s">
        <v>403</v>
      </c>
      <c r="C438" s="8">
        <v>34836</v>
      </c>
      <c r="D438" s="9">
        <v>552679480</v>
      </c>
      <c r="E438" s="57">
        <v>600</v>
      </c>
      <c r="F438" s="10" t="s">
        <v>407</v>
      </c>
      <c r="G438" s="9">
        <v>18000</v>
      </c>
      <c r="H438" s="70">
        <f t="shared" si="36"/>
        <v>30</v>
      </c>
      <c r="I438" s="11">
        <f t="shared" ca="1" si="34"/>
        <v>46119</v>
      </c>
      <c r="J438" s="11">
        <f t="shared" ca="1" si="35"/>
        <v>46118</v>
      </c>
      <c r="K438" s="13"/>
    </row>
    <row r="439" spans="1:11" ht="18" x14ac:dyDescent="0.4">
      <c r="A439" s="7" t="s">
        <v>719</v>
      </c>
      <c r="B439" s="7" t="s">
        <v>403</v>
      </c>
      <c r="C439" s="8">
        <v>34836</v>
      </c>
      <c r="D439" s="9">
        <v>552679440</v>
      </c>
      <c r="E439" s="57">
        <v>550</v>
      </c>
      <c r="F439" s="10" t="s">
        <v>408</v>
      </c>
      <c r="G439" s="9">
        <v>5500</v>
      </c>
      <c r="H439" s="70">
        <f t="shared" si="36"/>
        <v>10</v>
      </c>
      <c r="I439" s="11">
        <f t="shared" ref="I439:I461" ca="1" si="37">I438</f>
        <v>46119</v>
      </c>
      <c r="J439" s="11">
        <f t="shared" ca="1" si="35"/>
        <v>46118</v>
      </c>
      <c r="K439" s="13"/>
    </row>
    <row r="440" spans="1:11" ht="18" x14ac:dyDescent="0.4">
      <c r="A440" s="7" t="s">
        <v>719</v>
      </c>
      <c r="B440" s="7" t="s">
        <v>403</v>
      </c>
      <c r="C440" s="8">
        <v>34836</v>
      </c>
      <c r="D440" s="9">
        <v>552786650</v>
      </c>
      <c r="E440" s="57">
        <v>180</v>
      </c>
      <c r="F440" s="10" t="s">
        <v>409</v>
      </c>
      <c r="G440" s="9">
        <v>10440</v>
      </c>
      <c r="H440" s="70">
        <f t="shared" si="36"/>
        <v>58</v>
      </c>
      <c r="I440" s="11">
        <f t="shared" ca="1" si="37"/>
        <v>46119</v>
      </c>
      <c r="J440" s="11">
        <f t="shared" ca="1" si="35"/>
        <v>46118</v>
      </c>
      <c r="K440" s="13"/>
    </row>
    <row r="441" spans="1:11" ht="18" x14ac:dyDescent="0.4">
      <c r="A441" s="7" t="s">
        <v>719</v>
      </c>
      <c r="B441" s="7" t="s">
        <v>410</v>
      </c>
      <c r="C441" s="8">
        <v>28824</v>
      </c>
      <c r="D441" s="9">
        <v>552681400</v>
      </c>
      <c r="E441" s="57">
        <v>336</v>
      </c>
      <c r="F441" s="10" t="s">
        <v>411</v>
      </c>
      <c r="G441" s="9">
        <v>1008</v>
      </c>
      <c r="H441" s="70">
        <f t="shared" si="36"/>
        <v>3</v>
      </c>
      <c r="I441" s="11">
        <f t="shared" ca="1" si="37"/>
        <v>46119</v>
      </c>
      <c r="J441" s="11">
        <f t="shared" ca="1" si="35"/>
        <v>46118</v>
      </c>
      <c r="K441" s="13"/>
    </row>
    <row r="442" spans="1:11" ht="18" x14ac:dyDescent="0.4">
      <c r="A442" s="7" t="s">
        <v>719</v>
      </c>
      <c r="B442" s="7" t="s">
        <v>410</v>
      </c>
      <c r="C442" s="8">
        <v>28824</v>
      </c>
      <c r="D442" s="9">
        <v>552679510</v>
      </c>
      <c r="E442" s="57">
        <v>336</v>
      </c>
      <c r="F442" s="10" t="s">
        <v>411</v>
      </c>
      <c r="G442" s="9">
        <v>1008</v>
      </c>
      <c r="H442" s="70">
        <f t="shared" si="36"/>
        <v>3</v>
      </c>
      <c r="I442" s="11">
        <f t="shared" ca="1" si="37"/>
        <v>46119</v>
      </c>
      <c r="J442" s="11">
        <f t="shared" ca="1" si="35"/>
        <v>46118</v>
      </c>
      <c r="K442" s="13"/>
    </row>
    <row r="443" spans="1:11" ht="18" x14ac:dyDescent="0.4">
      <c r="A443" s="7" t="s">
        <v>719</v>
      </c>
      <c r="B443" s="7" t="s">
        <v>412</v>
      </c>
      <c r="C443" s="8">
        <v>11431</v>
      </c>
      <c r="D443" s="9">
        <v>463365360</v>
      </c>
      <c r="E443" s="57">
        <v>1000</v>
      </c>
      <c r="F443" s="10" t="s">
        <v>413</v>
      </c>
      <c r="G443" s="9">
        <v>0</v>
      </c>
      <c r="H443" s="70">
        <f t="shared" si="36"/>
        <v>0</v>
      </c>
      <c r="I443" s="11">
        <f t="shared" ca="1" si="37"/>
        <v>46119</v>
      </c>
      <c r="J443" s="11">
        <f t="shared" ca="1" si="35"/>
        <v>46118</v>
      </c>
      <c r="K443" s="13"/>
    </row>
    <row r="444" spans="1:11" ht="18" x14ac:dyDescent="0.4">
      <c r="A444" s="7" t="s">
        <v>719</v>
      </c>
      <c r="B444" s="7" t="s">
        <v>412</v>
      </c>
      <c r="C444" s="8">
        <v>11431</v>
      </c>
      <c r="D444" s="9">
        <v>463600440</v>
      </c>
      <c r="E444" s="57">
        <v>500</v>
      </c>
      <c r="F444" s="10" t="s">
        <v>413</v>
      </c>
      <c r="G444" s="9">
        <v>2000</v>
      </c>
      <c r="H444" s="70">
        <f t="shared" si="36"/>
        <v>4</v>
      </c>
      <c r="I444" s="11">
        <f t="shared" ca="1" si="37"/>
        <v>46119</v>
      </c>
      <c r="J444" s="11">
        <f t="shared" ca="1" si="35"/>
        <v>46118</v>
      </c>
      <c r="K444" s="13"/>
    </row>
    <row r="445" spans="1:11" ht="18" x14ac:dyDescent="0.4">
      <c r="A445" s="7" t="s">
        <v>719</v>
      </c>
      <c r="B445" s="7" t="s">
        <v>414</v>
      </c>
      <c r="C445" s="8">
        <v>21570</v>
      </c>
      <c r="D445" s="9">
        <v>552754290</v>
      </c>
      <c r="E445" s="57">
        <v>800</v>
      </c>
      <c r="F445" s="10" t="s">
        <v>415</v>
      </c>
      <c r="G445" s="9">
        <v>8000</v>
      </c>
      <c r="H445" s="70">
        <f t="shared" si="36"/>
        <v>10</v>
      </c>
      <c r="I445" s="11">
        <f t="shared" ca="1" si="37"/>
        <v>46119</v>
      </c>
      <c r="J445" s="11">
        <f t="shared" ca="1" si="35"/>
        <v>46118</v>
      </c>
      <c r="K445" s="13"/>
    </row>
    <row r="446" spans="1:11" ht="18" x14ac:dyDescent="0.4">
      <c r="A446" s="7" t="s">
        <v>719</v>
      </c>
      <c r="B446" s="7" t="s">
        <v>414</v>
      </c>
      <c r="C446" s="8">
        <v>21570</v>
      </c>
      <c r="D446" s="9">
        <v>552682660</v>
      </c>
      <c r="E446" s="57">
        <v>1800</v>
      </c>
      <c r="F446" s="10" t="s">
        <v>416</v>
      </c>
      <c r="G446" s="9">
        <v>3600</v>
      </c>
      <c r="H446" s="70">
        <f t="shared" si="36"/>
        <v>2</v>
      </c>
      <c r="I446" s="11">
        <f t="shared" ca="1" si="37"/>
        <v>46119</v>
      </c>
      <c r="J446" s="11">
        <f t="shared" ca="1" si="35"/>
        <v>46118</v>
      </c>
      <c r="K446" s="13"/>
    </row>
    <row r="447" spans="1:11" ht="18" x14ac:dyDescent="0.4">
      <c r="A447" s="7" t="s">
        <v>719</v>
      </c>
      <c r="B447" s="7" t="s">
        <v>417</v>
      </c>
      <c r="C447" s="8">
        <v>23480</v>
      </c>
      <c r="D447" s="9">
        <v>552677420</v>
      </c>
      <c r="E447" s="57">
        <v>2475</v>
      </c>
      <c r="F447" s="10" t="s">
        <v>418</v>
      </c>
      <c r="G447" s="9">
        <v>2475</v>
      </c>
      <c r="H447" s="70">
        <f t="shared" si="36"/>
        <v>1</v>
      </c>
      <c r="I447" s="11">
        <f t="shared" ca="1" si="37"/>
        <v>46119</v>
      </c>
      <c r="J447" s="11">
        <f t="shared" ca="1" si="35"/>
        <v>46118</v>
      </c>
      <c r="K447" s="13"/>
    </row>
    <row r="448" spans="1:11" ht="18" x14ac:dyDescent="0.4">
      <c r="A448" s="7" t="s">
        <v>719</v>
      </c>
      <c r="B448" s="7" t="s">
        <v>417</v>
      </c>
      <c r="C448" s="8">
        <v>23480</v>
      </c>
      <c r="D448" s="9">
        <v>144576800</v>
      </c>
      <c r="E448" s="57">
        <v>1000</v>
      </c>
      <c r="F448" s="10" t="s">
        <v>419</v>
      </c>
      <c r="G448" s="9">
        <v>20000</v>
      </c>
      <c r="H448" s="70">
        <f t="shared" si="36"/>
        <v>20</v>
      </c>
      <c r="I448" s="11">
        <f t="shared" ca="1" si="37"/>
        <v>46119</v>
      </c>
      <c r="J448" s="11">
        <f t="shared" ca="1" si="35"/>
        <v>46118</v>
      </c>
      <c r="K448" s="13"/>
    </row>
    <row r="449" spans="1:11" ht="18" x14ac:dyDescent="0.4">
      <c r="A449" s="7" t="s">
        <v>719</v>
      </c>
      <c r="B449" s="7" t="s">
        <v>417</v>
      </c>
      <c r="C449" s="8">
        <v>23480</v>
      </c>
      <c r="D449" s="9">
        <v>144534810</v>
      </c>
      <c r="E449" s="57">
        <v>4000</v>
      </c>
      <c r="F449" s="10" t="s">
        <v>420</v>
      </c>
      <c r="G449" s="9">
        <v>40000</v>
      </c>
      <c r="H449" s="70">
        <f t="shared" si="36"/>
        <v>10</v>
      </c>
      <c r="I449" s="11">
        <f t="shared" ca="1" si="37"/>
        <v>46119</v>
      </c>
      <c r="J449" s="11">
        <f t="shared" ca="1" si="35"/>
        <v>46118</v>
      </c>
      <c r="K449" s="13"/>
    </row>
    <row r="450" spans="1:11" ht="18" x14ac:dyDescent="0.4">
      <c r="A450" s="7" t="s">
        <v>719</v>
      </c>
      <c r="B450" s="7" t="s">
        <v>421</v>
      </c>
      <c r="C450" s="8">
        <v>23481</v>
      </c>
      <c r="D450" s="9">
        <v>463411500</v>
      </c>
      <c r="E450" s="57">
        <v>1200</v>
      </c>
      <c r="F450" s="10" t="s">
        <v>224</v>
      </c>
      <c r="G450" s="9">
        <v>0</v>
      </c>
      <c r="H450" s="70">
        <f t="shared" si="36"/>
        <v>0</v>
      </c>
      <c r="I450" s="11">
        <f t="shared" ca="1" si="37"/>
        <v>46119</v>
      </c>
      <c r="J450" s="11">
        <f t="shared" ca="1" si="35"/>
        <v>46118</v>
      </c>
      <c r="K450" s="13"/>
    </row>
    <row r="451" spans="1:11" ht="18" x14ac:dyDescent="0.4">
      <c r="A451" s="7" t="s">
        <v>719</v>
      </c>
      <c r="B451" s="7" t="s">
        <v>422</v>
      </c>
      <c r="C451" s="8">
        <v>21342</v>
      </c>
      <c r="D451" s="9">
        <v>463509950</v>
      </c>
      <c r="E451" s="57">
        <v>30</v>
      </c>
      <c r="F451" s="10" t="s">
        <v>423</v>
      </c>
      <c r="G451" s="9">
        <v>0</v>
      </c>
      <c r="H451" s="70">
        <f t="shared" si="36"/>
        <v>0</v>
      </c>
      <c r="I451" s="11">
        <f t="shared" ca="1" si="37"/>
        <v>46119</v>
      </c>
      <c r="J451" s="11">
        <f t="shared" ca="1" si="35"/>
        <v>46118</v>
      </c>
      <c r="K451" s="13"/>
    </row>
    <row r="452" spans="1:11" ht="18" x14ac:dyDescent="0.4">
      <c r="A452" s="7" t="s">
        <v>719</v>
      </c>
      <c r="B452" s="7" t="s">
        <v>422</v>
      </c>
      <c r="C452" s="8">
        <v>21342</v>
      </c>
      <c r="D452" s="9">
        <v>463509960</v>
      </c>
      <c r="E452" s="57">
        <v>300</v>
      </c>
      <c r="F452" s="10" t="s">
        <v>424</v>
      </c>
      <c r="G452" s="9">
        <v>0</v>
      </c>
      <c r="H452" s="70">
        <f t="shared" si="36"/>
        <v>0</v>
      </c>
      <c r="I452" s="11">
        <f t="shared" ca="1" si="37"/>
        <v>46119</v>
      </c>
      <c r="J452" s="11">
        <f t="shared" ca="1" si="35"/>
        <v>46118</v>
      </c>
      <c r="K452" s="13"/>
    </row>
    <row r="453" spans="1:11" ht="18" x14ac:dyDescent="0.4">
      <c r="A453" s="7" t="s">
        <v>719</v>
      </c>
      <c r="B453" s="7" t="s">
        <v>422</v>
      </c>
      <c r="C453" s="8">
        <v>21342</v>
      </c>
      <c r="D453" s="9">
        <v>463462820</v>
      </c>
      <c r="E453" s="57">
        <v>480</v>
      </c>
      <c r="F453" s="10" t="s">
        <v>425</v>
      </c>
      <c r="G453" s="9">
        <v>1920</v>
      </c>
      <c r="H453" s="70">
        <f t="shared" si="36"/>
        <v>4</v>
      </c>
      <c r="I453" s="11">
        <f t="shared" ca="1" si="37"/>
        <v>46119</v>
      </c>
      <c r="J453" s="11">
        <f t="shared" ca="1" si="35"/>
        <v>46118</v>
      </c>
      <c r="K453" s="13"/>
    </row>
    <row r="454" spans="1:11" ht="18" x14ac:dyDescent="0.4">
      <c r="A454" s="7" t="s">
        <v>719</v>
      </c>
      <c r="B454" s="7" t="s">
        <v>422</v>
      </c>
      <c r="C454" s="8">
        <v>21342</v>
      </c>
      <c r="D454" s="9">
        <v>463462910</v>
      </c>
      <c r="E454" s="57">
        <v>420</v>
      </c>
      <c r="F454" s="10" t="s">
        <v>426</v>
      </c>
      <c r="G454" s="9">
        <v>2100</v>
      </c>
      <c r="H454" s="70">
        <f t="shared" si="36"/>
        <v>5</v>
      </c>
      <c r="I454" s="11">
        <f t="shared" ca="1" si="37"/>
        <v>46119</v>
      </c>
      <c r="J454" s="11">
        <f t="shared" ca="1" si="35"/>
        <v>46118</v>
      </c>
      <c r="K454" s="13"/>
    </row>
    <row r="455" spans="1:11" ht="18" x14ac:dyDescent="0.4">
      <c r="A455" s="7" t="s">
        <v>719</v>
      </c>
      <c r="B455" s="7" t="s">
        <v>427</v>
      </c>
      <c r="C455" s="8">
        <v>14837</v>
      </c>
      <c r="D455" s="9">
        <v>552796450</v>
      </c>
      <c r="E455" s="57">
        <v>30</v>
      </c>
      <c r="F455" s="10" t="s">
        <v>428</v>
      </c>
      <c r="G455" s="9">
        <v>840</v>
      </c>
      <c r="H455" s="70">
        <f t="shared" si="36"/>
        <v>28</v>
      </c>
      <c r="I455" s="11">
        <f t="shared" ca="1" si="37"/>
        <v>46119</v>
      </c>
      <c r="J455" s="11">
        <f t="shared" ca="1" si="35"/>
        <v>46118</v>
      </c>
      <c r="K455" s="13"/>
    </row>
    <row r="456" spans="1:11" ht="18" x14ac:dyDescent="0.4">
      <c r="A456" s="7" t="s">
        <v>719</v>
      </c>
      <c r="B456" s="7" t="s">
        <v>427</v>
      </c>
      <c r="C456" s="8">
        <v>14837</v>
      </c>
      <c r="D456" s="9">
        <v>463508220</v>
      </c>
      <c r="E456" s="57">
        <v>30</v>
      </c>
      <c r="F456" s="10" t="s">
        <v>428</v>
      </c>
      <c r="G456" s="9">
        <v>0</v>
      </c>
      <c r="H456" s="70">
        <f t="shared" si="36"/>
        <v>0</v>
      </c>
      <c r="I456" s="11">
        <f t="shared" ca="1" si="37"/>
        <v>46119</v>
      </c>
      <c r="J456" s="11">
        <f t="shared" ca="1" si="35"/>
        <v>46118</v>
      </c>
      <c r="K456" s="13"/>
    </row>
    <row r="457" spans="1:11" ht="18" x14ac:dyDescent="0.4">
      <c r="A457" s="7" t="s">
        <v>719</v>
      </c>
      <c r="B457" s="7" t="s">
        <v>429</v>
      </c>
      <c r="C457" s="8">
        <v>1097</v>
      </c>
      <c r="D457" s="9">
        <v>463550730</v>
      </c>
      <c r="E457" s="57">
        <v>24</v>
      </c>
      <c r="F457" s="10" t="s">
        <v>430</v>
      </c>
      <c r="G457" s="9">
        <v>900</v>
      </c>
      <c r="H457" s="70">
        <f t="shared" si="36"/>
        <v>37.5</v>
      </c>
      <c r="I457" s="11">
        <f t="shared" ca="1" si="37"/>
        <v>46119</v>
      </c>
      <c r="J457" s="11">
        <f t="shared" ref="J457:J502" ca="1" si="38">TODAY()</f>
        <v>46118</v>
      </c>
      <c r="K457" s="13"/>
    </row>
    <row r="458" spans="1:11" ht="18" x14ac:dyDescent="0.4">
      <c r="A458" s="7" t="s">
        <v>719</v>
      </c>
      <c r="B458" s="7" t="s">
        <v>429</v>
      </c>
      <c r="C458" s="8">
        <v>1097</v>
      </c>
      <c r="D458" s="9">
        <v>463443560</v>
      </c>
      <c r="E458" s="57">
        <v>24</v>
      </c>
      <c r="F458" s="10" t="s">
        <v>431</v>
      </c>
      <c r="G458" s="9">
        <v>600</v>
      </c>
      <c r="H458" s="70">
        <f t="shared" si="36"/>
        <v>25</v>
      </c>
      <c r="I458" s="11">
        <f t="shared" ca="1" si="37"/>
        <v>46119</v>
      </c>
      <c r="J458" s="11">
        <f t="shared" ca="1" si="38"/>
        <v>46118</v>
      </c>
      <c r="K458" s="13"/>
    </row>
    <row r="459" spans="1:11" ht="18" x14ac:dyDescent="0.4">
      <c r="A459" s="7" t="s">
        <v>719</v>
      </c>
      <c r="B459" s="7" t="s">
        <v>429</v>
      </c>
      <c r="C459" s="8">
        <v>1097</v>
      </c>
      <c r="D459" s="9">
        <v>463555740</v>
      </c>
      <c r="E459" s="57">
        <v>24</v>
      </c>
      <c r="F459" s="10" t="s">
        <v>432</v>
      </c>
      <c r="G459" s="9">
        <v>480</v>
      </c>
      <c r="H459" s="70">
        <f t="shared" si="36"/>
        <v>20</v>
      </c>
      <c r="I459" s="11">
        <f t="shared" ca="1" si="37"/>
        <v>46119</v>
      </c>
      <c r="J459" s="11">
        <f t="shared" ca="1" si="38"/>
        <v>46118</v>
      </c>
      <c r="K459" s="13"/>
    </row>
    <row r="460" spans="1:11" ht="18" x14ac:dyDescent="0.4">
      <c r="A460" s="7" t="s">
        <v>719</v>
      </c>
      <c r="B460" s="7" t="s">
        <v>429</v>
      </c>
      <c r="C460" s="8">
        <v>1097</v>
      </c>
      <c r="D460" s="9">
        <v>463526980</v>
      </c>
      <c r="E460" s="57">
        <v>24</v>
      </c>
      <c r="F460" s="10" t="s">
        <v>433</v>
      </c>
      <c r="G460" s="9">
        <v>0</v>
      </c>
      <c r="H460" s="70">
        <f t="shared" si="36"/>
        <v>0</v>
      </c>
      <c r="I460" s="11">
        <f t="shared" ca="1" si="37"/>
        <v>46119</v>
      </c>
      <c r="J460" s="11">
        <f t="shared" ca="1" si="38"/>
        <v>46118</v>
      </c>
      <c r="K460" s="13"/>
    </row>
    <row r="461" spans="1:11" ht="18" x14ac:dyDescent="0.4">
      <c r="A461" s="7" t="s">
        <v>719</v>
      </c>
      <c r="B461" s="7" t="s">
        <v>434</v>
      </c>
      <c r="C461" s="8">
        <v>51620</v>
      </c>
      <c r="D461" s="9">
        <v>552685780</v>
      </c>
      <c r="E461" s="57">
        <v>840</v>
      </c>
      <c r="F461" s="10" t="s">
        <v>435</v>
      </c>
      <c r="G461" s="9">
        <v>840</v>
      </c>
      <c r="H461" s="70">
        <f t="shared" si="36"/>
        <v>1</v>
      </c>
      <c r="I461" s="11">
        <f t="shared" ca="1" si="37"/>
        <v>46119</v>
      </c>
      <c r="J461" s="11">
        <f t="shared" ca="1" si="38"/>
        <v>46118</v>
      </c>
      <c r="K461" s="13"/>
    </row>
    <row r="462" spans="1:11" ht="18" x14ac:dyDescent="0.4">
      <c r="A462" s="7" t="s">
        <v>719</v>
      </c>
      <c r="B462" s="7" t="s">
        <v>434</v>
      </c>
      <c r="C462" s="8">
        <v>51620</v>
      </c>
      <c r="D462" s="9">
        <v>552685800</v>
      </c>
      <c r="E462" s="57">
        <v>1440</v>
      </c>
      <c r="F462" s="10" t="s">
        <v>436</v>
      </c>
      <c r="G462" s="9">
        <v>7200</v>
      </c>
      <c r="H462" s="70">
        <f t="shared" si="36"/>
        <v>5</v>
      </c>
      <c r="I462" s="11">
        <f t="shared" ref="I462:I480" ca="1" si="39">I461</f>
        <v>46119</v>
      </c>
      <c r="J462" s="11">
        <f t="shared" ca="1" si="38"/>
        <v>46118</v>
      </c>
      <c r="K462" s="13"/>
    </row>
    <row r="463" spans="1:11" ht="18" x14ac:dyDescent="0.4">
      <c r="A463" s="7" t="s">
        <v>719</v>
      </c>
      <c r="B463" s="7" t="s">
        <v>434</v>
      </c>
      <c r="C463" s="8">
        <v>51620</v>
      </c>
      <c r="D463" s="9">
        <v>552685820</v>
      </c>
      <c r="E463" s="57">
        <v>840</v>
      </c>
      <c r="F463" s="10" t="s">
        <v>437</v>
      </c>
      <c r="G463" s="9">
        <v>840</v>
      </c>
      <c r="H463" s="70">
        <f t="shared" si="36"/>
        <v>1</v>
      </c>
      <c r="I463" s="11">
        <f t="shared" ca="1" si="39"/>
        <v>46119</v>
      </c>
      <c r="J463" s="11">
        <f t="shared" ca="1" si="38"/>
        <v>46118</v>
      </c>
      <c r="K463" s="13"/>
    </row>
    <row r="464" spans="1:11" ht="18" x14ac:dyDescent="0.4">
      <c r="A464" s="7" t="s">
        <v>719</v>
      </c>
      <c r="B464" s="7" t="s">
        <v>434</v>
      </c>
      <c r="C464" s="8">
        <v>51620</v>
      </c>
      <c r="D464" s="9">
        <v>552820620</v>
      </c>
      <c r="E464" s="57">
        <v>840</v>
      </c>
      <c r="F464" s="10" t="s">
        <v>435</v>
      </c>
      <c r="G464" s="9">
        <v>0</v>
      </c>
      <c r="H464" s="70">
        <f t="shared" si="36"/>
        <v>0</v>
      </c>
      <c r="I464" s="11">
        <f t="shared" ca="1" si="39"/>
        <v>46119</v>
      </c>
      <c r="J464" s="11">
        <f t="shared" ca="1" si="38"/>
        <v>46118</v>
      </c>
      <c r="K464" s="13"/>
    </row>
    <row r="465" spans="1:15" ht="18" x14ac:dyDescent="0.4">
      <c r="A465" s="7" t="s">
        <v>719</v>
      </c>
      <c r="B465" s="7" t="s">
        <v>434</v>
      </c>
      <c r="C465" s="8">
        <v>51620</v>
      </c>
      <c r="D465" s="9">
        <v>552820640</v>
      </c>
      <c r="E465" s="57">
        <v>1440</v>
      </c>
      <c r="F465" s="10" t="s">
        <v>436</v>
      </c>
      <c r="G465" s="9">
        <v>2880</v>
      </c>
      <c r="H465" s="70">
        <f t="shared" si="36"/>
        <v>2</v>
      </c>
      <c r="I465" s="11">
        <f t="shared" ca="1" si="39"/>
        <v>46119</v>
      </c>
      <c r="J465" s="11">
        <f t="shared" ca="1" si="38"/>
        <v>46118</v>
      </c>
      <c r="K465" s="13"/>
    </row>
    <row r="466" spans="1:15" ht="18" x14ac:dyDescent="0.4">
      <c r="A466" s="7" t="s">
        <v>719</v>
      </c>
      <c r="B466" s="7" t="s">
        <v>434</v>
      </c>
      <c r="C466" s="8">
        <v>51620</v>
      </c>
      <c r="D466" s="9">
        <v>552820660</v>
      </c>
      <c r="E466" s="57">
        <v>840</v>
      </c>
      <c r="F466" s="10" t="s">
        <v>437</v>
      </c>
      <c r="G466" s="9">
        <v>840</v>
      </c>
      <c r="H466" s="70">
        <f t="shared" si="36"/>
        <v>1</v>
      </c>
      <c r="I466" s="11">
        <f t="shared" ca="1" si="39"/>
        <v>46119</v>
      </c>
      <c r="J466" s="11">
        <f t="shared" ca="1" si="38"/>
        <v>46118</v>
      </c>
      <c r="K466" s="13"/>
    </row>
    <row r="467" spans="1:15" ht="18" x14ac:dyDescent="0.4">
      <c r="A467" s="7" t="s">
        <v>719</v>
      </c>
      <c r="B467" s="7" t="s">
        <v>434</v>
      </c>
      <c r="C467" s="8">
        <v>51620</v>
      </c>
      <c r="D467" s="9">
        <v>552685720</v>
      </c>
      <c r="E467" s="57">
        <v>4000</v>
      </c>
      <c r="F467" s="10" t="s">
        <v>438</v>
      </c>
      <c r="G467" s="9">
        <v>40000</v>
      </c>
      <c r="H467" s="70">
        <f t="shared" si="36"/>
        <v>10</v>
      </c>
      <c r="I467" s="11">
        <f t="shared" ca="1" si="39"/>
        <v>46119</v>
      </c>
      <c r="J467" s="11">
        <f t="shared" ca="1" si="38"/>
        <v>46118</v>
      </c>
      <c r="K467" s="13"/>
    </row>
    <row r="468" spans="1:15" ht="18" x14ac:dyDescent="0.4">
      <c r="A468" s="7" t="s">
        <v>719</v>
      </c>
      <c r="B468" s="7" t="s">
        <v>439</v>
      </c>
      <c r="C468" s="8">
        <v>40840</v>
      </c>
      <c r="D468" s="9">
        <v>552731550</v>
      </c>
      <c r="E468" s="57">
        <v>1000</v>
      </c>
      <c r="F468" s="10" t="s">
        <v>440</v>
      </c>
      <c r="G468" s="9">
        <v>0</v>
      </c>
      <c r="H468" s="70">
        <f t="shared" si="36"/>
        <v>0</v>
      </c>
      <c r="I468" s="11">
        <f t="shared" ca="1" si="39"/>
        <v>46119</v>
      </c>
      <c r="J468" s="11">
        <f t="shared" ca="1" si="38"/>
        <v>46118</v>
      </c>
      <c r="K468" s="13"/>
      <c r="N468" s="3">
        <v>10</v>
      </c>
      <c r="O468" s="3" t="s">
        <v>725</v>
      </c>
    </row>
    <row r="469" spans="1:15" ht="18" x14ac:dyDescent="0.4">
      <c r="A469" s="7" t="s">
        <v>719</v>
      </c>
      <c r="B469" s="7" t="s">
        <v>439</v>
      </c>
      <c r="C469" s="8">
        <v>40840</v>
      </c>
      <c r="D469" s="9">
        <v>552716380</v>
      </c>
      <c r="E469" s="57">
        <v>500</v>
      </c>
      <c r="F469" s="10" t="s">
        <v>441</v>
      </c>
      <c r="G469" s="9">
        <v>0</v>
      </c>
      <c r="H469" s="70">
        <f t="shared" si="36"/>
        <v>0</v>
      </c>
      <c r="I469" s="11">
        <f t="shared" ca="1" si="39"/>
        <v>46119</v>
      </c>
      <c r="J469" s="11">
        <f t="shared" ca="1" si="38"/>
        <v>46118</v>
      </c>
      <c r="K469" s="13"/>
    </row>
    <row r="470" spans="1:15" ht="18" x14ac:dyDescent="0.4">
      <c r="A470" s="7" t="s">
        <v>719</v>
      </c>
      <c r="B470" s="7" t="s">
        <v>439</v>
      </c>
      <c r="C470" s="8">
        <v>40840</v>
      </c>
      <c r="D470" s="9">
        <v>552679610</v>
      </c>
      <c r="E470" s="57">
        <v>100</v>
      </c>
      <c r="F470" s="10" t="s">
        <v>442</v>
      </c>
      <c r="G470" s="9">
        <v>0</v>
      </c>
      <c r="H470" s="70">
        <f t="shared" si="36"/>
        <v>0</v>
      </c>
      <c r="I470" s="11">
        <f t="shared" ca="1" si="39"/>
        <v>46119</v>
      </c>
      <c r="J470" s="11">
        <f t="shared" ca="1" si="38"/>
        <v>46118</v>
      </c>
      <c r="K470" s="13"/>
    </row>
    <row r="471" spans="1:15" ht="18" x14ac:dyDescent="0.4">
      <c r="A471" s="7" t="s">
        <v>719</v>
      </c>
      <c r="B471" s="7" t="s">
        <v>439</v>
      </c>
      <c r="C471" s="8">
        <v>40840</v>
      </c>
      <c r="D471" s="9">
        <v>187503240</v>
      </c>
      <c r="E471" s="57">
        <v>1000</v>
      </c>
      <c r="F471" s="10" t="s">
        <v>443</v>
      </c>
      <c r="G471" s="9">
        <v>0</v>
      </c>
      <c r="H471" s="70">
        <f t="shared" si="36"/>
        <v>0</v>
      </c>
      <c r="I471" s="11">
        <f ca="1">I469</f>
        <v>46119</v>
      </c>
      <c r="J471" s="11">
        <f t="shared" ca="1" si="38"/>
        <v>46118</v>
      </c>
      <c r="K471" s="13"/>
    </row>
    <row r="472" spans="1:15" ht="18" x14ac:dyDescent="0.4">
      <c r="A472" s="7" t="s">
        <v>719</v>
      </c>
      <c r="B472" s="7" t="s">
        <v>439</v>
      </c>
      <c r="C472" s="8">
        <v>40840</v>
      </c>
      <c r="D472" s="9">
        <v>162859210</v>
      </c>
      <c r="E472" s="57">
        <v>1000</v>
      </c>
      <c r="F472" s="10" t="s">
        <v>444</v>
      </c>
      <c r="G472" s="9">
        <v>0</v>
      </c>
      <c r="H472" s="70">
        <f t="shared" si="36"/>
        <v>0</v>
      </c>
      <c r="I472" s="11">
        <f t="shared" ca="1" si="39"/>
        <v>46119</v>
      </c>
      <c r="J472" s="11">
        <f t="shared" ca="1" si="38"/>
        <v>46118</v>
      </c>
      <c r="K472" s="13"/>
    </row>
    <row r="473" spans="1:15" ht="18" x14ac:dyDescent="0.4">
      <c r="A473" s="7" t="s">
        <v>719</v>
      </c>
      <c r="B473" s="7" t="s">
        <v>439</v>
      </c>
      <c r="C473" s="8">
        <v>40840</v>
      </c>
      <c r="D473" s="9">
        <v>114843240</v>
      </c>
      <c r="E473" s="57">
        <v>1000</v>
      </c>
      <c r="F473" s="10" t="s">
        <v>445</v>
      </c>
      <c r="G473" s="9">
        <v>0</v>
      </c>
      <c r="H473" s="70">
        <f t="shared" si="36"/>
        <v>0</v>
      </c>
      <c r="I473" s="11">
        <f t="shared" ca="1" si="39"/>
        <v>46119</v>
      </c>
      <c r="J473" s="11">
        <f t="shared" ca="1" si="38"/>
        <v>46118</v>
      </c>
      <c r="K473" s="13"/>
    </row>
    <row r="474" spans="1:15" ht="18" x14ac:dyDescent="0.4">
      <c r="A474" s="7" t="s">
        <v>719</v>
      </c>
      <c r="B474" s="7" t="s">
        <v>446</v>
      </c>
      <c r="C474" s="8">
        <v>50111</v>
      </c>
      <c r="D474" s="9">
        <v>552679380</v>
      </c>
      <c r="E474" s="57">
        <v>5600</v>
      </c>
      <c r="F474" s="10" t="s">
        <v>447</v>
      </c>
      <c r="G474" s="9">
        <v>11200</v>
      </c>
      <c r="H474" s="70">
        <f t="shared" si="36"/>
        <v>2</v>
      </c>
      <c r="I474" s="11">
        <f t="shared" ca="1" si="39"/>
        <v>46119</v>
      </c>
      <c r="J474" s="11">
        <f t="shared" ca="1" si="38"/>
        <v>46118</v>
      </c>
      <c r="K474" s="13"/>
    </row>
    <row r="475" spans="1:15" ht="18" x14ac:dyDescent="0.4">
      <c r="A475" s="7" t="s">
        <v>719</v>
      </c>
      <c r="B475" s="7" t="s">
        <v>448</v>
      </c>
      <c r="C475" s="8">
        <v>33518</v>
      </c>
      <c r="D475" s="9">
        <v>552681850</v>
      </c>
      <c r="E475" s="57">
        <v>64</v>
      </c>
      <c r="F475" s="10" t="s">
        <v>449</v>
      </c>
      <c r="G475" s="9">
        <v>1536</v>
      </c>
      <c r="H475" s="70">
        <f t="shared" si="36"/>
        <v>24</v>
      </c>
      <c r="I475" s="11">
        <f t="shared" ca="1" si="39"/>
        <v>46119</v>
      </c>
      <c r="J475" s="11">
        <f t="shared" ca="1" si="38"/>
        <v>46118</v>
      </c>
      <c r="K475" s="13"/>
    </row>
    <row r="476" spans="1:15" ht="18" x14ac:dyDescent="0.4">
      <c r="A476" s="7" t="s">
        <v>719</v>
      </c>
      <c r="B476" s="7" t="s">
        <v>448</v>
      </c>
      <c r="C476" s="8">
        <v>33518</v>
      </c>
      <c r="D476" s="9">
        <v>552667970</v>
      </c>
      <c r="E476" s="57">
        <v>96</v>
      </c>
      <c r="F476" s="10" t="s">
        <v>450</v>
      </c>
      <c r="G476" s="9">
        <v>672</v>
      </c>
      <c r="H476" s="70">
        <f t="shared" si="36"/>
        <v>7</v>
      </c>
      <c r="I476" s="11">
        <f t="shared" ca="1" si="39"/>
        <v>46119</v>
      </c>
      <c r="J476" s="11">
        <f t="shared" ca="1" si="38"/>
        <v>46118</v>
      </c>
      <c r="K476" s="13"/>
    </row>
    <row r="477" spans="1:15" ht="18" x14ac:dyDescent="0.4">
      <c r="A477" s="7" t="s">
        <v>719</v>
      </c>
      <c r="B477" s="7" t="s">
        <v>448</v>
      </c>
      <c r="C477" s="8">
        <v>33518</v>
      </c>
      <c r="D477" s="9">
        <v>463411480</v>
      </c>
      <c r="E477" s="57">
        <v>96</v>
      </c>
      <c r="F477" s="10" t="s">
        <v>450</v>
      </c>
      <c r="G477" s="9">
        <v>0</v>
      </c>
      <c r="H477" s="70">
        <f t="shared" si="36"/>
        <v>0</v>
      </c>
      <c r="I477" s="11">
        <f t="shared" ca="1" si="39"/>
        <v>46119</v>
      </c>
      <c r="J477" s="11">
        <f t="shared" ca="1" si="38"/>
        <v>46118</v>
      </c>
      <c r="K477" s="13"/>
    </row>
    <row r="478" spans="1:15" ht="18" x14ac:dyDescent="0.4">
      <c r="A478" s="7" t="s">
        <v>719</v>
      </c>
      <c r="B478" s="7" t="s">
        <v>451</v>
      </c>
      <c r="C478" s="8">
        <v>30467</v>
      </c>
      <c r="D478" s="9">
        <v>552703690</v>
      </c>
      <c r="E478" s="57">
        <v>2000</v>
      </c>
      <c r="F478" s="10" t="s">
        <v>184</v>
      </c>
      <c r="G478" s="9">
        <v>0</v>
      </c>
      <c r="H478" s="70">
        <f t="shared" si="36"/>
        <v>0</v>
      </c>
      <c r="I478" s="11">
        <f t="shared" ca="1" si="39"/>
        <v>46119</v>
      </c>
      <c r="J478" s="11">
        <f t="shared" ca="1" si="38"/>
        <v>46118</v>
      </c>
      <c r="K478" s="13"/>
    </row>
    <row r="479" spans="1:15" ht="18" x14ac:dyDescent="0.4">
      <c r="A479" s="7" t="s">
        <v>719</v>
      </c>
      <c r="B479" s="7" t="s">
        <v>452</v>
      </c>
      <c r="C479" s="8">
        <v>56589</v>
      </c>
      <c r="D479" s="9">
        <v>552681677</v>
      </c>
      <c r="E479" s="57">
        <v>48</v>
      </c>
      <c r="F479" s="10" t="s">
        <v>453</v>
      </c>
      <c r="G479" s="9">
        <v>1920</v>
      </c>
      <c r="H479" s="70">
        <f t="shared" si="36"/>
        <v>40</v>
      </c>
      <c r="I479" s="11">
        <f t="shared" ca="1" si="39"/>
        <v>46119</v>
      </c>
      <c r="J479" s="11">
        <f t="shared" ca="1" si="38"/>
        <v>46118</v>
      </c>
      <c r="K479" s="13"/>
    </row>
    <row r="480" spans="1:15" ht="18" x14ac:dyDescent="0.4">
      <c r="A480" s="7" t="s">
        <v>719</v>
      </c>
      <c r="B480" s="7" t="s">
        <v>452</v>
      </c>
      <c r="C480" s="8">
        <v>56589</v>
      </c>
      <c r="D480" s="9">
        <v>552657037</v>
      </c>
      <c r="E480" s="57">
        <v>48</v>
      </c>
      <c r="F480" s="10" t="s">
        <v>454</v>
      </c>
      <c r="G480" s="9">
        <v>240</v>
      </c>
      <c r="H480" s="70">
        <f t="shared" si="36"/>
        <v>5</v>
      </c>
      <c r="I480" s="11">
        <f t="shared" ca="1" si="39"/>
        <v>46119</v>
      </c>
      <c r="J480" s="11">
        <f t="shared" ca="1" si="38"/>
        <v>46118</v>
      </c>
      <c r="K480" s="13"/>
    </row>
    <row r="481" spans="1:11" ht="18" x14ac:dyDescent="0.4">
      <c r="A481" s="7" t="s">
        <v>719</v>
      </c>
      <c r="B481" s="7" t="s">
        <v>452</v>
      </c>
      <c r="C481" s="8">
        <v>56589</v>
      </c>
      <c r="D481" s="9">
        <v>552681750</v>
      </c>
      <c r="E481" s="57">
        <v>120</v>
      </c>
      <c r="F481" s="10" t="s">
        <v>455</v>
      </c>
      <c r="G481" s="9">
        <v>720</v>
      </c>
      <c r="H481" s="70">
        <f t="shared" si="36"/>
        <v>6</v>
      </c>
      <c r="I481" s="11">
        <f t="shared" ref="I481:I498" ca="1" si="40">I480</f>
        <v>46119</v>
      </c>
      <c r="J481" s="11">
        <f t="shared" ca="1" si="38"/>
        <v>46118</v>
      </c>
      <c r="K481" s="13"/>
    </row>
    <row r="482" spans="1:11" ht="18" x14ac:dyDescent="0.4">
      <c r="A482" s="7" t="s">
        <v>719</v>
      </c>
      <c r="B482" s="7" t="s">
        <v>452</v>
      </c>
      <c r="C482" s="8">
        <v>56589</v>
      </c>
      <c r="D482" s="9">
        <v>552680020</v>
      </c>
      <c r="E482" s="57">
        <v>120</v>
      </c>
      <c r="F482" s="10" t="s">
        <v>456</v>
      </c>
      <c r="G482" s="9">
        <v>600</v>
      </c>
      <c r="H482" s="70">
        <f t="shared" si="36"/>
        <v>5</v>
      </c>
      <c r="I482" s="11">
        <f t="shared" ca="1" si="40"/>
        <v>46119</v>
      </c>
      <c r="J482" s="11">
        <f t="shared" ca="1" si="38"/>
        <v>46118</v>
      </c>
      <c r="K482" s="13"/>
    </row>
    <row r="483" spans="1:11" ht="18" x14ac:dyDescent="0.4">
      <c r="A483" s="7" t="s">
        <v>719</v>
      </c>
      <c r="B483" s="7" t="s">
        <v>457</v>
      </c>
      <c r="C483" s="8">
        <v>35657</v>
      </c>
      <c r="D483" s="9">
        <v>552677430</v>
      </c>
      <c r="E483" s="57">
        <v>6000</v>
      </c>
      <c r="F483" s="10" t="s">
        <v>243</v>
      </c>
      <c r="G483" s="9">
        <v>0</v>
      </c>
      <c r="H483" s="70">
        <f t="shared" si="36"/>
        <v>0</v>
      </c>
      <c r="I483" s="11">
        <f t="shared" ca="1" si="40"/>
        <v>46119</v>
      </c>
      <c r="J483" s="11">
        <f t="shared" ca="1" si="38"/>
        <v>46118</v>
      </c>
      <c r="K483" s="13"/>
    </row>
    <row r="484" spans="1:11" ht="18" x14ac:dyDescent="0.4">
      <c r="A484" s="7" t="s">
        <v>719</v>
      </c>
      <c r="B484" s="7" t="s">
        <v>458</v>
      </c>
      <c r="C484" s="8">
        <v>68265</v>
      </c>
      <c r="D484" s="9">
        <v>463375350</v>
      </c>
      <c r="E484" s="57">
        <v>7200</v>
      </c>
      <c r="F484" s="10" t="s">
        <v>459</v>
      </c>
      <c r="G484" s="9">
        <v>14400</v>
      </c>
      <c r="H484" s="70">
        <f t="shared" si="36"/>
        <v>2</v>
      </c>
      <c r="I484" s="11">
        <f t="shared" ca="1" si="40"/>
        <v>46119</v>
      </c>
      <c r="J484" s="11">
        <f t="shared" ca="1" si="38"/>
        <v>46118</v>
      </c>
      <c r="K484" s="13"/>
    </row>
    <row r="485" spans="1:11" ht="18" x14ac:dyDescent="0.4">
      <c r="A485" s="7" t="s">
        <v>719</v>
      </c>
      <c r="B485" s="7" t="s">
        <v>458</v>
      </c>
      <c r="C485" s="8">
        <v>68265</v>
      </c>
      <c r="D485" s="9">
        <v>552679420</v>
      </c>
      <c r="E485" s="57">
        <v>3360</v>
      </c>
      <c r="F485" s="10" t="s">
        <v>460</v>
      </c>
      <c r="G485" s="9">
        <v>16800</v>
      </c>
      <c r="H485" s="70">
        <f t="shared" si="36"/>
        <v>5</v>
      </c>
      <c r="I485" s="11">
        <f t="shared" ca="1" si="40"/>
        <v>46119</v>
      </c>
      <c r="J485" s="11">
        <f t="shared" ca="1" si="38"/>
        <v>46118</v>
      </c>
      <c r="K485" s="13"/>
    </row>
    <row r="486" spans="1:11" ht="18" x14ac:dyDescent="0.4">
      <c r="A486" s="7" t="s">
        <v>719</v>
      </c>
      <c r="B486" s="7" t="s">
        <v>458</v>
      </c>
      <c r="C486" s="8">
        <v>68265</v>
      </c>
      <c r="D486" s="9">
        <v>463541260</v>
      </c>
      <c r="E486" s="57">
        <v>120</v>
      </c>
      <c r="F486" s="10" t="s">
        <v>461</v>
      </c>
      <c r="G486" s="9">
        <v>960</v>
      </c>
      <c r="H486" s="70">
        <f t="shared" si="36"/>
        <v>8</v>
      </c>
      <c r="I486" s="11">
        <f t="shared" ca="1" si="40"/>
        <v>46119</v>
      </c>
      <c r="J486" s="11">
        <f t="shared" ca="1" si="38"/>
        <v>46118</v>
      </c>
      <c r="K486" s="13"/>
    </row>
    <row r="487" spans="1:11" ht="18" x14ac:dyDescent="0.4">
      <c r="A487" s="7" t="s">
        <v>719</v>
      </c>
      <c r="B487" s="7" t="s">
        <v>458</v>
      </c>
      <c r="C487" s="8">
        <v>68265</v>
      </c>
      <c r="D487" s="9">
        <v>463541240</v>
      </c>
      <c r="E487" s="57">
        <v>120</v>
      </c>
      <c r="F487" s="10" t="s">
        <v>462</v>
      </c>
      <c r="G487" s="9">
        <v>360</v>
      </c>
      <c r="H487" s="70">
        <f t="shared" si="36"/>
        <v>3</v>
      </c>
      <c r="I487" s="11">
        <f t="shared" ca="1" si="40"/>
        <v>46119</v>
      </c>
      <c r="J487" s="11">
        <f t="shared" ca="1" si="38"/>
        <v>46118</v>
      </c>
      <c r="K487" s="13"/>
    </row>
    <row r="488" spans="1:11" ht="18" x14ac:dyDescent="0.4">
      <c r="A488" s="7" t="s">
        <v>719</v>
      </c>
      <c r="B488" s="7" t="s">
        <v>463</v>
      </c>
      <c r="C488" s="8">
        <v>1020</v>
      </c>
      <c r="D488" s="9">
        <v>552732717</v>
      </c>
      <c r="E488" s="57">
        <v>30</v>
      </c>
      <c r="F488" s="10" t="s">
        <v>464</v>
      </c>
      <c r="G488" s="9">
        <v>600</v>
      </c>
      <c r="H488" s="70">
        <f t="shared" si="36"/>
        <v>20</v>
      </c>
      <c r="I488" s="11">
        <f t="shared" ca="1" si="40"/>
        <v>46119</v>
      </c>
      <c r="J488" s="11">
        <f t="shared" ca="1" si="38"/>
        <v>46118</v>
      </c>
      <c r="K488" s="13"/>
    </row>
    <row r="489" spans="1:11" ht="18" x14ac:dyDescent="0.4">
      <c r="A489" s="7" t="s">
        <v>719</v>
      </c>
      <c r="B489" s="7" t="s">
        <v>463</v>
      </c>
      <c r="C489" s="8">
        <v>1020</v>
      </c>
      <c r="D489" s="9">
        <v>552732747</v>
      </c>
      <c r="E489" s="57">
        <v>30</v>
      </c>
      <c r="F489" s="10" t="s">
        <v>465</v>
      </c>
      <c r="G489" s="9">
        <v>1800</v>
      </c>
      <c r="H489" s="70">
        <f t="shared" si="36"/>
        <v>60</v>
      </c>
      <c r="I489" s="11">
        <f t="shared" ca="1" si="40"/>
        <v>46119</v>
      </c>
      <c r="J489" s="11">
        <f t="shared" ca="1" si="38"/>
        <v>46118</v>
      </c>
      <c r="K489" s="13"/>
    </row>
    <row r="490" spans="1:11" ht="18" x14ac:dyDescent="0.4">
      <c r="A490" s="7" t="s">
        <v>719</v>
      </c>
      <c r="B490" s="7" t="s">
        <v>463</v>
      </c>
      <c r="C490" s="8">
        <v>1020</v>
      </c>
      <c r="D490" s="9">
        <v>552821208</v>
      </c>
      <c r="E490" s="57">
        <v>24</v>
      </c>
      <c r="F490" s="10" t="s">
        <v>466</v>
      </c>
      <c r="G490" s="9">
        <v>0</v>
      </c>
      <c r="H490" s="70">
        <f t="shared" si="36"/>
        <v>0</v>
      </c>
      <c r="I490" s="11">
        <f t="shared" ca="1" si="40"/>
        <v>46119</v>
      </c>
      <c r="J490" s="11">
        <f t="shared" ca="1" si="38"/>
        <v>46118</v>
      </c>
      <c r="K490" s="13"/>
    </row>
    <row r="491" spans="1:11" ht="18" x14ac:dyDescent="0.4">
      <c r="A491" s="7" t="s">
        <v>719</v>
      </c>
      <c r="B491" s="7" t="s">
        <v>463</v>
      </c>
      <c r="C491" s="8">
        <v>1020</v>
      </c>
      <c r="D491" s="9">
        <v>463404768</v>
      </c>
      <c r="E491" s="57">
        <v>24</v>
      </c>
      <c r="F491" s="10" t="s">
        <v>466</v>
      </c>
      <c r="G491" s="9">
        <v>1800</v>
      </c>
      <c r="H491" s="70">
        <f t="shared" si="36"/>
        <v>75</v>
      </c>
      <c r="I491" s="11">
        <f t="shared" ca="1" si="40"/>
        <v>46119</v>
      </c>
      <c r="J491" s="11">
        <f t="shared" ca="1" si="38"/>
        <v>46118</v>
      </c>
      <c r="K491" s="13"/>
    </row>
    <row r="492" spans="1:11" ht="18" x14ac:dyDescent="0.4">
      <c r="A492" s="7" t="s">
        <v>719</v>
      </c>
      <c r="B492" s="7" t="s">
        <v>463</v>
      </c>
      <c r="C492" s="8">
        <v>1020</v>
      </c>
      <c r="D492" s="9">
        <v>552821178</v>
      </c>
      <c r="E492" s="57">
        <v>24</v>
      </c>
      <c r="F492" s="10" t="s">
        <v>467</v>
      </c>
      <c r="G492" s="9">
        <v>624</v>
      </c>
      <c r="H492" s="70">
        <f t="shared" si="36"/>
        <v>26</v>
      </c>
      <c r="I492" s="11">
        <f t="shared" ca="1" si="40"/>
        <v>46119</v>
      </c>
      <c r="J492" s="11">
        <f t="shared" ca="1" si="38"/>
        <v>46118</v>
      </c>
      <c r="K492" s="13"/>
    </row>
    <row r="493" spans="1:11" ht="21" customHeight="1" x14ac:dyDescent="0.4">
      <c r="A493" s="7" t="s">
        <v>719</v>
      </c>
      <c r="B493" s="7" t="s">
        <v>95</v>
      </c>
      <c r="C493" s="8">
        <v>45150</v>
      </c>
      <c r="D493" s="9">
        <v>552681821</v>
      </c>
      <c r="E493" s="57">
        <v>40</v>
      </c>
      <c r="F493" s="10" t="s">
        <v>468</v>
      </c>
      <c r="G493" s="9">
        <v>2500</v>
      </c>
      <c r="H493" s="70">
        <f t="shared" si="36"/>
        <v>62.5</v>
      </c>
      <c r="I493" s="11">
        <f t="shared" ca="1" si="40"/>
        <v>46119</v>
      </c>
      <c r="J493" s="11">
        <f t="shared" ca="1" si="38"/>
        <v>46118</v>
      </c>
      <c r="K493" s="13"/>
    </row>
    <row r="494" spans="1:11" ht="18" x14ac:dyDescent="0.4">
      <c r="A494" s="7" t="s">
        <v>719</v>
      </c>
      <c r="B494" s="7" t="s">
        <v>95</v>
      </c>
      <c r="C494" s="8">
        <v>45150</v>
      </c>
      <c r="D494" s="9">
        <v>552677041</v>
      </c>
      <c r="E494" s="57">
        <v>40</v>
      </c>
      <c r="F494" s="10" t="s">
        <v>469</v>
      </c>
      <c r="G494" s="9">
        <v>0</v>
      </c>
      <c r="H494" s="70">
        <f t="shared" si="36"/>
        <v>0</v>
      </c>
      <c r="I494" s="11">
        <f t="shared" ca="1" si="40"/>
        <v>46119</v>
      </c>
      <c r="J494" s="11">
        <f t="shared" ca="1" si="38"/>
        <v>46118</v>
      </c>
      <c r="K494" s="13"/>
    </row>
    <row r="495" spans="1:11" ht="18" x14ac:dyDescent="0.4">
      <c r="A495" s="7" t="s">
        <v>719</v>
      </c>
      <c r="B495" s="7" t="s">
        <v>470</v>
      </c>
      <c r="C495" s="8">
        <v>21796</v>
      </c>
      <c r="D495" s="9">
        <v>552808040</v>
      </c>
      <c r="E495" s="57">
        <v>1920</v>
      </c>
      <c r="F495" s="10" t="s">
        <v>154</v>
      </c>
      <c r="G495" s="9">
        <v>11520</v>
      </c>
      <c r="H495" s="70">
        <f t="shared" si="36"/>
        <v>6</v>
      </c>
      <c r="I495" s="11">
        <f t="shared" ca="1" si="40"/>
        <v>46119</v>
      </c>
      <c r="J495" s="11">
        <f t="shared" ca="1" si="38"/>
        <v>46118</v>
      </c>
      <c r="K495" s="13"/>
    </row>
    <row r="496" spans="1:11" ht="18" x14ac:dyDescent="0.4">
      <c r="A496" s="7" t="s">
        <v>719</v>
      </c>
      <c r="B496" s="7" t="s">
        <v>726</v>
      </c>
      <c r="C496" s="8">
        <v>42932</v>
      </c>
      <c r="D496" s="9">
        <v>463404510</v>
      </c>
      <c r="E496" s="57">
        <v>60</v>
      </c>
      <c r="F496" s="10" t="s">
        <v>155</v>
      </c>
      <c r="G496" s="9">
        <v>960</v>
      </c>
      <c r="H496" s="70">
        <f t="shared" si="36"/>
        <v>16</v>
      </c>
      <c r="I496" s="11">
        <f t="shared" ca="1" si="40"/>
        <v>46119</v>
      </c>
      <c r="J496" s="11">
        <f t="shared" ca="1" si="38"/>
        <v>46118</v>
      </c>
      <c r="K496" s="13"/>
    </row>
    <row r="497" spans="1:11" ht="18" x14ac:dyDescent="0.4">
      <c r="A497" s="7" t="s">
        <v>719</v>
      </c>
      <c r="B497" s="7" t="s">
        <v>726</v>
      </c>
      <c r="C497" s="8">
        <v>42932</v>
      </c>
      <c r="D497" s="9">
        <v>463404780</v>
      </c>
      <c r="E497" s="57">
        <v>60</v>
      </c>
      <c r="F497" s="10" t="s">
        <v>155</v>
      </c>
      <c r="G497" s="9">
        <v>2000</v>
      </c>
      <c r="H497" s="70">
        <f t="shared" si="36"/>
        <v>33.333333333333336</v>
      </c>
      <c r="I497" s="11">
        <f t="shared" ca="1" si="40"/>
        <v>46119</v>
      </c>
      <c r="J497" s="11">
        <f t="shared" ca="1" si="38"/>
        <v>46118</v>
      </c>
      <c r="K497" s="13"/>
    </row>
    <row r="498" spans="1:11" ht="18.75" customHeight="1" x14ac:dyDescent="0.4">
      <c r="A498" s="7" t="s">
        <v>719</v>
      </c>
      <c r="B498" s="7" t="s">
        <v>472</v>
      </c>
      <c r="C498" s="8">
        <v>41469</v>
      </c>
      <c r="D498" s="9">
        <v>463462830</v>
      </c>
      <c r="E498" s="57">
        <v>30</v>
      </c>
      <c r="F498" s="10" t="s">
        <v>428</v>
      </c>
      <c r="G498" s="9">
        <v>2500</v>
      </c>
      <c r="H498" s="70">
        <f t="shared" si="36"/>
        <v>83.333333333333329</v>
      </c>
      <c r="I498" s="11">
        <f t="shared" ca="1" si="40"/>
        <v>46119</v>
      </c>
      <c r="J498" s="11">
        <f t="shared" ca="1" si="38"/>
        <v>46118</v>
      </c>
      <c r="K498" s="13"/>
    </row>
    <row r="499" spans="1:11" ht="18" x14ac:dyDescent="0.4">
      <c r="A499" s="43" t="s">
        <v>719</v>
      </c>
      <c r="B499" s="43" t="s">
        <v>473</v>
      </c>
      <c r="C499" s="44">
        <v>31775</v>
      </c>
      <c r="D499" s="45">
        <v>463530880</v>
      </c>
      <c r="E499" s="65">
        <v>30</v>
      </c>
      <c r="F499" s="46" t="s">
        <v>474</v>
      </c>
      <c r="G499" s="111">
        <v>0</v>
      </c>
      <c r="H499" s="112">
        <f t="shared" ref="H499" si="41">+G499/E499</f>
        <v>0</v>
      </c>
      <c r="I499" s="113">
        <f ca="1">I498</f>
        <v>46119</v>
      </c>
      <c r="J499" s="113">
        <f t="shared" ca="1" si="38"/>
        <v>46118</v>
      </c>
      <c r="K499" s="48"/>
    </row>
    <row r="500" spans="1:11" ht="18" x14ac:dyDescent="0.4">
      <c r="A500" s="7" t="s">
        <v>475</v>
      </c>
      <c r="B500" s="16" t="s">
        <v>451</v>
      </c>
      <c r="C500" s="8">
        <v>30460</v>
      </c>
      <c r="D500" s="9">
        <v>463557158</v>
      </c>
      <c r="E500" s="57">
        <v>672</v>
      </c>
      <c r="F500" s="10" t="s">
        <v>476</v>
      </c>
      <c r="G500" s="9">
        <f>VLOOKUP(D500,[1]PEDIDO!$B$4:$E$99,4,0)</f>
        <v>1344</v>
      </c>
      <c r="H500" s="70">
        <f t="shared" ref="H500:H555" si="42">+G500/E500</f>
        <v>2</v>
      </c>
      <c r="I500" s="11">
        <f ca="1">I499</f>
        <v>46119</v>
      </c>
      <c r="J500" s="11">
        <f t="shared" ca="1" si="38"/>
        <v>46118</v>
      </c>
      <c r="K500" s="8"/>
    </row>
    <row r="501" spans="1:11" ht="18" x14ac:dyDescent="0.4">
      <c r="A501" s="7" t="s">
        <v>475</v>
      </c>
      <c r="B501" s="16" t="s">
        <v>451</v>
      </c>
      <c r="C501" s="8">
        <v>30460</v>
      </c>
      <c r="D501" s="9">
        <v>463557148</v>
      </c>
      <c r="E501" s="57">
        <v>672</v>
      </c>
      <c r="F501" s="10" t="s">
        <v>477</v>
      </c>
      <c r="G501" s="9">
        <f>VLOOKUP(D501,[1]PEDIDO!$B$4:$E$99,4,0)</f>
        <v>0</v>
      </c>
      <c r="H501" s="70">
        <f t="shared" si="42"/>
        <v>0</v>
      </c>
      <c r="I501" s="11">
        <f t="shared" ref="I501" ca="1" si="43">I500</f>
        <v>46119</v>
      </c>
      <c r="J501" s="11">
        <f t="shared" ca="1" si="38"/>
        <v>46118</v>
      </c>
      <c r="K501" s="8"/>
    </row>
    <row r="502" spans="1:11" ht="18" x14ac:dyDescent="0.4">
      <c r="A502" s="7" t="s">
        <v>475</v>
      </c>
      <c r="B502" s="16" t="s">
        <v>451</v>
      </c>
      <c r="C502" s="8">
        <v>30460</v>
      </c>
      <c r="D502" s="9">
        <v>552664537</v>
      </c>
      <c r="E502" s="57">
        <v>792</v>
      </c>
      <c r="F502" s="10" t="s">
        <v>478</v>
      </c>
      <c r="G502" s="9">
        <f>VLOOKUP(D502,[1]PEDIDO!$B$4:$E$99,4,0)</f>
        <v>792</v>
      </c>
      <c r="H502" s="70">
        <f t="shared" si="42"/>
        <v>1</v>
      </c>
      <c r="I502" s="11">
        <f t="shared" ref="I502:I569" ca="1" si="44">I501</f>
        <v>46119</v>
      </c>
      <c r="J502" s="11">
        <f t="shared" ca="1" si="38"/>
        <v>46118</v>
      </c>
      <c r="K502" s="8"/>
    </row>
    <row r="503" spans="1:11" ht="18" x14ac:dyDescent="0.4">
      <c r="A503" s="7" t="s">
        <v>475</v>
      </c>
      <c r="B503" s="16" t="s">
        <v>451</v>
      </c>
      <c r="C503" s="8">
        <v>30460</v>
      </c>
      <c r="D503" s="9">
        <v>552664527</v>
      </c>
      <c r="E503" s="57">
        <v>792</v>
      </c>
      <c r="F503" s="10" t="s">
        <v>479</v>
      </c>
      <c r="G503" s="9">
        <f>VLOOKUP(D503,[1]PEDIDO!$B$4:$E$99,4,0)</f>
        <v>0</v>
      </c>
      <c r="H503" s="70">
        <f t="shared" si="42"/>
        <v>0</v>
      </c>
      <c r="I503" s="11">
        <f t="shared" ca="1" si="44"/>
        <v>46119</v>
      </c>
      <c r="J503" s="11">
        <f t="shared" ref="J503:J570" ca="1" si="45">TODAY()</f>
        <v>46118</v>
      </c>
      <c r="K503" s="8"/>
    </row>
    <row r="504" spans="1:11" ht="18" x14ac:dyDescent="0.4">
      <c r="A504" s="7" t="s">
        <v>475</v>
      </c>
      <c r="B504" s="16" t="s">
        <v>451</v>
      </c>
      <c r="C504" s="8">
        <v>30460</v>
      </c>
      <c r="D504" s="9">
        <v>552664547</v>
      </c>
      <c r="E504" s="57">
        <v>672</v>
      </c>
      <c r="F504" s="10" t="s">
        <v>480</v>
      </c>
      <c r="G504" s="9">
        <f>VLOOKUP(D504,[1]PEDIDO!$B$4:$E$99,4,0)</f>
        <v>1344</v>
      </c>
      <c r="H504" s="70">
        <f t="shared" si="42"/>
        <v>2</v>
      </c>
      <c r="I504" s="11">
        <f t="shared" ca="1" si="44"/>
        <v>46119</v>
      </c>
      <c r="J504" s="11">
        <f t="shared" ca="1" si="45"/>
        <v>46118</v>
      </c>
      <c r="K504" s="8"/>
    </row>
    <row r="505" spans="1:11" ht="18" x14ac:dyDescent="0.4">
      <c r="A505" s="7" t="s">
        <v>475</v>
      </c>
      <c r="B505" s="16" t="s">
        <v>451</v>
      </c>
      <c r="C505" s="8">
        <v>30460</v>
      </c>
      <c r="D505" s="9">
        <v>552664557</v>
      </c>
      <c r="E505" s="57">
        <v>672</v>
      </c>
      <c r="F505" s="10" t="s">
        <v>481</v>
      </c>
      <c r="G505" s="9">
        <f>VLOOKUP(D505,[1]PEDIDO!$B$4:$E$99,4,0)</f>
        <v>0</v>
      </c>
      <c r="H505" s="70">
        <f t="shared" si="42"/>
        <v>0</v>
      </c>
      <c r="I505" s="11">
        <f t="shared" ca="1" si="44"/>
        <v>46119</v>
      </c>
      <c r="J505" s="11">
        <f t="shared" ca="1" si="45"/>
        <v>46118</v>
      </c>
      <c r="K505" s="8"/>
    </row>
    <row r="506" spans="1:11" ht="18" x14ac:dyDescent="0.4">
      <c r="A506" s="7" t="s">
        <v>475</v>
      </c>
      <c r="B506" s="16" t="s">
        <v>451</v>
      </c>
      <c r="C506" s="8">
        <v>30460</v>
      </c>
      <c r="D506" s="9">
        <v>552664567</v>
      </c>
      <c r="E506" s="57">
        <v>756</v>
      </c>
      <c r="F506" s="10" t="s">
        <v>482</v>
      </c>
      <c r="G506" s="9">
        <f>VLOOKUP(D506,[1]PEDIDO!$B$4:$E$99,4,0)</f>
        <v>2268</v>
      </c>
      <c r="H506" s="70">
        <f t="shared" si="42"/>
        <v>3</v>
      </c>
      <c r="I506" s="11">
        <f t="shared" ca="1" si="44"/>
        <v>46119</v>
      </c>
      <c r="J506" s="11">
        <f t="shared" ca="1" si="45"/>
        <v>46118</v>
      </c>
      <c r="K506" s="8"/>
    </row>
    <row r="507" spans="1:11" ht="18" x14ac:dyDescent="0.4">
      <c r="A507" s="7" t="s">
        <v>475</v>
      </c>
      <c r="B507" s="16" t="s">
        <v>451</v>
      </c>
      <c r="C507" s="8">
        <v>30460</v>
      </c>
      <c r="D507" s="9">
        <v>552664577</v>
      </c>
      <c r="E507" s="57">
        <v>756</v>
      </c>
      <c r="F507" s="10" t="s">
        <v>483</v>
      </c>
      <c r="G507" s="9">
        <f>VLOOKUP(D507,[1]PEDIDO!$B$4:$E$99,4,0)</f>
        <v>0</v>
      </c>
      <c r="H507" s="70">
        <f t="shared" si="42"/>
        <v>0</v>
      </c>
      <c r="I507" s="11">
        <f t="shared" ca="1" si="44"/>
        <v>46119</v>
      </c>
      <c r="J507" s="11">
        <f t="shared" ca="1" si="45"/>
        <v>46118</v>
      </c>
      <c r="K507" s="8"/>
    </row>
    <row r="508" spans="1:11" ht="18" x14ac:dyDescent="0.4">
      <c r="A508" s="7" t="s">
        <v>475</v>
      </c>
      <c r="B508" s="16" t="s">
        <v>451</v>
      </c>
      <c r="C508" s="8">
        <v>30460</v>
      </c>
      <c r="D508" s="9">
        <v>463555108</v>
      </c>
      <c r="E508" s="57">
        <v>588</v>
      </c>
      <c r="F508" s="10" t="s">
        <v>484</v>
      </c>
      <c r="G508" s="9">
        <f>VLOOKUP(D508,[1]PEDIDO!$B$4:$E$99,4,0)</f>
        <v>0</v>
      </c>
      <c r="H508" s="70">
        <f t="shared" si="42"/>
        <v>0</v>
      </c>
      <c r="I508" s="11">
        <f t="shared" ca="1" si="44"/>
        <v>46119</v>
      </c>
      <c r="J508" s="11">
        <f t="shared" ca="1" si="45"/>
        <v>46118</v>
      </c>
      <c r="K508" s="8"/>
    </row>
    <row r="509" spans="1:11" ht="18" x14ac:dyDescent="0.4">
      <c r="A509" s="7" t="s">
        <v>475</v>
      </c>
      <c r="B509" s="16" t="s">
        <v>451</v>
      </c>
      <c r="C509" s="8">
        <v>30460</v>
      </c>
      <c r="D509" s="9">
        <v>552086937</v>
      </c>
      <c r="E509" s="57">
        <v>588</v>
      </c>
      <c r="F509" s="10" t="s">
        <v>485</v>
      </c>
      <c r="G509" s="9">
        <f>VLOOKUP(D509,[1]PEDIDO!$B$4:$E$99,4,0)</f>
        <v>0</v>
      </c>
      <c r="H509" s="70">
        <f t="shared" si="42"/>
        <v>0</v>
      </c>
      <c r="I509" s="11">
        <f t="shared" ca="1" si="44"/>
        <v>46119</v>
      </c>
      <c r="J509" s="11">
        <f t="shared" ca="1" si="45"/>
        <v>46118</v>
      </c>
      <c r="K509" s="8"/>
    </row>
    <row r="510" spans="1:11" ht="18" x14ac:dyDescent="0.4">
      <c r="A510" s="7" t="s">
        <v>475</v>
      </c>
      <c r="B510" s="16" t="s">
        <v>451</v>
      </c>
      <c r="C510" s="8">
        <v>30460</v>
      </c>
      <c r="D510" s="9">
        <v>463555088</v>
      </c>
      <c r="E510" s="57">
        <v>588</v>
      </c>
      <c r="F510" s="10" t="s">
        <v>486</v>
      </c>
      <c r="G510" s="9">
        <f>VLOOKUP(D510,[1]PEDIDO!$B$4:$E$99,4,0)</f>
        <v>588</v>
      </c>
      <c r="H510" s="70">
        <f t="shared" si="42"/>
        <v>1</v>
      </c>
      <c r="I510" s="11">
        <f t="shared" ca="1" si="44"/>
        <v>46119</v>
      </c>
      <c r="J510" s="11">
        <f t="shared" ca="1" si="45"/>
        <v>46118</v>
      </c>
      <c r="K510" s="8"/>
    </row>
    <row r="511" spans="1:11" ht="18" x14ac:dyDescent="0.4">
      <c r="A511" s="7" t="s">
        <v>475</v>
      </c>
      <c r="B511" s="16" t="s">
        <v>451</v>
      </c>
      <c r="C511" s="8">
        <v>30460</v>
      </c>
      <c r="D511" s="9">
        <v>552086957</v>
      </c>
      <c r="E511" s="57">
        <v>588</v>
      </c>
      <c r="F511" s="10" t="s">
        <v>487</v>
      </c>
      <c r="G511" s="9">
        <f>VLOOKUP(D511,[1]PEDIDO!$B$4:$E$99,4,0)</f>
        <v>0</v>
      </c>
      <c r="H511" s="70">
        <f t="shared" si="42"/>
        <v>0</v>
      </c>
      <c r="I511" s="11">
        <f t="shared" ca="1" si="44"/>
        <v>46119</v>
      </c>
      <c r="J511" s="11">
        <f t="shared" ca="1" si="45"/>
        <v>46118</v>
      </c>
      <c r="K511" s="8"/>
    </row>
    <row r="512" spans="1:11" ht="18" x14ac:dyDescent="0.4">
      <c r="A512" s="7" t="s">
        <v>475</v>
      </c>
      <c r="B512" s="16" t="s">
        <v>451</v>
      </c>
      <c r="C512" s="8">
        <v>30460</v>
      </c>
      <c r="D512" s="9">
        <v>552724278</v>
      </c>
      <c r="E512" s="57">
        <v>588</v>
      </c>
      <c r="F512" s="10" t="s">
        <v>488</v>
      </c>
      <c r="G512" s="9">
        <f>VLOOKUP(D512,[1]PEDIDO!$B$4:$E$99,4,0)</f>
        <v>1176</v>
      </c>
      <c r="H512" s="70">
        <f t="shared" si="42"/>
        <v>2</v>
      </c>
      <c r="I512" s="11">
        <f t="shared" ca="1" si="44"/>
        <v>46119</v>
      </c>
      <c r="J512" s="11">
        <f t="shared" ca="1" si="45"/>
        <v>46118</v>
      </c>
      <c r="K512" s="8"/>
    </row>
    <row r="513" spans="1:11" ht="18" x14ac:dyDescent="0.4">
      <c r="A513" s="7" t="s">
        <v>475</v>
      </c>
      <c r="B513" s="16" t="s">
        <v>451</v>
      </c>
      <c r="C513" s="8">
        <v>30460</v>
      </c>
      <c r="D513" s="9">
        <v>552086967</v>
      </c>
      <c r="E513" s="57">
        <v>294</v>
      </c>
      <c r="F513" s="10" t="s">
        <v>489</v>
      </c>
      <c r="G513" s="9">
        <f>VLOOKUP(D513,[1]PEDIDO!$B$4:$E$99,4,0)</f>
        <v>0</v>
      </c>
      <c r="H513" s="70">
        <f t="shared" si="42"/>
        <v>0</v>
      </c>
      <c r="I513" s="11">
        <f t="shared" ca="1" si="44"/>
        <v>46119</v>
      </c>
      <c r="J513" s="11">
        <f t="shared" ca="1" si="45"/>
        <v>46118</v>
      </c>
      <c r="K513" s="8"/>
    </row>
    <row r="514" spans="1:11" ht="18" x14ac:dyDescent="0.4">
      <c r="A514" s="7" t="s">
        <v>475</v>
      </c>
      <c r="B514" s="16" t="s">
        <v>451</v>
      </c>
      <c r="C514" s="8">
        <v>30460</v>
      </c>
      <c r="D514" s="9">
        <v>552086977</v>
      </c>
      <c r="E514" s="57">
        <v>294</v>
      </c>
      <c r="F514" s="10" t="s">
        <v>490</v>
      </c>
      <c r="G514" s="9">
        <f>VLOOKUP(D514,[1]PEDIDO!$B$4:$E$99,4,0)</f>
        <v>0</v>
      </c>
      <c r="H514" s="70">
        <f t="shared" si="42"/>
        <v>0</v>
      </c>
      <c r="I514" s="11">
        <f t="shared" ca="1" si="44"/>
        <v>46119</v>
      </c>
      <c r="J514" s="11">
        <f t="shared" ca="1" si="45"/>
        <v>46118</v>
      </c>
      <c r="K514" s="8"/>
    </row>
    <row r="515" spans="1:11" ht="18" x14ac:dyDescent="0.4">
      <c r="A515" s="7" t="s">
        <v>475</v>
      </c>
      <c r="B515" s="16" t="s">
        <v>451</v>
      </c>
      <c r="C515" s="8">
        <v>30460</v>
      </c>
      <c r="D515" s="9">
        <v>77579477</v>
      </c>
      <c r="E515" s="57">
        <v>294</v>
      </c>
      <c r="F515" s="10" t="s">
        <v>491</v>
      </c>
      <c r="G515" s="9">
        <f>VLOOKUP(D515,[1]PEDIDO!$B$4:$E$99,4,0)</f>
        <v>0</v>
      </c>
      <c r="H515" s="70">
        <f t="shared" si="42"/>
        <v>0</v>
      </c>
      <c r="I515" s="11">
        <f t="shared" ca="1" si="44"/>
        <v>46119</v>
      </c>
      <c r="J515" s="11">
        <f t="shared" ca="1" si="45"/>
        <v>46118</v>
      </c>
      <c r="K515" s="8"/>
    </row>
    <row r="516" spans="1:11" ht="18" x14ac:dyDescent="0.4">
      <c r="A516" s="7" t="s">
        <v>475</v>
      </c>
      <c r="B516" s="16" t="s">
        <v>451</v>
      </c>
      <c r="C516" s="8">
        <v>30460</v>
      </c>
      <c r="D516" s="9">
        <v>552698778</v>
      </c>
      <c r="E516" s="57">
        <v>672</v>
      </c>
      <c r="F516" s="10" t="s">
        <v>492</v>
      </c>
      <c r="G516" s="9">
        <f>VLOOKUP(D516,[1]PEDIDO!$B$4:$E$99,4,0)</f>
        <v>0</v>
      </c>
      <c r="H516" s="70">
        <f t="shared" si="42"/>
        <v>0</v>
      </c>
      <c r="I516" s="11">
        <f t="shared" ca="1" si="44"/>
        <v>46119</v>
      </c>
      <c r="J516" s="11">
        <f t="shared" ca="1" si="45"/>
        <v>46118</v>
      </c>
      <c r="K516" s="8"/>
    </row>
    <row r="517" spans="1:11" ht="18" x14ac:dyDescent="0.4">
      <c r="A517" s="7" t="s">
        <v>475</v>
      </c>
      <c r="B517" s="16" t="s">
        <v>451</v>
      </c>
      <c r="C517" s="8">
        <v>30460</v>
      </c>
      <c r="D517" s="9">
        <v>552698768</v>
      </c>
      <c r="E517" s="57">
        <v>672</v>
      </c>
      <c r="F517" s="10" t="s">
        <v>493</v>
      </c>
      <c r="G517" s="9">
        <f>VLOOKUP(D517,[1]PEDIDO!$B$4:$E$99,4,0)</f>
        <v>0</v>
      </c>
      <c r="H517" s="70">
        <f t="shared" si="42"/>
        <v>0</v>
      </c>
      <c r="I517" s="11">
        <f t="shared" ca="1" si="44"/>
        <v>46119</v>
      </c>
      <c r="J517" s="11">
        <f t="shared" ca="1" si="45"/>
        <v>46118</v>
      </c>
      <c r="K517" s="8"/>
    </row>
    <row r="518" spans="1:11" ht="18" x14ac:dyDescent="0.4">
      <c r="A518" s="7" t="s">
        <v>475</v>
      </c>
      <c r="B518" s="16" t="s">
        <v>451</v>
      </c>
      <c r="C518" s="8">
        <v>30460</v>
      </c>
      <c r="D518" s="9">
        <v>552698758</v>
      </c>
      <c r="E518" s="57">
        <v>672</v>
      </c>
      <c r="F518" s="10" t="s">
        <v>494</v>
      </c>
      <c r="G518" s="9">
        <f>VLOOKUP(D518,[1]PEDIDO!$B$4:$E$99,4,0)</f>
        <v>0</v>
      </c>
      <c r="H518" s="70">
        <f t="shared" si="42"/>
        <v>0</v>
      </c>
      <c r="I518" s="11">
        <f t="shared" ca="1" si="44"/>
        <v>46119</v>
      </c>
      <c r="J518" s="11">
        <f t="shared" ca="1" si="45"/>
        <v>46118</v>
      </c>
      <c r="K518" s="8"/>
    </row>
    <row r="519" spans="1:11" ht="18" x14ac:dyDescent="0.4">
      <c r="A519" s="7" t="s">
        <v>475</v>
      </c>
      <c r="B519" s="16" t="s">
        <v>451</v>
      </c>
      <c r="C519" s="8">
        <v>30460</v>
      </c>
      <c r="D519" s="9">
        <v>552698748</v>
      </c>
      <c r="E519" s="57">
        <v>672</v>
      </c>
      <c r="F519" s="10" t="s">
        <v>495</v>
      </c>
      <c r="G519" s="9">
        <f>VLOOKUP(D519,[1]PEDIDO!$B$4:$E$99,4,0)</f>
        <v>672</v>
      </c>
      <c r="H519" s="70">
        <f t="shared" si="42"/>
        <v>1</v>
      </c>
      <c r="I519" s="11">
        <f t="shared" ca="1" si="44"/>
        <v>46119</v>
      </c>
      <c r="J519" s="11">
        <f t="shared" ca="1" si="45"/>
        <v>46118</v>
      </c>
      <c r="K519" s="8"/>
    </row>
    <row r="520" spans="1:11" ht="18" x14ac:dyDescent="0.4">
      <c r="A520" s="7" t="s">
        <v>475</v>
      </c>
      <c r="B520" s="16" t="s">
        <v>451</v>
      </c>
      <c r="C520" s="8">
        <v>30460</v>
      </c>
      <c r="D520" s="9">
        <v>552724288</v>
      </c>
      <c r="E520" s="57">
        <v>672</v>
      </c>
      <c r="F520" s="10" t="s">
        <v>496</v>
      </c>
      <c r="G520" s="9">
        <f>VLOOKUP(D520,[1]PEDIDO!$B$4:$E$99,4,0)</f>
        <v>1344</v>
      </c>
      <c r="H520" s="70">
        <f t="shared" si="42"/>
        <v>2</v>
      </c>
      <c r="I520" s="11">
        <f t="shared" ca="1" si="44"/>
        <v>46119</v>
      </c>
      <c r="J520" s="11">
        <f t="shared" ca="1" si="45"/>
        <v>46118</v>
      </c>
      <c r="K520" s="8"/>
    </row>
    <row r="521" spans="1:11" ht="18" x14ac:dyDescent="0.4">
      <c r="A521" s="7" t="s">
        <v>475</v>
      </c>
      <c r="B521" s="16" t="s">
        <v>451</v>
      </c>
      <c r="C521" s="8">
        <v>30460</v>
      </c>
      <c r="D521" s="9">
        <v>467670637</v>
      </c>
      <c r="E521" s="57">
        <v>792</v>
      </c>
      <c r="F521" s="10" t="s">
        <v>497</v>
      </c>
      <c r="G521" s="9">
        <f>VLOOKUP(D521,[1]PEDIDO!$B$4:$E$99,4,0)</f>
        <v>2376</v>
      </c>
      <c r="H521" s="70">
        <f t="shared" si="42"/>
        <v>3</v>
      </c>
      <c r="I521" s="11">
        <f t="shared" ca="1" si="44"/>
        <v>46119</v>
      </c>
      <c r="J521" s="11">
        <f t="shared" ca="1" si="45"/>
        <v>46118</v>
      </c>
      <c r="K521" s="8"/>
    </row>
    <row r="522" spans="1:11" ht="18" x14ac:dyDescent="0.4">
      <c r="A522" s="7" t="s">
        <v>475</v>
      </c>
      <c r="B522" s="16" t="s">
        <v>451</v>
      </c>
      <c r="C522" s="8">
        <v>30460</v>
      </c>
      <c r="D522" s="9">
        <v>552030228</v>
      </c>
      <c r="E522" s="57">
        <v>392</v>
      </c>
      <c r="F522" s="10" t="s">
        <v>498</v>
      </c>
      <c r="G522" s="9">
        <f>VLOOKUP(D522,[1]PEDIDO!$B$4:$E$99,4,0)</f>
        <v>0</v>
      </c>
      <c r="H522" s="70">
        <f t="shared" si="42"/>
        <v>0</v>
      </c>
      <c r="I522" s="11">
        <f t="shared" ca="1" si="44"/>
        <v>46119</v>
      </c>
      <c r="J522" s="11">
        <f t="shared" ca="1" si="45"/>
        <v>46118</v>
      </c>
      <c r="K522" s="8"/>
    </row>
    <row r="523" spans="1:11" ht="18" x14ac:dyDescent="0.4">
      <c r="A523" s="7" t="s">
        <v>475</v>
      </c>
      <c r="B523" s="16" t="s">
        <v>451</v>
      </c>
      <c r="C523" s="8">
        <v>30460</v>
      </c>
      <c r="D523" s="9">
        <v>467784288</v>
      </c>
      <c r="E523" s="57">
        <v>392</v>
      </c>
      <c r="F523" s="10" t="s">
        <v>499</v>
      </c>
      <c r="G523" s="9">
        <f>VLOOKUP(D523,[1]PEDIDO!$B$4:$E$99,4,0)</f>
        <v>392</v>
      </c>
      <c r="H523" s="70">
        <f t="shared" si="42"/>
        <v>1</v>
      </c>
      <c r="I523" s="11">
        <f t="shared" ca="1" si="44"/>
        <v>46119</v>
      </c>
      <c r="J523" s="11">
        <f t="shared" ca="1" si="45"/>
        <v>46118</v>
      </c>
      <c r="K523" s="8"/>
    </row>
    <row r="524" spans="1:11" ht="18" x14ac:dyDescent="0.4">
      <c r="A524" s="7" t="s">
        <v>475</v>
      </c>
      <c r="B524" s="16" t="s">
        <v>451</v>
      </c>
      <c r="C524" s="8">
        <v>30460</v>
      </c>
      <c r="D524" s="9">
        <v>467784297</v>
      </c>
      <c r="E524" s="57">
        <v>392</v>
      </c>
      <c r="F524" s="10" t="s">
        <v>500</v>
      </c>
      <c r="G524" s="9">
        <f>VLOOKUP(D524,[1]PEDIDO!$B$4:$E$99,4,0)</f>
        <v>0</v>
      </c>
      <c r="H524" s="70">
        <f t="shared" si="42"/>
        <v>0</v>
      </c>
      <c r="I524" s="11">
        <f t="shared" ca="1" si="44"/>
        <v>46119</v>
      </c>
      <c r="J524" s="11">
        <f t="shared" ca="1" si="45"/>
        <v>46118</v>
      </c>
      <c r="K524" s="8"/>
    </row>
    <row r="525" spans="1:11" ht="18" x14ac:dyDescent="0.4">
      <c r="A525" s="7" t="s">
        <v>475</v>
      </c>
      <c r="B525" s="16" t="s">
        <v>451</v>
      </c>
      <c r="C525" s="8">
        <v>30460</v>
      </c>
      <c r="D525" s="9">
        <v>551824567</v>
      </c>
      <c r="E525" s="57">
        <v>392</v>
      </c>
      <c r="F525" s="10" t="s">
        <v>501</v>
      </c>
      <c r="G525" s="9">
        <f>VLOOKUP(D525,[1]PEDIDO!$B$4:$E$99,4,0)</f>
        <v>0</v>
      </c>
      <c r="H525" s="70">
        <f t="shared" si="42"/>
        <v>0</v>
      </c>
      <c r="I525" s="11">
        <f t="shared" ca="1" si="44"/>
        <v>46119</v>
      </c>
      <c r="J525" s="11">
        <f t="shared" ca="1" si="45"/>
        <v>46118</v>
      </c>
      <c r="K525" s="8"/>
    </row>
    <row r="526" spans="1:11" ht="18" x14ac:dyDescent="0.4">
      <c r="A526" s="7" t="s">
        <v>475</v>
      </c>
      <c r="B526" s="16" t="s">
        <v>451</v>
      </c>
      <c r="C526" s="8">
        <v>30460</v>
      </c>
      <c r="D526" s="9">
        <v>552433468</v>
      </c>
      <c r="E526" s="57">
        <v>392</v>
      </c>
      <c r="F526" s="10" t="s">
        <v>502</v>
      </c>
      <c r="G526" s="9">
        <f>VLOOKUP(D526,[1]PEDIDO!$B$4:$E$99,4,0)</f>
        <v>0</v>
      </c>
      <c r="H526" s="70">
        <f t="shared" si="42"/>
        <v>0</v>
      </c>
      <c r="I526" s="11">
        <f t="shared" ca="1" si="44"/>
        <v>46119</v>
      </c>
      <c r="J526" s="11">
        <f t="shared" ca="1" si="45"/>
        <v>46118</v>
      </c>
      <c r="K526" s="8"/>
    </row>
    <row r="527" spans="1:11" ht="18" x14ac:dyDescent="0.4">
      <c r="A527" s="7" t="s">
        <v>475</v>
      </c>
      <c r="B527" s="16" t="s">
        <v>451</v>
      </c>
      <c r="C527" s="8">
        <v>30460</v>
      </c>
      <c r="D527" s="9">
        <v>463503958</v>
      </c>
      <c r="E527" s="57">
        <v>392</v>
      </c>
      <c r="F527" s="10" t="s">
        <v>503</v>
      </c>
      <c r="G527" s="9">
        <f>VLOOKUP(D527,[1]PEDIDO!$B$4:$E$99,4,0)</f>
        <v>0</v>
      </c>
      <c r="H527" s="70">
        <f t="shared" si="42"/>
        <v>0</v>
      </c>
      <c r="I527" s="11">
        <f t="shared" ca="1" si="44"/>
        <v>46119</v>
      </c>
      <c r="J527" s="11">
        <f t="shared" ca="1" si="45"/>
        <v>46118</v>
      </c>
      <c r="K527" s="8"/>
    </row>
    <row r="528" spans="1:11" ht="18" x14ac:dyDescent="0.4">
      <c r="A528" s="7" t="s">
        <v>475</v>
      </c>
      <c r="B528" s="16" t="s">
        <v>451</v>
      </c>
      <c r="C528" s="8">
        <v>30460</v>
      </c>
      <c r="D528" s="9">
        <v>552486498</v>
      </c>
      <c r="E528" s="57">
        <v>392</v>
      </c>
      <c r="F528" s="10" t="s">
        <v>504</v>
      </c>
      <c r="G528" s="9">
        <f>VLOOKUP(D528,[1]PEDIDO!$B$4:$E$99,4,0)</f>
        <v>0</v>
      </c>
      <c r="H528" s="70">
        <f t="shared" si="42"/>
        <v>0</v>
      </c>
      <c r="I528" s="11">
        <f t="shared" ca="1" si="44"/>
        <v>46119</v>
      </c>
      <c r="J528" s="11">
        <f t="shared" ca="1" si="45"/>
        <v>46118</v>
      </c>
      <c r="K528" s="8"/>
    </row>
    <row r="529" spans="1:11" ht="18" x14ac:dyDescent="0.4">
      <c r="A529" s="7" t="s">
        <v>475</v>
      </c>
      <c r="B529" s="16" t="s">
        <v>451</v>
      </c>
      <c r="C529" s="8">
        <v>30460</v>
      </c>
      <c r="D529" s="9">
        <v>468076307</v>
      </c>
      <c r="E529" s="57">
        <v>546</v>
      </c>
      <c r="F529" s="10" t="s">
        <v>505</v>
      </c>
      <c r="G529" s="9">
        <f>VLOOKUP(D529,[1]PEDIDO!$B$4:$E$99,4,0)</f>
        <v>0</v>
      </c>
      <c r="H529" s="70">
        <f t="shared" si="42"/>
        <v>0</v>
      </c>
      <c r="I529" s="11">
        <f t="shared" ca="1" si="44"/>
        <v>46119</v>
      </c>
      <c r="J529" s="11">
        <f t="shared" ca="1" si="45"/>
        <v>46118</v>
      </c>
      <c r="K529" s="8"/>
    </row>
    <row r="530" spans="1:11" ht="18" x14ac:dyDescent="0.4">
      <c r="A530" s="7" t="s">
        <v>475</v>
      </c>
      <c r="B530" s="16" t="s">
        <v>451</v>
      </c>
      <c r="C530" s="8">
        <v>30460</v>
      </c>
      <c r="D530" s="9">
        <v>468084487</v>
      </c>
      <c r="E530" s="57">
        <v>546</v>
      </c>
      <c r="F530" s="10" t="s">
        <v>506</v>
      </c>
      <c r="G530" s="9">
        <f>VLOOKUP(D530,[1]PEDIDO!$B$4:$E$99,4,0)</f>
        <v>0</v>
      </c>
      <c r="H530" s="70">
        <f t="shared" si="42"/>
        <v>0</v>
      </c>
      <c r="I530" s="11">
        <f t="shared" ca="1" si="44"/>
        <v>46119</v>
      </c>
      <c r="J530" s="11">
        <f t="shared" ca="1" si="45"/>
        <v>46118</v>
      </c>
      <c r="K530" s="8"/>
    </row>
    <row r="531" spans="1:11" ht="18" x14ac:dyDescent="0.4">
      <c r="A531" s="7" t="s">
        <v>475</v>
      </c>
      <c r="B531" s="16" t="s">
        <v>451</v>
      </c>
      <c r="C531" s="8">
        <v>30460</v>
      </c>
      <c r="D531" s="9">
        <v>552727098</v>
      </c>
      <c r="E531" s="57">
        <v>546</v>
      </c>
      <c r="F531" s="10" t="s">
        <v>507</v>
      </c>
      <c r="G531" s="9">
        <f>VLOOKUP(D531,[1]PEDIDO!$B$4:$E$99,4,0)</f>
        <v>2184</v>
      </c>
      <c r="H531" s="70">
        <f t="shared" si="42"/>
        <v>4</v>
      </c>
      <c r="I531" s="11">
        <f t="shared" ca="1" si="44"/>
        <v>46119</v>
      </c>
      <c r="J531" s="11">
        <f t="shared" ca="1" si="45"/>
        <v>46118</v>
      </c>
      <c r="K531" s="8"/>
    </row>
    <row r="532" spans="1:11" ht="18" x14ac:dyDescent="0.4">
      <c r="A532" s="7" t="s">
        <v>475</v>
      </c>
      <c r="B532" s="16" t="s">
        <v>451</v>
      </c>
      <c r="C532" s="8">
        <v>30460</v>
      </c>
      <c r="D532" s="9">
        <v>552792228</v>
      </c>
      <c r="E532" s="57">
        <v>546</v>
      </c>
      <c r="F532" s="10" t="s">
        <v>508</v>
      </c>
      <c r="G532" s="9">
        <f>VLOOKUP(D532,[1]PEDIDO!$B$4:$E$99,4,0)</f>
        <v>0</v>
      </c>
      <c r="H532" s="70">
        <f t="shared" si="42"/>
        <v>0</v>
      </c>
      <c r="I532" s="11">
        <f t="shared" ca="1" si="44"/>
        <v>46119</v>
      </c>
      <c r="J532" s="11">
        <f t="shared" ca="1" si="45"/>
        <v>46118</v>
      </c>
      <c r="K532" s="8"/>
    </row>
    <row r="533" spans="1:11" ht="18" x14ac:dyDescent="0.4">
      <c r="A533" s="7" t="s">
        <v>475</v>
      </c>
      <c r="B533" s="16" t="s">
        <v>451</v>
      </c>
      <c r="C533" s="8">
        <v>30460</v>
      </c>
      <c r="D533" s="9">
        <v>59507209</v>
      </c>
      <c r="E533" s="57">
        <v>450</v>
      </c>
      <c r="F533" s="10" t="s">
        <v>509</v>
      </c>
      <c r="G533" s="9">
        <f>VLOOKUP(D533,[1]PEDIDO!$B$4:$E$99,4,0)</f>
        <v>4950</v>
      </c>
      <c r="H533" s="70">
        <f t="shared" si="42"/>
        <v>11</v>
      </c>
      <c r="I533" s="11">
        <f t="shared" ca="1" si="44"/>
        <v>46119</v>
      </c>
      <c r="J533" s="11">
        <f t="shared" ca="1" si="45"/>
        <v>46118</v>
      </c>
      <c r="K533" s="8"/>
    </row>
    <row r="534" spans="1:11" ht="18" x14ac:dyDescent="0.4">
      <c r="A534" s="7" t="s">
        <v>475</v>
      </c>
      <c r="B534" s="16" t="s">
        <v>451</v>
      </c>
      <c r="C534" s="8">
        <v>30460</v>
      </c>
      <c r="D534" s="9">
        <v>77894039</v>
      </c>
      <c r="E534" s="57">
        <v>2880</v>
      </c>
      <c r="F534" s="10" t="s">
        <v>510</v>
      </c>
      <c r="G534" s="9">
        <v>0</v>
      </c>
      <c r="H534" s="70">
        <f t="shared" si="42"/>
        <v>0</v>
      </c>
      <c r="I534" s="11">
        <f t="shared" ca="1" si="44"/>
        <v>46119</v>
      </c>
      <c r="J534" s="11">
        <f t="shared" ca="1" si="45"/>
        <v>46118</v>
      </c>
      <c r="K534" s="8"/>
    </row>
    <row r="535" spans="1:11" ht="18" x14ac:dyDescent="0.4">
      <c r="A535" s="7" t="s">
        <v>475</v>
      </c>
      <c r="B535" s="16" t="s">
        <v>451</v>
      </c>
      <c r="C535" s="8">
        <v>30460</v>
      </c>
      <c r="D535" s="9">
        <v>551955737</v>
      </c>
      <c r="E535" s="57">
        <v>700</v>
      </c>
      <c r="F535" s="10" t="s">
        <v>511</v>
      </c>
      <c r="G535" s="9">
        <f>VLOOKUP(D535,[1]PEDIDO!$B$4:$E$99,4,0)</f>
        <v>2100</v>
      </c>
      <c r="H535" s="70">
        <f t="shared" si="42"/>
        <v>3</v>
      </c>
      <c r="I535" s="11">
        <f t="shared" ca="1" si="44"/>
        <v>46119</v>
      </c>
      <c r="J535" s="11">
        <f t="shared" ca="1" si="45"/>
        <v>46118</v>
      </c>
      <c r="K535" s="8"/>
    </row>
    <row r="536" spans="1:11" ht="18" x14ac:dyDescent="0.4">
      <c r="A536" s="7" t="s">
        <v>475</v>
      </c>
      <c r="B536" s="16" t="s">
        <v>451</v>
      </c>
      <c r="C536" s="8">
        <v>30460</v>
      </c>
      <c r="D536" s="9">
        <v>551955748</v>
      </c>
      <c r="E536" s="57">
        <v>700</v>
      </c>
      <c r="F536" s="10" t="s">
        <v>512</v>
      </c>
      <c r="G536" s="9">
        <f>VLOOKUP(D536,[1]PEDIDO!$B$4:$E$99,4,0)</f>
        <v>0</v>
      </c>
      <c r="H536" s="70">
        <f t="shared" si="42"/>
        <v>0</v>
      </c>
      <c r="I536" s="11">
        <f t="shared" ca="1" si="44"/>
        <v>46119</v>
      </c>
      <c r="J536" s="11">
        <f t="shared" ca="1" si="45"/>
        <v>46118</v>
      </c>
      <c r="K536" s="8"/>
    </row>
    <row r="537" spans="1:11" ht="18" x14ac:dyDescent="0.4">
      <c r="A537" s="7" t="s">
        <v>475</v>
      </c>
      <c r="B537" s="16" t="s">
        <v>451</v>
      </c>
      <c r="C537" s="8">
        <v>30460</v>
      </c>
      <c r="D537" s="9">
        <v>552792238</v>
      </c>
      <c r="E537" s="57">
        <v>700</v>
      </c>
      <c r="F537" s="10" t="s">
        <v>513</v>
      </c>
      <c r="G537" s="9">
        <f>VLOOKUP(D537,[1]PEDIDO!$B$4:$E$99,4,0)</f>
        <v>0</v>
      </c>
      <c r="H537" s="70">
        <f t="shared" si="42"/>
        <v>0</v>
      </c>
      <c r="I537" s="11">
        <f t="shared" ca="1" si="44"/>
        <v>46119</v>
      </c>
      <c r="J537" s="11">
        <f t="shared" ca="1" si="45"/>
        <v>46118</v>
      </c>
      <c r="K537" s="8"/>
    </row>
    <row r="538" spans="1:11" ht="18" x14ac:dyDescent="0.4">
      <c r="A538" s="60" t="s">
        <v>475</v>
      </c>
      <c r="B538" s="81" t="s">
        <v>451</v>
      </c>
      <c r="C538" s="60">
        <v>30460</v>
      </c>
      <c r="D538" s="61">
        <v>463458098</v>
      </c>
      <c r="E538" s="57">
        <v>1650</v>
      </c>
      <c r="F538" s="10" t="s">
        <v>514</v>
      </c>
      <c r="G538" s="9">
        <f>VLOOKUP(D538,[1]PEDIDO!$B$4:$E$99,4,0)</f>
        <v>1650</v>
      </c>
      <c r="H538" s="70">
        <f t="shared" si="42"/>
        <v>1</v>
      </c>
      <c r="I538" s="11">
        <f t="shared" ca="1" si="44"/>
        <v>46119</v>
      </c>
      <c r="J538" s="11">
        <f t="shared" ca="1" si="45"/>
        <v>46118</v>
      </c>
      <c r="K538" s="8"/>
    </row>
    <row r="539" spans="1:11" ht="18" x14ac:dyDescent="0.4">
      <c r="A539" s="7" t="s">
        <v>475</v>
      </c>
      <c r="B539" s="7" t="s">
        <v>95</v>
      </c>
      <c r="C539" s="8">
        <v>45150</v>
      </c>
      <c r="D539" s="9">
        <v>77894011</v>
      </c>
      <c r="E539" s="57">
        <v>300</v>
      </c>
      <c r="F539" s="10" t="s">
        <v>515</v>
      </c>
      <c r="G539" s="61">
        <v>1500</v>
      </c>
      <c r="H539" s="70">
        <f t="shared" si="42"/>
        <v>5</v>
      </c>
      <c r="I539" s="11">
        <f ca="1">I537</f>
        <v>46119</v>
      </c>
      <c r="J539" s="11">
        <f t="shared" ca="1" si="45"/>
        <v>46118</v>
      </c>
      <c r="K539" s="8"/>
    </row>
    <row r="540" spans="1:11" ht="18" x14ac:dyDescent="0.4">
      <c r="A540" s="7" t="s">
        <v>475</v>
      </c>
      <c r="B540" s="7" t="s">
        <v>95</v>
      </c>
      <c r="C540" s="8">
        <v>45150</v>
      </c>
      <c r="D540" s="9">
        <v>467721611</v>
      </c>
      <c r="E540" s="57">
        <v>240</v>
      </c>
      <c r="F540" s="10" t="s">
        <v>516</v>
      </c>
      <c r="G540" s="61">
        <v>1680</v>
      </c>
      <c r="H540" s="70">
        <f t="shared" si="42"/>
        <v>7</v>
      </c>
      <c r="I540" s="11">
        <f t="shared" ca="1" si="44"/>
        <v>46119</v>
      </c>
      <c r="J540" s="11">
        <f t="shared" ca="1" si="45"/>
        <v>46118</v>
      </c>
      <c r="K540" s="8"/>
    </row>
    <row r="541" spans="1:11" ht="18" x14ac:dyDescent="0.4">
      <c r="A541" s="60" t="s">
        <v>475</v>
      </c>
      <c r="B541" s="60" t="s">
        <v>517</v>
      </c>
      <c r="C541" s="60">
        <v>46051</v>
      </c>
      <c r="D541" s="61">
        <v>463559961</v>
      </c>
      <c r="E541" s="57">
        <v>270</v>
      </c>
      <c r="F541" s="10" t="s">
        <v>518</v>
      </c>
      <c r="G541" s="9">
        <f>VLOOKUP(D541,[1]PEDIDO!$B$4:$E$99,4,0)</f>
        <v>0</v>
      </c>
      <c r="H541" s="70">
        <f t="shared" si="42"/>
        <v>0</v>
      </c>
      <c r="I541" s="11">
        <f t="shared" ca="1" si="44"/>
        <v>46119</v>
      </c>
      <c r="J541" s="11">
        <f t="shared" ca="1" si="45"/>
        <v>46118</v>
      </c>
      <c r="K541" s="8"/>
    </row>
    <row r="542" spans="1:11" ht="18" x14ac:dyDescent="0.4">
      <c r="A542" s="7" t="s">
        <v>475</v>
      </c>
      <c r="B542" s="7" t="s">
        <v>517</v>
      </c>
      <c r="C542" s="8">
        <v>46051</v>
      </c>
      <c r="D542" s="9">
        <v>75821121</v>
      </c>
      <c r="E542" s="57">
        <v>270</v>
      </c>
      <c r="F542" s="10" t="s">
        <v>519</v>
      </c>
      <c r="G542" s="9">
        <v>0</v>
      </c>
      <c r="H542" s="70">
        <f t="shared" si="42"/>
        <v>0</v>
      </c>
      <c r="I542" s="11">
        <f ca="1">I540</f>
        <v>46119</v>
      </c>
      <c r="J542" s="11">
        <f t="shared" ca="1" si="45"/>
        <v>46118</v>
      </c>
      <c r="K542" s="8"/>
    </row>
    <row r="543" spans="1:11" ht="18" x14ac:dyDescent="0.4">
      <c r="A543" s="7" t="s">
        <v>475</v>
      </c>
      <c r="B543" s="7" t="s">
        <v>517</v>
      </c>
      <c r="C543" s="8">
        <v>46051</v>
      </c>
      <c r="D543" s="9">
        <v>463433241</v>
      </c>
      <c r="E543" s="57">
        <v>270</v>
      </c>
      <c r="F543" s="10" t="s">
        <v>520</v>
      </c>
      <c r="G543" s="9">
        <f>1620+1620</f>
        <v>3240</v>
      </c>
      <c r="H543" s="70">
        <f t="shared" si="42"/>
        <v>12</v>
      </c>
      <c r="I543" s="11">
        <f t="shared" ca="1" si="44"/>
        <v>46119</v>
      </c>
      <c r="J543" s="11">
        <f t="shared" ca="1" si="45"/>
        <v>46118</v>
      </c>
      <c r="K543" s="8"/>
    </row>
    <row r="544" spans="1:11" ht="18" x14ac:dyDescent="0.4">
      <c r="A544" s="7" t="s">
        <v>475</v>
      </c>
      <c r="B544" s="7" t="s">
        <v>517</v>
      </c>
      <c r="C544" s="8">
        <v>46051</v>
      </c>
      <c r="D544" s="9">
        <v>464420321</v>
      </c>
      <c r="E544" s="57">
        <v>270</v>
      </c>
      <c r="F544" s="10" t="s">
        <v>521</v>
      </c>
      <c r="G544" s="9">
        <f>VLOOKUP(D544,[1]PEDIDO!$B$4:$E$99,4,0)</f>
        <v>0</v>
      </c>
      <c r="H544" s="70">
        <f t="shared" si="42"/>
        <v>0</v>
      </c>
      <c r="I544" s="11">
        <f t="shared" ca="1" si="44"/>
        <v>46119</v>
      </c>
      <c r="J544" s="11">
        <f t="shared" ca="1" si="45"/>
        <v>46118</v>
      </c>
      <c r="K544" s="8"/>
    </row>
    <row r="545" spans="1:11" ht="18" x14ac:dyDescent="0.4">
      <c r="A545" s="7" t="s">
        <v>475</v>
      </c>
      <c r="B545" s="7" t="s">
        <v>517</v>
      </c>
      <c r="C545" s="8">
        <v>46051</v>
      </c>
      <c r="D545" s="9">
        <v>465555151</v>
      </c>
      <c r="E545" s="57">
        <v>270</v>
      </c>
      <c r="F545" s="10" t="s">
        <v>522</v>
      </c>
      <c r="G545" s="9">
        <f>VLOOKUP(D545,[1]PEDIDO!$B$4:$E$99,4,0)</f>
        <v>0</v>
      </c>
      <c r="H545" s="70">
        <f t="shared" si="42"/>
        <v>0</v>
      </c>
      <c r="I545" s="11">
        <f t="shared" ca="1" si="44"/>
        <v>46119</v>
      </c>
      <c r="J545" s="11">
        <f t="shared" ca="1" si="45"/>
        <v>46118</v>
      </c>
      <c r="K545" s="8"/>
    </row>
    <row r="546" spans="1:11" ht="18" x14ac:dyDescent="0.4">
      <c r="A546" s="7" t="s">
        <v>475</v>
      </c>
      <c r="B546" s="7" t="s">
        <v>517</v>
      </c>
      <c r="C546" s="8">
        <v>46051</v>
      </c>
      <c r="D546" s="9">
        <v>552694438</v>
      </c>
      <c r="E546" s="57">
        <v>270</v>
      </c>
      <c r="F546" s="10" t="s">
        <v>523</v>
      </c>
      <c r="G546" s="9">
        <f>VLOOKUP(D546,[1]PEDIDO!$B$4:$E$99,4,0)</f>
        <v>0</v>
      </c>
      <c r="H546" s="70">
        <f t="shared" si="42"/>
        <v>0</v>
      </c>
      <c r="I546" s="11">
        <f t="shared" ca="1" si="44"/>
        <v>46119</v>
      </c>
      <c r="J546" s="11">
        <f t="shared" ca="1" si="45"/>
        <v>46118</v>
      </c>
      <c r="K546" s="8"/>
    </row>
    <row r="547" spans="1:11" ht="18" x14ac:dyDescent="0.4">
      <c r="A547" s="7" t="s">
        <v>475</v>
      </c>
      <c r="B547" s="7" t="s">
        <v>517</v>
      </c>
      <c r="C547" s="8">
        <v>46051</v>
      </c>
      <c r="D547" s="9">
        <v>464197038</v>
      </c>
      <c r="E547" s="57">
        <v>270</v>
      </c>
      <c r="F547" s="10" t="s">
        <v>524</v>
      </c>
      <c r="G547" s="9">
        <f>VLOOKUP(D547,[1]PEDIDO!$B$4:$E$99,4,0)</f>
        <v>0</v>
      </c>
      <c r="H547" s="70">
        <f t="shared" si="42"/>
        <v>0</v>
      </c>
      <c r="I547" s="11">
        <f t="shared" ca="1" si="44"/>
        <v>46119</v>
      </c>
      <c r="J547" s="11">
        <f t="shared" ca="1" si="45"/>
        <v>46118</v>
      </c>
      <c r="K547" s="8"/>
    </row>
    <row r="548" spans="1:11" ht="18" x14ac:dyDescent="0.4">
      <c r="A548" s="7" t="s">
        <v>475</v>
      </c>
      <c r="B548" s="7" t="s">
        <v>517</v>
      </c>
      <c r="C548" s="8">
        <v>46051</v>
      </c>
      <c r="D548" s="9">
        <v>77603518</v>
      </c>
      <c r="E548" s="57">
        <v>270</v>
      </c>
      <c r="F548" s="10" t="s">
        <v>525</v>
      </c>
      <c r="G548" s="9">
        <f>VLOOKUP(D548,[1]PEDIDO!$B$4:$E$99,4,0)</f>
        <v>0</v>
      </c>
      <c r="H548" s="70">
        <f t="shared" si="42"/>
        <v>0</v>
      </c>
      <c r="I548" s="11">
        <f t="shared" ca="1" si="44"/>
        <v>46119</v>
      </c>
      <c r="J548" s="11">
        <f t="shared" ca="1" si="45"/>
        <v>46118</v>
      </c>
      <c r="K548" s="8"/>
    </row>
    <row r="549" spans="1:11" ht="18" x14ac:dyDescent="0.4">
      <c r="A549" s="60" t="s">
        <v>475</v>
      </c>
      <c r="B549" s="60" t="s">
        <v>517</v>
      </c>
      <c r="C549" s="60">
        <v>46051</v>
      </c>
      <c r="D549" s="61">
        <v>463559978</v>
      </c>
      <c r="E549" s="57">
        <v>270</v>
      </c>
      <c r="F549" s="10" t="s">
        <v>526</v>
      </c>
      <c r="G549" s="9">
        <f>VLOOKUP(D549,[1]PEDIDO!$B$4:$E$99,4,0)</f>
        <v>0</v>
      </c>
      <c r="H549" s="70">
        <f t="shared" si="42"/>
        <v>0</v>
      </c>
      <c r="I549" s="11">
        <f t="shared" ca="1" si="44"/>
        <v>46119</v>
      </c>
      <c r="J549" s="11">
        <f t="shared" ca="1" si="45"/>
        <v>46118</v>
      </c>
      <c r="K549" s="8"/>
    </row>
    <row r="550" spans="1:11" ht="18" x14ac:dyDescent="0.4">
      <c r="A550" s="7" t="s">
        <v>475</v>
      </c>
      <c r="B550" s="7" t="s">
        <v>517</v>
      </c>
      <c r="C550" s="8">
        <v>46051</v>
      </c>
      <c r="D550" s="9">
        <v>463433238</v>
      </c>
      <c r="E550" s="57">
        <v>270</v>
      </c>
      <c r="F550" s="10" t="s">
        <v>527</v>
      </c>
      <c r="G550" s="9">
        <f>VLOOKUP(D550,[1]PEDIDO!$B$4:$E$99,4,0)</f>
        <v>0</v>
      </c>
      <c r="H550" s="70">
        <f t="shared" si="42"/>
        <v>0</v>
      </c>
      <c r="I550" s="11">
        <f ca="1">I548</f>
        <v>46119</v>
      </c>
      <c r="J550" s="11">
        <f t="shared" ca="1" si="45"/>
        <v>46118</v>
      </c>
      <c r="K550" s="8"/>
    </row>
    <row r="551" spans="1:11" ht="18" x14ac:dyDescent="0.4">
      <c r="A551" s="60" t="s">
        <v>475</v>
      </c>
      <c r="B551" s="60" t="s">
        <v>517</v>
      </c>
      <c r="C551" s="60">
        <v>46051</v>
      </c>
      <c r="D551" s="61">
        <v>463585598</v>
      </c>
      <c r="E551" s="57">
        <v>270</v>
      </c>
      <c r="F551" s="10" t="s">
        <v>527</v>
      </c>
      <c r="G551" s="9">
        <v>810</v>
      </c>
      <c r="H551" s="70">
        <f t="shared" si="42"/>
        <v>3</v>
      </c>
      <c r="I551" s="11">
        <f ca="1">I549</f>
        <v>46119</v>
      </c>
      <c r="J551" s="11">
        <f t="shared" ca="1" si="45"/>
        <v>46118</v>
      </c>
      <c r="K551" s="8"/>
    </row>
    <row r="552" spans="1:11" ht="18" x14ac:dyDescent="0.4">
      <c r="A552" s="7" t="s">
        <v>475</v>
      </c>
      <c r="B552" s="7" t="s">
        <v>517</v>
      </c>
      <c r="C552" s="8">
        <v>46051</v>
      </c>
      <c r="D552" s="9">
        <v>465555148</v>
      </c>
      <c r="E552" s="57">
        <v>270</v>
      </c>
      <c r="F552" s="10" t="s">
        <v>528</v>
      </c>
      <c r="G552" s="9">
        <f>VLOOKUP(D552,[1]PEDIDO!$B$4:$E$99,4,0)</f>
        <v>0</v>
      </c>
      <c r="H552" s="70">
        <f t="shared" si="42"/>
        <v>0</v>
      </c>
      <c r="I552" s="11">
        <f ca="1">I550</f>
        <v>46119</v>
      </c>
      <c r="J552" s="11">
        <f t="shared" ca="1" si="45"/>
        <v>46118</v>
      </c>
      <c r="K552" s="8"/>
    </row>
    <row r="553" spans="1:11" ht="18" x14ac:dyDescent="0.4">
      <c r="A553" s="7" t="s">
        <v>475</v>
      </c>
      <c r="B553" s="7" t="s">
        <v>517</v>
      </c>
      <c r="C553" s="8">
        <v>46051</v>
      </c>
      <c r="D553" s="9">
        <v>463496858</v>
      </c>
      <c r="E553" s="57">
        <v>270</v>
      </c>
      <c r="F553" s="10" t="s">
        <v>529</v>
      </c>
      <c r="G553" s="9">
        <f>VLOOKUP(D553,[1]PEDIDO!$B$4:$E$99,4,0)</f>
        <v>0</v>
      </c>
      <c r="H553" s="70">
        <f t="shared" si="42"/>
        <v>0</v>
      </c>
      <c r="I553" s="11">
        <f t="shared" ca="1" si="44"/>
        <v>46119</v>
      </c>
      <c r="J553" s="11">
        <f t="shared" ca="1" si="45"/>
        <v>46118</v>
      </c>
      <c r="K553" s="8"/>
    </row>
    <row r="554" spans="1:11" ht="18" x14ac:dyDescent="0.4">
      <c r="A554" s="7" t="s">
        <v>475</v>
      </c>
      <c r="B554" s="7" t="s">
        <v>517</v>
      </c>
      <c r="C554" s="8">
        <v>46051</v>
      </c>
      <c r="D554" s="9">
        <v>463535748</v>
      </c>
      <c r="E554" s="57">
        <v>270</v>
      </c>
      <c r="F554" s="10" t="s">
        <v>528</v>
      </c>
      <c r="G554" s="9">
        <v>540</v>
      </c>
      <c r="H554" s="70">
        <f t="shared" si="42"/>
        <v>2</v>
      </c>
      <c r="I554" s="11">
        <f t="shared" ca="1" si="44"/>
        <v>46119</v>
      </c>
      <c r="J554" s="11">
        <f t="shared" ca="1" si="45"/>
        <v>46118</v>
      </c>
      <c r="K554" s="8"/>
    </row>
    <row r="555" spans="1:11" ht="18" x14ac:dyDescent="0.4">
      <c r="A555" s="7" t="s">
        <v>475</v>
      </c>
      <c r="B555" s="7" t="s">
        <v>517</v>
      </c>
      <c r="C555" s="8">
        <v>46051</v>
      </c>
      <c r="D555" s="9">
        <v>552694428</v>
      </c>
      <c r="E555" s="57">
        <v>270</v>
      </c>
      <c r="F555" s="10" t="s">
        <v>530</v>
      </c>
      <c r="G555" s="9">
        <f>VLOOKUP(D555,[1]PEDIDO!$B$4:$E$99,4,0)</f>
        <v>0</v>
      </c>
      <c r="H555" s="70">
        <f t="shared" si="42"/>
        <v>0</v>
      </c>
      <c r="I555" s="11">
        <f t="shared" ca="1" si="44"/>
        <v>46119</v>
      </c>
      <c r="J555" s="11">
        <f t="shared" ca="1" si="45"/>
        <v>46118</v>
      </c>
      <c r="K555" s="8"/>
    </row>
    <row r="556" spans="1:11" ht="18" x14ac:dyDescent="0.4">
      <c r="A556" s="7" t="s">
        <v>475</v>
      </c>
      <c r="B556" s="7" t="s">
        <v>517</v>
      </c>
      <c r="C556" s="8">
        <v>46051</v>
      </c>
      <c r="D556" s="9">
        <v>552571388</v>
      </c>
      <c r="E556" s="57">
        <v>270</v>
      </c>
      <c r="F556" s="10" t="s">
        <v>531</v>
      </c>
      <c r="G556" s="9">
        <v>0</v>
      </c>
      <c r="H556" s="70">
        <f t="shared" ref="H556:H619" si="46">+G556/E556</f>
        <v>0</v>
      </c>
      <c r="I556" s="11">
        <f t="shared" ca="1" si="44"/>
        <v>46119</v>
      </c>
      <c r="J556" s="11">
        <f t="shared" ca="1" si="45"/>
        <v>46118</v>
      </c>
      <c r="K556" s="8"/>
    </row>
    <row r="557" spans="1:11" ht="18" x14ac:dyDescent="0.4">
      <c r="A557" s="7" t="s">
        <v>475</v>
      </c>
      <c r="B557" s="7" t="s">
        <v>517</v>
      </c>
      <c r="C557" s="8">
        <v>46051</v>
      </c>
      <c r="D557" s="9">
        <v>552774808</v>
      </c>
      <c r="E557" s="57">
        <v>270</v>
      </c>
      <c r="F557" s="10" t="s">
        <v>532</v>
      </c>
      <c r="G557" s="9">
        <f>VLOOKUP(D557,[1]PEDIDO!$B$4:$E$99,4,0)</f>
        <v>0</v>
      </c>
      <c r="H557" s="70">
        <f t="shared" si="46"/>
        <v>0</v>
      </c>
      <c r="I557" s="11">
        <f t="shared" ca="1" si="44"/>
        <v>46119</v>
      </c>
      <c r="J557" s="11">
        <f t="shared" ca="1" si="45"/>
        <v>46118</v>
      </c>
      <c r="K557" s="8"/>
    </row>
    <row r="558" spans="1:11" ht="18" x14ac:dyDescent="0.4">
      <c r="A558" s="7" t="s">
        <v>475</v>
      </c>
      <c r="B558" s="7" t="s">
        <v>517</v>
      </c>
      <c r="C558" s="8">
        <v>46051</v>
      </c>
      <c r="D558" s="9">
        <v>463496828</v>
      </c>
      <c r="E558" s="57">
        <v>270</v>
      </c>
      <c r="F558" s="10" t="s">
        <v>533</v>
      </c>
      <c r="G558" s="9">
        <f>VLOOKUP(D558,[1]PEDIDO!$B$4:$E$99,4,0)</f>
        <v>0</v>
      </c>
      <c r="H558" s="70">
        <f t="shared" si="46"/>
        <v>0</v>
      </c>
      <c r="I558" s="11">
        <f t="shared" ca="1" si="44"/>
        <v>46119</v>
      </c>
      <c r="J558" s="11">
        <f t="shared" ca="1" si="45"/>
        <v>46118</v>
      </c>
      <c r="K558" s="8"/>
    </row>
    <row r="559" spans="1:11" ht="18" x14ac:dyDescent="0.4">
      <c r="A559" s="7" t="s">
        <v>475</v>
      </c>
      <c r="B559" s="7" t="s">
        <v>517</v>
      </c>
      <c r="C559" s="8">
        <v>46051</v>
      </c>
      <c r="D559" s="9">
        <v>552825828</v>
      </c>
      <c r="E559" s="57">
        <v>270</v>
      </c>
      <c r="F559" s="10" t="s">
        <v>534</v>
      </c>
      <c r="G559" s="9">
        <f>VLOOKUP(D559,[1]PEDIDO!$B$4:$E$99,4,0)</f>
        <v>0</v>
      </c>
      <c r="H559" s="70">
        <f t="shared" si="46"/>
        <v>0</v>
      </c>
      <c r="I559" s="11">
        <f t="shared" ca="1" si="44"/>
        <v>46119</v>
      </c>
      <c r="J559" s="11">
        <f t="shared" ca="1" si="45"/>
        <v>46118</v>
      </c>
      <c r="K559" s="8"/>
    </row>
    <row r="560" spans="1:11" ht="18" x14ac:dyDescent="0.4">
      <c r="A560" s="7" t="s">
        <v>475</v>
      </c>
      <c r="B560" s="7" t="s">
        <v>517</v>
      </c>
      <c r="C560" s="8">
        <v>46051</v>
      </c>
      <c r="D560" s="9">
        <v>552835168</v>
      </c>
      <c r="E560" s="57">
        <v>270</v>
      </c>
      <c r="F560" s="10" t="s">
        <v>535</v>
      </c>
      <c r="G560" s="9">
        <f>VLOOKUP(D560,[1]PEDIDO!$B$4:$E$99,4,0)</f>
        <v>0</v>
      </c>
      <c r="H560" s="70">
        <f t="shared" si="46"/>
        <v>0</v>
      </c>
      <c r="I560" s="11">
        <f t="shared" ca="1" si="44"/>
        <v>46119</v>
      </c>
      <c r="J560" s="11">
        <f t="shared" ca="1" si="45"/>
        <v>46118</v>
      </c>
      <c r="K560" s="8"/>
    </row>
    <row r="561" spans="1:11" ht="18" x14ac:dyDescent="0.4">
      <c r="A561" s="7" t="s">
        <v>475</v>
      </c>
      <c r="B561" s="7" t="s">
        <v>517</v>
      </c>
      <c r="C561" s="8">
        <v>46051</v>
      </c>
      <c r="D561" s="9">
        <v>551957818</v>
      </c>
      <c r="E561" s="57">
        <v>270</v>
      </c>
      <c r="F561" s="10" t="s">
        <v>536</v>
      </c>
      <c r="G561" s="9">
        <f>VLOOKUP(D561,[1]PEDIDO!$B$4:$E$99,4,0)</f>
        <v>0</v>
      </c>
      <c r="H561" s="70">
        <f t="shared" si="46"/>
        <v>0</v>
      </c>
      <c r="I561" s="11">
        <f t="shared" ca="1" si="44"/>
        <v>46119</v>
      </c>
      <c r="J561" s="11">
        <f t="shared" ca="1" si="45"/>
        <v>46118</v>
      </c>
      <c r="K561" s="8"/>
    </row>
    <row r="562" spans="1:11" ht="18" x14ac:dyDescent="0.4">
      <c r="A562" s="7" t="s">
        <v>475</v>
      </c>
      <c r="B562" s="7" t="s">
        <v>517</v>
      </c>
      <c r="C562" s="8">
        <v>46051</v>
      </c>
      <c r="D562" s="9">
        <v>463496838</v>
      </c>
      <c r="E562" s="57">
        <v>270</v>
      </c>
      <c r="F562" s="10" t="s">
        <v>536</v>
      </c>
      <c r="G562" s="9">
        <f>VLOOKUP(D562,[1]PEDIDO!$B$4:$E$99,4,0)</f>
        <v>0</v>
      </c>
      <c r="H562" s="70">
        <f t="shared" si="46"/>
        <v>0</v>
      </c>
      <c r="I562" s="11">
        <f t="shared" ca="1" si="44"/>
        <v>46119</v>
      </c>
      <c r="J562" s="11">
        <f t="shared" ca="1" si="45"/>
        <v>46118</v>
      </c>
      <c r="K562" s="8"/>
    </row>
    <row r="563" spans="1:11" ht="18" x14ac:dyDescent="0.4">
      <c r="A563" s="7" t="s">
        <v>475</v>
      </c>
      <c r="B563" s="7" t="s">
        <v>517</v>
      </c>
      <c r="C563" s="8">
        <v>46051</v>
      </c>
      <c r="D563" s="9">
        <v>552284868</v>
      </c>
      <c r="E563" s="57">
        <v>270</v>
      </c>
      <c r="F563" s="10" t="s">
        <v>537</v>
      </c>
      <c r="G563" s="9">
        <f>VLOOKUP(D563,[1]PEDIDO!$B$4:$E$99,4,0)</f>
        <v>0</v>
      </c>
      <c r="H563" s="70">
        <f t="shared" si="46"/>
        <v>0</v>
      </c>
      <c r="I563" s="11">
        <f t="shared" ca="1" si="44"/>
        <v>46119</v>
      </c>
      <c r="J563" s="11">
        <f t="shared" ca="1" si="45"/>
        <v>46118</v>
      </c>
      <c r="K563" s="8"/>
    </row>
    <row r="564" spans="1:11" ht="18" x14ac:dyDescent="0.4">
      <c r="A564" s="7" t="s">
        <v>475</v>
      </c>
      <c r="B564" s="7" t="s">
        <v>517</v>
      </c>
      <c r="C564" s="8">
        <v>46051</v>
      </c>
      <c r="D564" s="9">
        <v>463496848</v>
      </c>
      <c r="E564" s="57">
        <v>270</v>
      </c>
      <c r="F564" s="10" t="s">
        <v>538</v>
      </c>
      <c r="G564" s="9">
        <f>VLOOKUP(D564,[1]PEDIDO!$B$4:$E$99,4,0)</f>
        <v>0</v>
      </c>
      <c r="H564" s="70">
        <f t="shared" si="46"/>
        <v>0</v>
      </c>
      <c r="I564" s="11">
        <f t="shared" ca="1" si="44"/>
        <v>46119</v>
      </c>
      <c r="J564" s="11">
        <f t="shared" ca="1" si="45"/>
        <v>46118</v>
      </c>
      <c r="K564" s="8"/>
    </row>
    <row r="565" spans="1:11" ht="18" x14ac:dyDescent="0.4">
      <c r="A565" s="7" t="s">
        <v>475</v>
      </c>
      <c r="B565" s="7" t="s">
        <v>517</v>
      </c>
      <c r="C565" s="8">
        <v>46051</v>
      </c>
      <c r="D565" s="9">
        <v>552696328</v>
      </c>
      <c r="E565" s="57">
        <v>180</v>
      </c>
      <c r="F565" s="10" t="s">
        <v>539</v>
      </c>
      <c r="G565" s="9">
        <f>VLOOKUP(D565,[1]PEDIDO!$B$4:$E$99,4,0)</f>
        <v>0</v>
      </c>
      <c r="H565" s="70">
        <f t="shared" si="46"/>
        <v>0</v>
      </c>
      <c r="I565" s="11">
        <f t="shared" ca="1" si="44"/>
        <v>46119</v>
      </c>
      <c r="J565" s="11">
        <f t="shared" ca="1" si="45"/>
        <v>46118</v>
      </c>
      <c r="K565" s="8"/>
    </row>
    <row r="566" spans="1:11" ht="18" x14ac:dyDescent="0.4">
      <c r="A566" s="7" t="s">
        <v>475</v>
      </c>
      <c r="B566" s="7" t="s">
        <v>517</v>
      </c>
      <c r="C566" s="8">
        <v>46051</v>
      </c>
      <c r="D566" s="9">
        <v>463496868</v>
      </c>
      <c r="E566" s="57">
        <v>180</v>
      </c>
      <c r="F566" s="110" t="s">
        <v>540</v>
      </c>
      <c r="G566" s="9">
        <f>VLOOKUP(D566,[1]PEDIDO!$B$4:$E$99,4,0)</f>
        <v>0</v>
      </c>
      <c r="H566" s="70">
        <f t="shared" si="46"/>
        <v>0</v>
      </c>
      <c r="I566" s="11">
        <f t="shared" ca="1" si="44"/>
        <v>46119</v>
      </c>
      <c r="J566" s="11">
        <f t="shared" ca="1" si="45"/>
        <v>46118</v>
      </c>
      <c r="K566" s="8"/>
    </row>
    <row r="567" spans="1:11" ht="18" x14ac:dyDescent="0.4">
      <c r="A567" s="39" t="s">
        <v>475</v>
      </c>
      <c r="B567" s="39" t="s">
        <v>517</v>
      </c>
      <c r="C567" s="40">
        <v>46051</v>
      </c>
      <c r="D567" s="41">
        <v>552727078</v>
      </c>
      <c r="E567" s="66">
        <v>180</v>
      </c>
      <c r="F567" s="42" t="s">
        <v>541</v>
      </c>
      <c r="G567" s="9">
        <v>0</v>
      </c>
      <c r="H567" s="70">
        <f t="shared" si="46"/>
        <v>0</v>
      </c>
      <c r="I567" s="11">
        <f t="shared" ca="1" si="44"/>
        <v>46119</v>
      </c>
      <c r="J567" s="11">
        <f t="shared" ca="1" si="45"/>
        <v>46118</v>
      </c>
      <c r="K567" s="8"/>
    </row>
    <row r="568" spans="1:11" ht="33" customHeight="1" x14ac:dyDescent="0.4">
      <c r="A568" s="39" t="s">
        <v>475</v>
      </c>
      <c r="B568" s="39" t="s">
        <v>517</v>
      </c>
      <c r="C568" s="40">
        <v>46051</v>
      </c>
      <c r="D568" s="41">
        <v>552770948</v>
      </c>
      <c r="E568" s="66">
        <v>180</v>
      </c>
      <c r="F568" s="42" t="s">
        <v>542</v>
      </c>
      <c r="G568" s="9">
        <f>VLOOKUP(D568,[1]PEDIDO!$B$4:$E$99,4,0)</f>
        <v>0</v>
      </c>
      <c r="H568" s="70">
        <f t="shared" si="46"/>
        <v>0</v>
      </c>
      <c r="I568" s="11">
        <f t="shared" ca="1" si="44"/>
        <v>46119</v>
      </c>
      <c r="J568" s="11">
        <f t="shared" ca="1" si="45"/>
        <v>46118</v>
      </c>
      <c r="K568" s="8"/>
    </row>
    <row r="569" spans="1:11" ht="18" x14ac:dyDescent="0.4">
      <c r="A569" s="7" t="s">
        <v>475</v>
      </c>
      <c r="B569" s="7" t="s">
        <v>517</v>
      </c>
      <c r="C569" s="8">
        <v>46051</v>
      </c>
      <c r="D569" s="9">
        <v>468084498</v>
      </c>
      <c r="E569" s="57">
        <v>180</v>
      </c>
      <c r="F569" s="10" t="s">
        <v>543</v>
      </c>
      <c r="G569" s="9">
        <f>VLOOKUP(D569,[1]PEDIDO!$B$4:$E$99,4,0)</f>
        <v>0</v>
      </c>
      <c r="H569" s="70">
        <f t="shared" si="46"/>
        <v>0</v>
      </c>
      <c r="I569" s="11">
        <f t="shared" ca="1" si="44"/>
        <v>46119</v>
      </c>
      <c r="J569" s="11">
        <f t="shared" ca="1" si="45"/>
        <v>46118</v>
      </c>
      <c r="K569" s="8"/>
    </row>
    <row r="570" spans="1:11" ht="18" x14ac:dyDescent="0.4">
      <c r="A570" s="7" t="s">
        <v>475</v>
      </c>
      <c r="B570" s="7" t="s">
        <v>517</v>
      </c>
      <c r="C570" s="8">
        <v>46051</v>
      </c>
      <c r="D570" s="9">
        <v>463496808</v>
      </c>
      <c r="E570" s="57">
        <v>180</v>
      </c>
      <c r="F570" s="10" t="s">
        <v>543</v>
      </c>
      <c r="G570" s="9">
        <f>VLOOKUP(D570,[1]PEDIDO!$B$4:$E$99,4,0)</f>
        <v>0</v>
      </c>
      <c r="H570" s="70">
        <f t="shared" si="46"/>
        <v>0</v>
      </c>
      <c r="I570" s="11">
        <f t="shared" ref="I570:I633" ca="1" si="47">I569</f>
        <v>46119</v>
      </c>
      <c r="J570" s="11">
        <f t="shared" ca="1" si="45"/>
        <v>46118</v>
      </c>
      <c r="K570" s="8"/>
    </row>
    <row r="571" spans="1:11" ht="18" x14ac:dyDescent="0.4">
      <c r="A571" s="7" t="s">
        <v>475</v>
      </c>
      <c r="B571" s="7" t="s">
        <v>517</v>
      </c>
      <c r="C571" s="8">
        <v>46051</v>
      </c>
      <c r="D571" s="9">
        <v>552792188</v>
      </c>
      <c r="E571" s="57">
        <v>180</v>
      </c>
      <c r="F571" s="10" t="s">
        <v>544</v>
      </c>
      <c r="G571" s="9">
        <f>VLOOKUP(D571,[1]PEDIDO!$B$4:$E$99,4,0)</f>
        <v>0</v>
      </c>
      <c r="H571" s="70">
        <f t="shared" si="46"/>
        <v>0</v>
      </c>
      <c r="I571" s="11">
        <f t="shared" ca="1" si="47"/>
        <v>46119</v>
      </c>
      <c r="J571" s="11">
        <f t="shared" ref="J571:J634" ca="1" si="48">TODAY()</f>
        <v>46118</v>
      </c>
      <c r="K571" s="8"/>
    </row>
    <row r="572" spans="1:11" ht="18" x14ac:dyDescent="0.4">
      <c r="A572" s="7" t="s">
        <v>475</v>
      </c>
      <c r="B572" s="7" t="s">
        <v>517</v>
      </c>
      <c r="C572" s="8">
        <v>46051</v>
      </c>
      <c r="D572" s="9">
        <v>463504548</v>
      </c>
      <c r="E572" s="57">
        <v>180</v>
      </c>
      <c r="F572" s="10" t="s">
        <v>545</v>
      </c>
      <c r="G572" s="9">
        <f>VLOOKUP(D572,[1]PEDIDO!$B$4:$E$99,4,0)</f>
        <v>0</v>
      </c>
      <c r="H572" s="70">
        <f t="shared" si="46"/>
        <v>0</v>
      </c>
      <c r="I572" s="11">
        <f t="shared" ca="1" si="47"/>
        <v>46119</v>
      </c>
      <c r="J572" s="11">
        <f t="shared" ca="1" si="48"/>
        <v>46118</v>
      </c>
      <c r="K572" s="8"/>
    </row>
    <row r="573" spans="1:11" ht="18" x14ac:dyDescent="0.4">
      <c r="A573" s="7" t="s">
        <v>475</v>
      </c>
      <c r="B573" s="7" t="s">
        <v>517</v>
      </c>
      <c r="C573" s="8">
        <v>46051</v>
      </c>
      <c r="D573" s="9">
        <v>468085168</v>
      </c>
      <c r="E573" s="57">
        <v>180</v>
      </c>
      <c r="F573" s="10" t="s">
        <v>546</v>
      </c>
      <c r="G573" s="9">
        <f>VLOOKUP(D573,[1]PEDIDO!$B$4:$E$99,4,0)</f>
        <v>0</v>
      </c>
      <c r="H573" s="70">
        <f t="shared" si="46"/>
        <v>0</v>
      </c>
      <c r="I573" s="11">
        <f t="shared" ca="1" si="47"/>
        <v>46119</v>
      </c>
      <c r="J573" s="11">
        <f t="shared" ca="1" si="48"/>
        <v>46118</v>
      </c>
      <c r="K573" s="8"/>
    </row>
    <row r="574" spans="1:11" ht="18" x14ac:dyDescent="0.4">
      <c r="A574" s="7" t="s">
        <v>475</v>
      </c>
      <c r="B574" s="7" t="s">
        <v>517</v>
      </c>
      <c r="C574" s="8">
        <v>46051</v>
      </c>
      <c r="D574" s="9">
        <v>468085188</v>
      </c>
      <c r="E574" s="57">
        <v>180</v>
      </c>
      <c r="F574" s="10" t="s">
        <v>547</v>
      </c>
      <c r="G574" s="9">
        <f>VLOOKUP(D574,[1]PEDIDO!$B$4:$E$99,4,0)</f>
        <v>0</v>
      </c>
      <c r="H574" s="70">
        <f t="shared" si="46"/>
        <v>0</v>
      </c>
      <c r="I574" s="11">
        <f t="shared" ca="1" si="47"/>
        <v>46119</v>
      </c>
      <c r="J574" s="11">
        <f t="shared" ca="1" si="48"/>
        <v>46118</v>
      </c>
      <c r="K574" s="8"/>
    </row>
    <row r="575" spans="1:11" ht="18" x14ac:dyDescent="0.4">
      <c r="A575" s="7" t="s">
        <v>475</v>
      </c>
      <c r="B575" s="7" t="s">
        <v>517</v>
      </c>
      <c r="C575" s="8">
        <v>46051</v>
      </c>
      <c r="D575" s="9">
        <v>552049748</v>
      </c>
      <c r="E575" s="57">
        <v>180</v>
      </c>
      <c r="F575" s="10" t="s">
        <v>545</v>
      </c>
      <c r="G575" s="9">
        <f>VLOOKUP(D575,[1]PEDIDO!$B$4:$E$99,4,0)</f>
        <v>0</v>
      </c>
      <c r="H575" s="70">
        <f t="shared" si="46"/>
        <v>0</v>
      </c>
      <c r="I575" s="11">
        <f t="shared" ca="1" si="47"/>
        <v>46119</v>
      </c>
      <c r="J575" s="11">
        <f t="shared" ca="1" si="48"/>
        <v>46118</v>
      </c>
      <c r="K575" s="8"/>
    </row>
    <row r="576" spans="1:11" ht="18" x14ac:dyDescent="0.4">
      <c r="A576" s="7" t="s">
        <v>475</v>
      </c>
      <c r="B576" s="7" t="s">
        <v>517</v>
      </c>
      <c r="C576" s="8">
        <v>46051</v>
      </c>
      <c r="D576" s="9">
        <v>552486488</v>
      </c>
      <c r="E576" s="57">
        <v>180</v>
      </c>
      <c r="F576" s="10" t="s">
        <v>548</v>
      </c>
      <c r="G576" s="9">
        <f>VLOOKUP(D576,[1]PEDIDO!$B$4:$E$99,4,0)</f>
        <v>0</v>
      </c>
      <c r="H576" s="70">
        <f t="shared" si="46"/>
        <v>0</v>
      </c>
      <c r="I576" s="11">
        <f t="shared" ca="1" si="47"/>
        <v>46119</v>
      </c>
      <c r="J576" s="11">
        <f t="shared" ca="1" si="48"/>
        <v>46118</v>
      </c>
      <c r="K576" s="8"/>
    </row>
    <row r="577" spans="1:14" ht="18" x14ac:dyDescent="0.4">
      <c r="A577" s="7" t="s">
        <v>475</v>
      </c>
      <c r="B577" s="7" t="s">
        <v>517</v>
      </c>
      <c r="C577" s="8">
        <v>46051</v>
      </c>
      <c r="D577" s="9">
        <v>463508568</v>
      </c>
      <c r="E577" s="57">
        <v>180</v>
      </c>
      <c r="F577" s="10" t="s">
        <v>549</v>
      </c>
      <c r="G577" s="9">
        <f>1800+900</f>
        <v>2700</v>
      </c>
      <c r="H577" s="70">
        <f t="shared" si="46"/>
        <v>15</v>
      </c>
      <c r="I577" s="11">
        <f t="shared" ca="1" si="47"/>
        <v>46119</v>
      </c>
      <c r="J577" s="11">
        <f t="shared" ca="1" si="48"/>
        <v>46118</v>
      </c>
      <c r="K577" s="8"/>
      <c r="N577" s="26"/>
    </row>
    <row r="578" spans="1:14" ht="18" x14ac:dyDescent="0.4">
      <c r="A578" s="7" t="s">
        <v>475</v>
      </c>
      <c r="B578" s="7" t="s">
        <v>517</v>
      </c>
      <c r="C578" s="8">
        <v>46051</v>
      </c>
      <c r="D578" s="9">
        <v>463503948</v>
      </c>
      <c r="E578" s="57">
        <v>180</v>
      </c>
      <c r="F578" s="10" t="s">
        <v>550</v>
      </c>
      <c r="G578" s="9">
        <f>VLOOKUP(D578,[1]PEDIDO!$B$4:$E$99,4,0)</f>
        <v>0</v>
      </c>
      <c r="H578" s="70">
        <f t="shared" si="46"/>
        <v>0</v>
      </c>
      <c r="I578" s="11">
        <f t="shared" ca="1" si="47"/>
        <v>46119</v>
      </c>
      <c r="J578" s="11">
        <f t="shared" ca="1" si="48"/>
        <v>46118</v>
      </c>
      <c r="K578" s="8"/>
    </row>
    <row r="579" spans="1:14" ht="18" x14ac:dyDescent="0.4">
      <c r="A579" s="7" t="s">
        <v>475</v>
      </c>
      <c r="B579" s="7" t="s">
        <v>517</v>
      </c>
      <c r="C579" s="8">
        <v>46051</v>
      </c>
      <c r="D579" s="9">
        <v>463496798</v>
      </c>
      <c r="E579" s="57">
        <v>180</v>
      </c>
      <c r="F579" s="10" t="s">
        <v>551</v>
      </c>
      <c r="G579" s="9">
        <f>VLOOKUP(D579,[1]PEDIDO!$B$4:$E$99,4,0)</f>
        <v>0</v>
      </c>
      <c r="H579" s="70">
        <f t="shared" si="46"/>
        <v>0</v>
      </c>
      <c r="I579" s="11">
        <f t="shared" ca="1" si="47"/>
        <v>46119</v>
      </c>
      <c r="J579" s="11">
        <f t="shared" ca="1" si="48"/>
        <v>46118</v>
      </c>
      <c r="K579" s="8"/>
    </row>
    <row r="580" spans="1:14" ht="18" x14ac:dyDescent="0.4">
      <c r="A580" s="7" t="s">
        <v>475</v>
      </c>
      <c r="B580" s="7" t="s">
        <v>517</v>
      </c>
      <c r="C580" s="8">
        <v>46051</v>
      </c>
      <c r="D580" s="9">
        <v>552696318</v>
      </c>
      <c r="E580" s="57">
        <v>180</v>
      </c>
      <c r="F580" s="10" t="s">
        <v>551</v>
      </c>
      <c r="G580" s="9">
        <f>VLOOKUP(D580,[1]PEDIDO!$B$4:$E$99,4,0)</f>
        <v>0</v>
      </c>
      <c r="H580" s="70">
        <f t="shared" si="46"/>
        <v>0</v>
      </c>
      <c r="I580" s="11">
        <f t="shared" ca="1" si="47"/>
        <v>46119</v>
      </c>
      <c r="J580" s="11">
        <f t="shared" ca="1" si="48"/>
        <v>46118</v>
      </c>
      <c r="K580" s="8"/>
    </row>
    <row r="581" spans="1:14" ht="18" x14ac:dyDescent="0.4">
      <c r="A581" s="92" t="s">
        <v>475</v>
      </c>
      <c r="B581" s="22" t="s">
        <v>552</v>
      </c>
      <c r="C581" s="23">
        <v>19414</v>
      </c>
      <c r="D581" s="24">
        <v>76779780</v>
      </c>
      <c r="E581" s="67">
        <v>300</v>
      </c>
      <c r="F581" s="25" t="s">
        <v>553</v>
      </c>
      <c r="G581" s="99">
        <v>0</v>
      </c>
      <c r="H581" s="70">
        <f t="shared" si="46"/>
        <v>0</v>
      </c>
      <c r="I581" s="11">
        <f t="shared" ca="1" si="47"/>
        <v>46119</v>
      </c>
      <c r="J581" s="11">
        <f t="shared" ca="1" si="48"/>
        <v>46118</v>
      </c>
      <c r="K581" s="13"/>
    </row>
    <row r="582" spans="1:14" ht="18" x14ac:dyDescent="0.4">
      <c r="A582" s="93" t="s">
        <v>475</v>
      </c>
      <c r="B582" s="16" t="s">
        <v>552</v>
      </c>
      <c r="C582" s="8">
        <v>19414</v>
      </c>
      <c r="D582" s="9">
        <v>135549210</v>
      </c>
      <c r="E582" s="57">
        <v>250</v>
      </c>
      <c r="F582" s="10" t="s">
        <v>554</v>
      </c>
      <c r="G582" s="94">
        <v>0</v>
      </c>
      <c r="H582" s="70">
        <f t="shared" si="46"/>
        <v>0</v>
      </c>
      <c r="I582" s="11">
        <f t="shared" ca="1" si="47"/>
        <v>46119</v>
      </c>
      <c r="J582" s="11">
        <f t="shared" ca="1" si="48"/>
        <v>46118</v>
      </c>
      <c r="K582" s="13"/>
    </row>
    <row r="583" spans="1:14" ht="18" x14ac:dyDescent="0.4">
      <c r="A583" s="93" t="s">
        <v>475</v>
      </c>
      <c r="B583" s="16" t="s">
        <v>552</v>
      </c>
      <c r="C583" s="8">
        <v>19414</v>
      </c>
      <c r="D583" s="9">
        <v>149359240</v>
      </c>
      <c r="E583" s="57">
        <v>1000</v>
      </c>
      <c r="F583" s="10" t="s">
        <v>555</v>
      </c>
      <c r="G583" s="94">
        <v>0</v>
      </c>
      <c r="H583" s="70">
        <f t="shared" si="46"/>
        <v>0</v>
      </c>
      <c r="I583" s="11">
        <f t="shared" ca="1" si="47"/>
        <v>46119</v>
      </c>
      <c r="J583" s="11">
        <f t="shared" ca="1" si="48"/>
        <v>46118</v>
      </c>
      <c r="K583" s="13"/>
    </row>
    <row r="584" spans="1:14" ht="18" x14ac:dyDescent="0.4">
      <c r="A584" s="93" t="s">
        <v>475</v>
      </c>
      <c r="B584" s="16" t="s">
        <v>552</v>
      </c>
      <c r="C584" s="8">
        <v>19414</v>
      </c>
      <c r="D584" s="9">
        <v>162876210</v>
      </c>
      <c r="E584" s="57">
        <v>500</v>
      </c>
      <c r="F584" s="10" t="s">
        <v>556</v>
      </c>
      <c r="G584" s="94">
        <v>0</v>
      </c>
      <c r="H584" s="70">
        <f t="shared" si="46"/>
        <v>0</v>
      </c>
      <c r="I584" s="11">
        <f t="shared" ca="1" si="47"/>
        <v>46119</v>
      </c>
      <c r="J584" s="11">
        <f t="shared" ca="1" si="48"/>
        <v>46118</v>
      </c>
      <c r="K584" s="13"/>
    </row>
    <row r="585" spans="1:14" ht="18" x14ac:dyDescent="0.4">
      <c r="A585" s="93" t="s">
        <v>475</v>
      </c>
      <c r="B585" s="16" t="s">
        <v>552</v>
      </c>
      <c r="C585" s="8">
        <v>19414</v>
      </c>
      <c r="D585" s="9">
        <v>162885240</v>
      </c>
      <c r="E585" s="57">
        <v>300</v>
      </c>
      <c r="F585" s="10" t="s">
        <v>557</v>
      </c>
      <c r="G585" s="94">
        <v>0</v>
      </c>
      <c r="H585" s="70">
        <f t="shared" si="46"/>
        <v>0</v>
      </c>
      <c r="I585" s="11">
        <f t="shared" ca="1" si="47"/>
        <v>46119</v>
      </c>
      <c r="J585" s="11">
        <f t="shared" ca="1" si="48"/>
        <v>46118</v>
      </c>
      <c r="K585" s="13"/>
    </row>
    <row r="586" spans="1:14" ht="18" x14ac:dyDescent="0.4">
      <c r="A586" s="93" t="s">
        <v>475</v>
      </c>
      <c r="B586" s="16" t="s">
        <v>552</v>
      </c>
      <c r="C586" s="8">
        <v>19414</v>
      </c>
      <c r="D586" s="9">
        <v>187519210</v>
      </c>
      <c r="E586" s="57">
        <v>400</v>
      </c>
      <c r="F586" s="10" t="s">
        <v>558</v>
      </c>
      <c r="G586" s="94">
        <v>45200</v>
      </c>
      <c r="H586" s="70">
        <f t="shared" si="46"/>
        <v>113</v>
      </c>
      <c r="I586" s="11">
        <f t="shared" ca="1" si="47"/>
        <v>46119</v>
      </c>
      <c r="J586" s="11">
        <f t="shared" ca="1" si="48"/>
        <v>46118</v>
      </c>
      <c r="K586" s="13"/>
    </row>
    <row r="587" spans="1:14" ht="18" x14ac:dyDescent="0.4">
      <c r="A587" s="93" t="s">
        <v>475</v>
      </c>
      <c r="B587" s="16" t="s">
        <v>552</v>
      </c>
      <c r="C587" s="8">
        <v>19414</v>
      </c>
      <c r="D587" s="9">
        <v>187525210</v>
      </c>
      <c r="E587" s="57">
        <v>500</v>
      </c>
      <c r="F587" s="10" t="s">
        <v>559</v>
      </c>
      <c r="G587" s="94">
        <v>0</v>
      </c>
      <c r="H587" s="70">
        <f t="shared" si="46"/>
        <v>0</v>
      </c>
      <c r="I587" s="11">
        <f t="shared" ca="1" si="47"/>
        <v>46119</v>
      </c>
      <c r="J587" s="11">
        <f t="shared" ca="1" si="48"/>
        <v>46118</v>
      </c>
      <c r="K587" s="13"/>
    </row>
    <row r="588" spans="1:14" ht="18" x14ac:dyDescent="0.4">
      <c r="A588" s="93" t="s">
        <v>475</v>
      </c>
      <c r="B588" s="16" t="s">
        <v>552</v>
      </c>
      <c r="C588" s="8">
        <v>19414</v>
      </c>
      <c r="D588" s="9">
        <v>187527210</v>
      </c>
      <c r="E588" s="57">
        <v>500</v>
      </c>
      <c r="F588" s="10" t="s">
        <v>560</v>
      </c>
      <c r="G588" s="94">
        <v>21500</v>
      </c>
      <c r="H588" s="70">
        <f t="shared" si="46"/>
        <v>43</v>
      </c>
      <c r="I588" s="11">
        <f t="shared" ca="1" si="47"/>
        <v>46119</v>
      </c>
      <c r="J588" s="11">
        <f t="shared" ca="1" si="48"/>
        <v>46118</v>
      </c>
      <c r="K588" s="13"/>
    </row>
    <row r="589" spans="1:14" ht="18" x14ac:dyDescent="0.4">
      <c r="A589" s="93" t="s">
        <v>475</v>
      </c>
      <c r="B589" s="16" t="s">
        <v>552</v>
      </c>
      <c r="C589" s="8">
        <v>19414</v>
      </c>
      <c r="D589" s="9">
        <v>187530210</v>
      </c>
      <c r="E589" s="57">
        <v>500</v>
      </c>
      <c r="F589" s="10" t="s">
        <v>561</v>
      </c>
      <c r="G589" s="94">
        <v>0</v>
      </c>
      <c r="H589" s="70">
        <f t="shared" si="46"/>
        <v>0</v>
      </c>
      <c r="I589" s="11">
        <f t="shared" ca="1" si="47"/>
        <v>46119</v>
      </c>
      <c r="J589" s="11">
        <f t="shared" ca="1" si="48"/>
        <v>46118</v>
      </c>
      <c r="K589" s="13"/>
    </row>
    <row r="590" spans="1:14" ht="18" x14ac:dyDescent="0.4">
      <c r="A590" s="93" t="s">
        <v>475</v>
      </c>
      <c r="B590" s="16" t="s">
        <v>552</v>
      </c>
      <c r="C590" s="8">
        <v>19414</v>
      </c>
      <c r="D590" s="9">
        <v>464555000</v>
      </c>
      <c r="E590" s="57">
        <v>250</v>
      </c>
      <c r="F590" s="10" t="s">
        <v>562</v>
      </c>
      <c r="G590" s="94">
        <v>0</v>
      </c>
      <c r="H590" s="70">
        <f t="shared" si="46"/>
        <v>0</v>
      </c>
      <c r="I590" s="11">
        <f t="shared" ca="1" si="47"/>
        <v>46119</v>
      </c>
      <c r="J590" s="11">
        <f t="shared" ca="1" si="48"/>
        <v>46118</v>
      </c>
      <c r="K590" s="13"/>
    </row>
    <row r="591" spans="1:14" ht="18" x14ac:dyDescent="0.4">
      <c r="A591" s="93" t="s">
        <v>475</v>
      </c>
      <c r="B591" s="16" t="s">
        <v>552</v>
      </c>
      <c r="C591" s="8">
        <v>19414</v>
      </c>
      <c r="D591" s="9">
        <v>43913530</v>
      </c>
      <c r="E591" s="57">
        <v>400</v>
      </c>
      <c r="F591" s="10" t="s">
        <v>563</v>
      </c>
      <c r="G591" s="94">
        <v>0</v>
      </c>
      <c r="H591" s="70">
        <f t="shared" si="46"/>
        <v>0</v>
      </c>
      <c r="I591" s="11">
        <f t="shared" ca="1" si="47"/>
        <v>46119</v>
      </c>
      <c r="J591" s="11">
        <f t="shared" ca="1" si="48"/>
        <v>46118</v>
      </c>
      <c r="K591" s="13"/>
    </row>
    <row r="592" spans="1:14" ht="18" x14ac:dyDescent="0.4">
      <c r="A592" s="93" t="s">
        <v>475</v>
      </c>
      <c r="B592" s="16" t="s">
        <v>552</v>
      </c>
      <c r="C592" s="8">
        <v>19414</v>
      </c>
      <c r="D592" s="9">
        <v>75754720</v>
      </c>
      <c r="E592" s="57">
        <v>1500</v>
      </c>
      <c r="F592" s="10" t="s">
        <v>564</v>
      </c>
      <c r="G592" s="94">
        <v>9000</v>
      </c>
      <c r="H592" s="70">
        <f t="shared" si="46"/>
        <v>6</v>
      </c>
      <c r="I592" s="11">
        <f t="shared" ca="1" si="47"/>
        <v>46119</v>
      </c>
      <c r="J592" s="11">
        <f t="shared" ca="1" si="48"/>
        <v>46118</v>
      </c>
      <c r="K592" s="13"/>
    </row>
    <row r="593" spans="1:11" ht="18" x14ac:dyDescent="0.4">
      <c r="A593" s="93" t="s">
        <v>475</v>
      </c>
      <c r="B593" s="16" t="s">
        <v>552</v>
      </c>
      <c r="C593" s="8">
        <v>19414</v>
      </c>
      <c r="D593" s="9">
        <v>76648820</v>
      </c>
      <c r="E593" s="57">
        <v>300</v>
      </c>
      <c r="F593" s="10" t="s">
        <v>565</v>
      </c>
      <c r="G593" s="94">
        <v>0</v>
      </c>
      <c r="H593" s="70">
        <f t="shared" si="46"/>
        <v>0</v>
      </c>
      <c r="I593" s="11">
        <f t="shared" ca="1" si="47"/>
        <v>46119</v>
      </c>
      <c r="J593" s="11">
        <f t="shared" ca="1" si="48"/>
        <v>46118</v>
      </c>
      <c r="K593" s="13"/>
    </row>
    <row r="594" spans="1:11" ht="18" x14ac:dyDescent="0.4">
      <c r="A594" s="93" t="s">
        <v>475</v>
      </c>
      <c r="B594" s="16" t="s">
        <v>552</v>
      </c>
      <c r="C594" s="8">
        <v>19414</v>
      </c>
      <c r="D594" s="9">
        <v>162970240</v>
      </c>
      <c r="E594" s="57">
        <v>1200</v>
      </c>
      <c r="F594" s="10" t="s">
        <v>196</v>
      </c>
      <c r="G594" s="94">
        <v>0</v>
      </c>
      <c r="H594" s="70">
        <f t="shared" si="46"/>
        <v>0</v>
      </c>
      <c r="I594" s="11">
        <f t="shared" ca="1" si="47"/>
        <v>46119</v>
      </c>
      <c r="J594" s="11">
        <f t="shared" ca="1" si="48"/>
        <v>46118</v>
      </c>
      <c r="K594" s="13"/>
    </row>
    <row r="595" spans="1:11" ht="18" x14ac:dyDescent="0.4">
      <c r="A595" s="93" t="s">
        <v>475</v>
      </c>
      <c r="B595" s="7" t="s">
        <v>552</v>
      </c>
      <c r="C595" s="8">
        <v>19414</v>
      </c>
      <c r="D595" s="9">
        <v>552599580</v>
      </c>
      <c r="E595" s="57">
        <v>800</v>
      </c>
      <c r="F595" s="18" t="s">
        <v>566</v>
      </c>
      <c r="G595" s="94">
        <v>5600</v>
      </c>
      <c r="H595" s="70">
        <f t="shared" si="46"/>
        <v>7</v>
      </c>
      <c r="I595" s="11">
        <f t="shared" ca="1" si="47"/>
        <v>46119</v>
      </c>
      <c r="J595" s="11">
        <f t="shared" ca="1" si="48"/>
        <v>46118</v>
      </c>
      <c r="K595" s="13"/>
    </row>
    <row r="596" spans="1:11" ht="18" x14ac:dyDescent="0.4">
      <c r="A596" s="93" t="s">
        <v>475</v>
      </c>
      <c r="B596" s="7" t="s">
        <v>552</v>
      </c>
      <c r="C596" s="8">
        <v>19414</v>
      </c>
      <c r="D596" s="9">
        <v>552599570</v>
      </c>
      <c r="E596" s="57">
        <v>1400</v>
      </c>
      <c r="F596" s="18" t="s">
        <v>566</v>
      </c>
      <c r="G596" s="94">
        <v>0</v>
      </c>
      <c r="H596" s="70">
        <f t="shared" si="46"/>
        <v>0</v>
      </c>
      <c r="I596" s="11">
        <f t="shared" ca="1" si="47"/>
        <v>46119</v>
      </c>
      <c r="J596" s="11">
        <f t="shared" ca="1" si="48"/>
        <v>46118</v>
      </c>
      <c r="K596" s="13"/>
    </row>
    <row r="597" spans="1:11" ht="18" x14ac:dyDescent="0.4">
      <c r="A597" s="93" t="s">
        <v>475</v>
      </c>
      <c r="B597" s="7" t="s">
        <v>567</v>
      </c>
      <c r="C597" s="8">
        <v>19271</v>
      </c>
      <c r="D597" s="9">
        <v>75810590</v>
      </c>
      <c r="E597" s="57">
        <v>900</v>
      </c>
      <c r="F597" s="18" t="s">
        <v>568</v>
      </c>
      <c r="G597" s="94">
        <v>4500</v>
      </c>
      <c r="H597" s="70">
        <f t="shared" si="46"/>
        <v>5</v>
      </c>
      <c r="I597" s="11">
        <f t="shared" ca="1" si="47"/>
        <v>46119</v>
      </c>
      <c r="J597" s="11">
        <f t="shared" ca="1" si="48"/>
        <v>46118</v>
      </c>
      <c r="K597" s="13"/>
    </row>
    <row r="598" spans="1:11" ht="18" x14ac:dyDescent="0.4">
      <c r="A598" s="93" t="s">
        <v>475</v>
      </c>
      <c r="B598" s="7" t="s">
        <v>567</v>
      </c>
      <c r="C598" s="8">
        <v>19271</v>
      </c>
      <c r="D598" s="9">
        <v>465162750</v>
      </c>
      <c r="E598" s="57">
        <v>1620</v>
      </c>
      <c r="F598" s="18" t="s">
        <v>569</v>
      </c>
      <c r="G598" s="94">
        <v>1620</v>
      </c>
      <c r="H598" s="70">
        <f t="shared" si="46"/>
        <v>1</v>
      </c>
      <c r="I598" s="11">
        <f t="shared" ca="1" si="47"/>
        <v>46119</v>
      </c>
      <c r="J598" s="11">
        <f t="shared" ca="1" si="48"/>
        <v>46118</v>
      </c>
      <c r="K598" s="13"/>
    </row>
    <row r="599" spans="1:11" ht="18" x14ac:dyDescent="0.4">
      <c r="A599" s="93" t="s">
        <v>475</v>
      </c>
      <c r="B599" s="7" t="s">
        <v>567</v>
      </c>
      <c r="C599" s="8">
        <v>19271</v>
      </c>
      <c r="D599" s="9">
        <v>468147230</v>
      </c>
      <c r="E599" s="57">
        <v>1600</v>
      </c>
      <c r="F599" s="18" t="s">
        <v>570</v>
      </c>
      <c r="G599" s="94">
        <v>1600</v>
      </c>
      <c r="H599" s="70">
        <f t="shared" si="46"/>
        <v>1</v>
      </c>
      <c r="I599" s="11">
        <f t="shared" ca="1" si="47"/>
        <v>46119</v>
      </c>
      <c r="J599" s="11">
        <f t="shared" ca="1" si="48"/>
        <v>46118</v>
      </c>
      <c r="K599" s="13"/>
    </row>
    <row r="600" spans="1:11" ht="18" x14ac:dyDescent="0.4">
      <c r="A600" s="93" t="s">
        <v>475</v>
      </c>
      <c r="B600" s="7" t="s">
        <v>567</v>
      </c>
      <c r="C600" s="8">
        <v>19271</v>
      </c>
      <c r="D600" s="9">
        <v>552547090</v>
      </c>
      <c r="E600" s="57">
        <v>270</v>
      </c>
      <c r="F600" s="18" t="s">
        <v>571</v>
      </c>
      <c r="G600" s="94">
        <v>0</v>
      </c>
      <c r="H600" s="70">
        <f t="shared" si="46"/>
        <v>0</v>
      </c>
      <c r="I600" s="11">
        <f t="shared" ca="1" si="47"/>
        <v>46119</v>
      </c>
      <c r="J600" s="11">
        <f t="shared" ca="1" si="48"/>
        <v>46118</v>
      </c>
      <c r="K600" s="13"/>
    </row>
    <row r="601" spans="1:11" ht="18" x14ac:dyDescent="0.4">
      <c r="A601" s="93" t="s">
        <v>475</v>
      </c>
      <c r="B601" s="7" t="s">
        <v>567</v>
      </c>
      <c r="C601" s="8">
        <v>19271</v>
      </c>
      <c r="D601" s="9">
        <v>552551360</v>
      </c>
      <c r="E601" s="57">
        <v>360</v>
      </c>
      <c r="F601" s="18" t="s">
        <v>572</v>
      </c>
      <c r="G601" s="94">
        <v>0</v>
      </c>
      <c r="H601" s="70">
        <f t="shared" si="46"/>
        <v>0</v>
      </c>
      <c r="I601" s="11">
        <f t="shared" ca="1" si="47"/>
        <v>46119</v>
      </c>
      <c r="J601" s="11">
        <f t="shared" ca="1" si="48"/>
        <v>46118</v>
      </c>
      <c r="K601" s="13"/>
    </row>
    <row r="602" spans="1:11" ht="18" x14ac:dyDescent="0.4">
      <c r="A602" s="93" t="s">
        <v>475</v>
      </c>
      <c r="B602" s="7" t="s">
        <v>567</v>
      </c>
      <c r="C602" s="8">
        <v>19271</v>
      </c>
      <c r="D602" s="9">
        <v>735017020</v>
      </c>
      <c r="E602" s="57">
        <v>1440</v>
      </c>
      <c r="F602" s="18" t="s">
        <v>573</v>
      </c>
      <c r="G602" s="94">
        <v>4320</v>
      </c>
      <c r="H602" s="70">
        <f t="shared" si="46"/>
        <v>3</v>
      </c>
      <c r="I602" s="11">
        <f t="shared" ca="1" si="47"/>
        <v>46119</v>
      </c>
      <c r="J602" s="11">
        <f t="shared" ca="1" si="48"/>
        <v>46118</v>
      </c>
      <c r="K602" s="13"/>
    </row>
    <row r="603" spans="1:11" ht="18" x14ac:dyDescent="0.4">
      <c r="A603" s="93" t="s">
        <v>475</v>
      </c>
      <c r="B603" s="7" t="s">
        <v>567</v>
      </c>
      <c r="C603" s="8">
        <v>19271</v>
      </c>
      <c r="D603" s="9">
        <v>552054650</v>
      </c>
      <c r="E603" s="57">
        <v>1440</v>
      </c>
      <c r="F603" s="18" t="s">
        <v>574</v>
      </c>
      <c r="G603" s="94">
        <v>2880</v>
      </c>
      <c r="H603" s="70">
        <f t="shared" si="46"/>
        <v>2</v>
      </c>
      <c r="I603" s="11">
        <f t="shared" ca="1" si="47"/>
        <v>46119</v>
      </c>
      <c r="J603" s="11">
        <f t="shared" ca="1" si="48"/>
        <v>46118</v>
      </c>
      <c r="K603" s="13"/>
    </row>
    <row r="604" spans="1:11" ht="18" x14ac:dyDescent="0.4">
      <c r="A604" s="93" t="s">
        <v>475</v>
      </c>
      <c r="B604" s="16" t="s">
        <v>567</v>
      </c>
      <c r="C604" s="8">
        <v>19271</v>
      </c>
      <c r="D604" s="9">
        <v>463409620</v>
      </c>
      <c r="E604" s="57">
        <v>360</v>
      </c>
      <c r="F604" s="10" t="s">
        <v>572</v>
      </c>
      <c r="G604" s="94">
        <v>0</v>
      </c>
      <c r="H604" s="70">
        <f t="shared" si="46"/>
        <v>0</v>
      </c>
      <c r="I604" s="11">
        <f t="shared" ca="1" si="47"/>
        <v>46119</v>
      </c>
      <c r="J604" s="11">
        <f t="shared" ca="1" si="48"/>
        <v>46118</v>
      </c>
      <c r="K604" s="13"/>
    </row>
    <row r="605" spans="1:11" ht="18" x14ac:dyDescent="0.4">
      <c r="A605" s="93" t="s">
        <v>475</v>
      </c>
      <c r="B605" s="16" t="s">
        <v>567</v>
      </c>
      <c r="C605" s="8">
        <v>19271</v>
      </c>
      <c r="D605" s="9">
        <v>463409610</v>
      </c>
      <c r="E605" s="57">
        <v>360</v>
      </c>
      <c r="F605" s="10" t="s">
        <v>575</v>
      </c>
      <c r="G605" s="94">
        <v>1440</v>
      </c>
      <c r="H605" s="70">
        <f t="shared" si="46"/>
        <v>4</v>
      </c>
      <c r="I605" s="11">
        <f t="shared" ca="1" si="47"/>
        <v>46119</v>
      </c>
      <c r="J605" s="11">
        <f t="shared" ca="1" si="48"/>
        <v>46118</v>
      </c>
      <c r="K605" s="13"/>
    </row>
    <row r="606" spans="1:11" ht="18" x14ac:dyDescent="0.4">
      <c r="A606" s="93" t="s">
        <v>475</v>
      </c>
      <c r="B606" s="16" t="s">
        <v>576</v>
      </c>
      <c r="C606" s="8">
        <v>19807</v>
      </c>
      <c r="D606" s="9">
        <v>552594720</v>
      </c>
      <c r="E606" s="57">
        <v>900</v>
      </c>
      <c r="F606" s="10" t="s">
        <v>577</v>
      </c>
      <c r="G606" s="94">
        <v>0</v>
      </c>
      <c r="H606" s="70">
        <f t="shared" si="46"/>
        <v>0</v>
      </c>
      <c r="I606" s="11">
        <f t="shared" ca="1" si="47"/>
        <v>46119</v>
      </c>
      <c r="J606" s="11">
        <f t="shared" ca="1" si="48"/>
        <v>46118</v>
      </c>
      <c r="K606" s="13"/>
    </row>
    <row r="607" spans="1:11" ht="18" x14ac:dyDescent="0.4">
      <c r="A607" s="93" t="s">
        <v>475</v>
      </c>
      <c r="B607" s="16" t="s">
        <v>576</v>
      </c>
      <c r="C607" s="8">
        <v>19807</v>
      </c>
      <c r="D607" s="9">
        <v>463602340</v>
      </c>
      <c r="E607" s="57">
        <v>900</v>
      </c>
      <c r="F607" s="10" t="s">
        <v>578</v>
      </c>
      <c r="G607" s="94">
        <v>0</v>
      </c>
      <c r="H607" s="70">
        <f t="shared" si="46"/>
        <v>0</v>
      </c>
      <c r="I607" s="11">
        <f t="shared" ca="1" si="47"/>
        <v>46119</v>
      </c>
      <c r="J607" s="11">
        <f t="shared" ca="1" si="48"/>
        <v>46118</v>
      </c>
      <c r="K607" s="13"/>
    </row>
    <row r="608" spans="1:11" ht="18" x14ac:dyDescent="0.4">
      <c r="A608" s="93" t="s">
        <v>475</v>
      </c>
      <c r="B608" s="16" t="s">
        <v>576</v>
      </c>
      <c r="C608" s="8">
        <v>19807</v>
      </c>
      <c r="D608" s="9">
        <v>552594730</v>
      </c>
      <c r="E608" s="57">
        <v>900</v>
      </c>
      <c r="F608" s="10" t="s">
        <v>579</v>
      </c>
      <c r="G608" s="94">
        <v>0</v>
      </c>
      <c r="H608" s="70">
        <f t="shared" si="46"/>
        <v>0</v>
      </c>
      <c r="I608" s="11">
        <f t="shared" ca="1" si="47"/>
        <v>46119</v>
      </c>
      <c r="J608" s="11">
        <f t="shared" ca="1" si="48"/>
        <v>46118</v>
      </c>
      <c r="K608" s="13"/>
    </row>
    <row r="609" spans="1:11" ht="18" x14ac:dyDescent="0.4">
      <c r="A609" s="93" t="s">
        <v>475</v>
      </c>
      <c r="B609" s="16" t="s">
        <v>576</v>
      </c>
      <c r="C609" s="8">
        <v>19807</v>
      </c>
      <c r="D609" s="9">
        <v>463602350</v>
      </c>
      <c r="E609" s="57">
        <v>900</v>
      </c>
      <c r="F609" s="10" t="s">
        <v>580</v>
      </c>
      <c r="G609" s="94">
        <v>0</v>
      </c>
      <c r="H609" s="70">
        <f t="shared" si="46"/>
        <v>0</v>
      </c>
      <c r="I609" s="11">
        <f t="shared" ca="1" si="47"/>
        <v>46119</v>
      </c>
      <c r="J609" s="11">
        <f t="shared" ca="1" si="48"/>
        <v>46118</v>
      </c>
      <c r="K609" s="13"/>
    </row>
    <row r="610" spans="1:11" ht="18" x14ac:dyDescent="0.4">
      <c r="A610" s="93" t="s">
        <v>475</v>
      </c>
      <c r="B610" s="16" t="s">
        <v>372</v>
      </c>
      <c r="C610" s="8">
        <v>27951</v>
      </c>
      <c r="D610" s="9">
        <v>76779780</v>
      </c>
      <c r="E610" s="57">
        <v>300</v>
      </c>
      <c r="F610" s="10" t="s">
        <v>553</v>
      </c>
      <c r="G610" s="94">
        <v>6000</v>
      </c>
      <c r="H610" s="70">
        <f t="shared" si="46"/>
        <v>20</v>
      </c>
      <c r="I610" s="11">
        <f t="shared" ca="1" si="47"/>
        <v>46119</v>
      </c>
      <c r="J610" s="11">
        <f t="shared" ca="1" si="48"/>
        <v>46118</v>
      </c>
      <c r="K610" s="13"/>
    </row>
    <row r="611" spans="1:11" ht="18" x14ac:dyDescent="0.4">
      <c r="A611" s="93" t="s">
        <v>475</v>
      </c>
      <c r="B611" s="16" t="s">
        <v>372</v>
      </c>
      <c r="C611" s="8">
        <v>27951</v>
      </c>
      <c r="D611" s="9">
        <v>187538210</v>
      </c>
      <c r="E611" s="57">
        <v>180</v>
      </c>
      <c r="F611" s="10" t="s">
        <v>581</v>
      </c>
      <c r="G611" s="94">
        <v>13500</v>
      </c>
      <c r="H611" s="70">
        <f t="shared" si="46"/>
        <v>75</v>
      </c>
      <c r="I611" s="11">
        <f t="shared" ca="1" si="47"/>
        <v>46119</v>
      </c>
      <c r="J611" s="11">
        <f t="shared" ca="1" si="48"/>
        <v>46118</v>
      </c>
      <c r="K611" s="13"/>
    </row>
    <row r="612" spans="1:11" ht="18" x14ac:dyDescent="0.4">
      <c r="A612" s="93" t="s">
        <v>475</v>
      </c>
      <c r="B612" s="16" t="s">
        <v>372</v>
      </c>
      <c r="C612" s="8">
        <v>27951</v>
      </c>
      <c r="D612" s="9">
        <v>463436280</v>
      </c>
      <c r="E612" s="57">
        <v>600</v>
      </c>
      <c r="F612" s="10" t="s">
        <v>582</v>
      </c>
      <c r="G612" s="94">
        <v>30000</v>
      </c>
      <c r="H612" s="70">
        <f t="shared" si="46"/>
        <v>50</v>
      </c>
      <c r="I612" s="11">
        <f t="shared" ca="1" si="47"/>
        <v>46119</v>
      </c>
      <c r="J612" s="11">
        <f t="shared" ca="1" si="48"/>
        <v>46118</v>
      </c>
      <c r="K612" s="13"/>
    </row>
    <row r="613" spans="1:11" ht="18" x14ac:dyDescent="0.4">
      <c r="A613" s="93" t="s">
        <v>475</v>
      </c>
      <c r="B613" s="16" t="s">
        <v>377</v>
      </c>
      <c r="C613" s="8">
        <v>36019</v>
      </c>
      <c r="D613" s="9">
        <v>160504340</v>
      </c>
      <c r="E613" s="57">
        <v>400</v>
      </c>
      <c r="F613" s="10" t="s">
        <v>583</v>
      </c>
      <c r="G613" s="94">
        <v>0</v>
      </c>
      <c r="H613" s="70">
        <f t="shared" si="46"/>
        <v>0</v>
      </c>
      <c r="I613" s="11">
        <f t="shared" ca="1" si="47"/>
        <v>46119</v>
      </c>
      <c r="J613" s="11">
        <f t="shared" ca="1" si="48"/>
        <v>46118</v>
      </c>
      <c r="K613" s="13"/>
    </row>
    <row r="614" spans="1:11" ht="18" x14ac:dyDescent="0.4">
      <c r="A614" s="93" t="s">
        <v>475</v>
      </c>
      <c r="B614" s="16" t="s">
        <v>377</v>
      </c>
      <c r="C614" s="8">
        <v>36019</v>
      </c>
      <c r="D614" s="9">
        <v>468130270</v>
      </c>
      <c r="E614" s="57">
        <v>1200</v>
      </c>
      <c r="F614" s="10" t="s">
        <v>584</v>
      </c>
      <c r="G614" s="94">
        <v>0</v>
      </c>
      <c r="H614" s="70">
        <f t="shared" si="46"/>
        <v>0</v>
      </c>
      <c r="I614" s="11">
        <f t="shared" ca="1" si="47"/>
        <v>46119</v>
      </c>
      <c r="J614" s="11">
        <f t="shared" ca="1" si="48"/>
        <v>46118</v>
      </c>
      <c r="K614" s="13"/>
    </row>
    <row r="615" spans="1:11" ht="18" x14ac:dyDescent="0.4">
      <c r="A615" s="93" t="s">
        <v>475</v>
      </c>
      <c r="B615" s="16" t="s">
        <v>585</v>
      </c>
      <c r="C615" s="8">
        <v>10429</v>
      </c>
      <c r="D615" s="9">
        <v>467670560</v>
      </c>
      <c r="E615" s="57">
        <v>1152</v>
      </c>
      <c r="F615" s="10" t="s">
        <v>586</v>
      </c>
      <c r="G615" s="94">
        <v>0</v>
      </c>
      <c r="H615" s="70">
        <f t="shared" si="46"/>
        <v>0</v>
      </c>
      <c r="I615" s="11">
        <f t="shared" ca="1" si="47"/>
        <v>46119</v>
      </c>
      <c r="J615" s="11">
        <f t="shared" ca="1" si="48"/>
        <v>46118</v>
      </c>
      <c r="K615" s="13"/>
    </row>
    <row r="616" spans="1:11" ht="18" x14ac:dyDescent="0.4">
      <c r="A616" s="93" t="s">
        <v>475</v>
      </c>
      <c r="B616" s="16" t="s">
        <v>585</v>
      </c>
      <c r="C616" s="8">
        <v>10429</v>
      </c>
      <c r="D616" s="9">
        <v>467689270</v>
      </c>
      <c r="E616" s="57">
        <v>1440</v>
      </c>
      <c r="F616" s="10" t="s">
        <v>587</v>
      </c>
      <c r="G616" s="94">
        <v>0</v>
      </c>
      <c r="H616" s="70">
        <f t="shared" si="46"/>
        <v>0</v>
      </c>
      <c r="I616" s="11">
        <f t="shared" ca="1" si="47"/>
        <v>46119</v>
      </c>
      <c r="J616" s="11">
        <f t="shared" ca="1" si="48"/>
        <v>46118</v>
      </c>
      <c r="K616" s="13"/>
    </row>
    <row r="617" spans="1:11" ht="18" x14ac:dyDescent="0.4">
      <c r="A617" s="93" t="s">
        <v>475</v>
      </c>
      <c r="B617" s="16" t="s">
        <v>585</v>
      </c>
      <c r="C617" s="8">
        <v>10429</v>
      </c>
      <c r="D617" s="9">
        <v>467761970</v>
      </c>
      <c r="E617" s="57">
        <v>1200</v>
      </c>
      <c r="F617" s="10" t="s">
        <v>588</v>
      </c>
      <c r="G617" s="94">
        <v>0</v>
      </c>
      <c r="H617" s="70">
        <f t="shared" si="46"/>
        <v>0</v>
      </c>
      <c r="I617" s="11">
        <f t="shared" ca="1" si="47"/>
        <v>46119</v>
      </c>
      <c r="J617" s="11">
        <f t="shared" ca="1" si="48"/>
        <v>46118</v>
      </c>
      <c r="K617" s="13"/>
    </row>
    <row r="618" spans="1:11" ht="18" x14ac:dyDescent="0.4">
      <c r="A618" s="93" t="s">
        <v>475</v>
      </c>
      <c r="B618" s="16" t="s">
        <v>585</v>
      </c>
      <c r="C618" s="8">
        <v>10429</v>
      </c>
      <c r="D618" s="9">
        <v>467761990</v>
      </c>
      <c r="E618" s="57">
        <v>864</v>
      </c>
      <c r="F618" s="10" t="s">
        <v>589</v>
      </c>
      <c r="G618" s="94">
        <v>0</v>
      </c>
      <c r="H618" s="70">
        <f t="shared" si="46"/>
        <v>0</v>
      </c>
      <c r="I618" s="11">
        <f t="shared" ca="1" si="47"/>
        <v>46119</v>
      </c>
      <c r="J618" s="11">
        <f t="shared" ca="1" si="48"/>
        <v>46118</v>
      </c>
      <c r="K618" s="13"/>
    </row>
    <row r="619" spans="1:11" ht="18" x14ac:dyDescent="0.4">
      <c r="A619" s="93" t="s">
        <v>475</v>
      </c>
      <c r="B619" s="16" t="s">
        <v>585</v>
      </c>
      <c r="C619" s="8">
        <v>10429</v>
      </c>
      <c r="D619" s="9">
        <v>552597100</v>
      </c>
      <c r="E619" s="57">
        <v>1152</v>
      </c>
      <c r="F619" s="10" t="s">
        <v>590</v>
      </c>
      <c r="G619" s="94">
        <v>0</v>
      </c>
      <c r="H619" s="70">
        <f t="shared" si="46"/>
        <v>0</v>
      </c>
      <c r="I619" s="11">
        <f t="shared" ca="1" si="47"/>
        <v>46119</v>
      </c>
      <c r="J619" s="11">
        <f t="shared" ca="1" si="48"/>
        <v>46118</v>
      </c>
      <c r="K619" s="13"/>
    </row>
    <row r="620" spans="1:11" ht="18" x14ac:dyDescent="0.4">
      <c r="A620" s="102" t="s">
        <v>475</v>
      </c>
      <c r="B620" s="103" t="s">
        <v>591</v>
      </c>
      <c r="C620" s="102">
        <v>43749</v>
      </c>
      <c r="D620" s="104">
        <v>400047600</v>
      </c>
      <c r="E620" s="102">
        <v>480</v>
      </c>
      <c r="F620" s="105" t="s">
        <v>592</v>
      </c>
      <c r="G620" s="94">
        <v>0</v>
      </c>
      <c r="H620" s="70">
        <f t="shared" ref="H620:H683" si="49">+G620/E620</f>
        <v>0</v>
      </c>
      <c r="I620" s="11">
        <f t="shared" ca="1" si="47"/>
        <v>46119</v>
      </c>
      <c r="J620" s="11">
        <f t="shared" ca="1" si="48"/>
        <v>46118</v>
      </c>
      <c r="K620" s="13"/>
    </row>
    <row r="621" spans="1:11" ht="18" x14ac:dyDescent="0.4">
      <c r="A621" s="102" t="s">
        <v>475</v>
      </c>
      <c r="B621" s="103" t="s">
        <v>591</v>
      </c>
      <c r="C621" s="102">
        <v>43749</v>
      </c>
      <c r="D621" s="104">
        <v>400048200</v>
      </c>
      <c r="E621" s="102">
        <v>780</v>
      </c>
      <c r="F621" s="105" t="s">
        <v>593</v>
      </c>
      <c r="G621" s="94">
        <v>0</v>
      </c>
      <c r="H621" s="70">
        <f t="shared" si="49"/>
        <v>0</v>
      </c>
      <c r="I621" s="11">
        <f t="shared" ca="1" si="47"/>
        <v>46119</v>
      </c>
      <c r="J621" s="11">
        <f t="shared" ca="1" si="48"/>
        <v>46118</v>
      </c>
      <c r="K621" s="13"/>
    </row>
    <row r="622" spans="1:11" ht="18" x14ac:dyDescent="0.4">
      <c r="A622" s="102" t="s">
        <v>475</v>
      </c>
      <c r="B622" s="103" t="s">
        <v>594</v>
      </c>
      <c r="C622" s="102">
        <v>31107</v>
      </c>
      <c r="D622" s="104">
        <v>552600330</v>
      </c>
      <c r="E622" s="102">
        <v>2700</v>
      </c>
      <c r="F622" s="105" t="s">
        <v>595</v>
      </c>
      <c r="G622" s="94">
        <v>0</v>
      </c>
      <c r="H622" s="70">
        <f t="shared" si="49"/>
        <v>0</v>
      </c>
      <c r="I622" s="11">
        <f t="shared" ca="1" si="47"/>
        <v>46119</v>
      </c>
      <c r="J622" s="11">
        <f t="shared" ca="1" si="48"/>
        <v>46118</v>
      </c>
      <c r="K622" s="13"/>
    </row>
    <row r="623" spans="1:11" ht="18" x14ac:dyDescent="0.4">
      <c r="A623" s="102" t="s">
        <v>475</v>
      </c>
      <c r="B623" s="103" t="s">
        <v>596</v>
      </c>
      <c r="C623" s="102">
        <v>33301</v>
      </c>
      <c r="D623" s="104">
        <v>552294200</v>
      </c>
      <c r="E623" s="102">
        <v>240</v>
      </c>
      <c r="F623" s="105" t="s">
        <v>597</v>
      </c>
      <c r="G623" s="94">
        <v>0</v>
      </c>
      <c r="H623" s="70">
        <f t="shared" si="49"/>
        <v>0</v>
      </c>
      <c r="I623" s="11">
        <f t="shared" ca="1" si="47"/>
        <v>46119</v>
      </c>
      <c r="J623" s="11">
        <f t="shared" ca="1" si="48"/>
        <v>46118</v>
      </c>
      <c r="K623" s="13"/>
    </row>
    <row r="624" spans="1:11" ht="18" x14ac:dyDescent="0.4">
      <c r="A624" s="102" t="s">
        <v>475</v>
      </c>
      <c r="B624" s="103" t="s">
        <v>596</v>
      </c>
      <c r="C624" s="102">
        <v>33301</v>
      </c>
      <c r="D624" s="104">
        <v>552340160</v>
      </c>
      <c r="E624" s="102">
        <v>240</v>
      </c>
      <c r="F624" s="105" t="s">
        <v>598</v>
      </c>
      <c r="G624" s="94">
        <v>0</v>
      </c>
      <c r="H624" s="70">
        <f t="shared" si="49"/>
        <v>0</v>
      </c>
      <c r="I624" s="11">
        <f t="shared" ca="1" si="47"/>
        <v>46119</v>
      </c>
      <c r="J624" s="11">
        <f t="shared" ca="1" si="48"/>
        <v>46118</v>
      </c>
      <c r="K624" s="13"/>
    </row>
    <row r="625" spans="1:11" ht="18" x14ac:dyDescent="0.4">
      <c r="A625" s="93" t="s">
        <v>475</v>
      </c>
      <c r="B625" s="16" t="s">
        <v>414</v>
      </c>
      <c r="C625" s="8">
        <v>21570</v>
      </c>
      <c r="D625" s="9">
        <v>552826500</v>
      </c>
      <c r="E625" s="57">
        <v>900</v>
      </c>
      <c r="F625" s="10" t="s">
        <v>599</v>
      </c>
      <c r="G625" s="94">
        <v>0</v>
      </c>
      <c r="H625" s="70">
        <f t="shared" si="49"/>
        <v>0</v>
      </c>
      <c r="I625" s="11">
        <f t="shared" ca="1" si="47"/>
        <v>46119</v>
      </c>
      <c r="J625" s="11">
        <f t="shared" ca="1" si="48"/>
        <v>46118</v>
      </c>
      <c r="K625" s="13"/>
    </row>
    <row r="626" spans="1:11" ht="18" x14ac:dyDescent="0.4">
      <c r="A626" s="93" t="s">
        <v>475</v>
      </c>
      <c r="B626" s="16" t="s">
        <v>414</v>
      </c>
      <c r="C626" s="8">
        <v>21570</v>
      </c>
      <c r="D626" s="9">
        <v>552826470</v>
      </c>
      <c r="E626" s="57">
        <v>1500</v>
      </c>
      <c r="F626" s="10" t="s">
        <v>600</v>
      </c>
      <c r="G626" s="94">
        <v>0</v>
      </c>
      <c r="H626" s="70">
        <f t="shared" si="49"/>
        <v>0</v>
      </c>
      <c r="I626" s="11">
        <f t="shared" ca="1" si="47"/>
        <v>46119</v>
      </c>
      <c r="J626" s="11">
        <f t="shared" ca="1" si="48"/>
        <v>46118</v>
      </c>
      <c r="K626" s="13"/>
    </row>
    <row r="627" spans="1:11" ht="18" x14ac:dyDescent="0.4">
      <c r="A627" s="93" t="s">
        <v>475</v>
      </c>
      <c r="B627" s="16" t="s">
        <v>414</v>
      </c>
      <c r="C627" s="8">
        <v>21570</v>
      </c>
      <c r="D627" s="9">
        <v>552826490</v>
      </c>
      <c r="E627" s="57">
        <v>200</v>
      </c>
      <c r="F627" s="10" t="s">
        <v>601</v>
      </c>
      <c r="G627" s="94">
        <v>0</v>
      </c>
      <c r="H627" s="70">
        <f t="shared" si="49"/>
        <v>0</v>
      </c>
      <c r="I627" s="11">
        <f t="shared" ca="1" si="47"/>
        <v>46119</v>
      </c>
      <c r="J627" s="11">
        <f t="shared" ca="1" si="48"/>
        <v>46118</v>
      </c>
      <c r="K627" s="13"/>
    </row>
    <row r="628" spans="1:11" ht="18" x14ac:dyDescent="0.4">
      <c r="A628" s="93" t="s">
        <v>475</v>
      </c>
      <c r="B628" s="16" t="s">
        <v>414</v>
      </c>
      <c r="C628" s="8">
        <v>21570</v>
      </c>
      <c r="D628" s="9">
        <v>552826480</v>
      </c>
      <c r="E628" s="57">
        <v>200</v>
      </c>
      <c r="F628" s="10" t="s">
        <v>602</v>
      </c>
      <c r="G628" s="94">
        <v>0</v>
      </c>
      <c r="H628" s="70">
        <f t="shared" si="49"/>
        <v>0</v>
      </c>
      <c r="I628" s="11">
        <f t="shared" ca="1" si="47"/>
        <v>46119</v>
      </c>
      <c r="J628" s="11">
        <f t="shared" ca="1" si="48"/>
        <v>46118</v>
      </c>
      <c r="K628" s="13"/>
    </row>
    <row r="629" spans="1:11" ht="18" x14ac:dyDescent="0.4">
      <c r="A629" s="93" t="s">
        <v>475</v>
      </c>
      <c r="B629" s="16" t="s">
        <v>439</v>
      </c>
      <c r="C629" s="8">
        <v>40840</v>
      </c>
      <c r="D629" s="9">
        <v>187521210</v>
      </c>
      <c r="E629" s="57">
        <v>900</v>
      </c>
      <c r="F629" s="95" t="s">
        <v>312</v>
      </c>
      <c r="G629" s="94">
        <v>0</v>
      </c>
      <c r="H629" s="70">
        <f t="shared" si="49"/>
        <v>0</v>
      </c>
      <c r="I629" s="11">
        <f t="shared" ca="1" si="47"/>
        <v>46119</v>
      </c>
      <c r="J629" s="11">
        <f t="shared" ca="1" si="48"/>
        <v>46118</v>
      </c>
      <c r="K629" s="13"/>
    </row>
    <row r="630" spans="1:11" ht="18" x14ac:dyDescent="0.4">
      <c r="A630" s="93" t="s">
        <v>475</v>
      </c>
      <c r="B630" s="16" t="s">
        <v>439</v>
      </c>
      <c r="C630" s="8">
        <v>40840</v>
      </c>
      <c r="D630" s="9">
        <v>187543240</v>
      </c>
      <c r="E630" s="57">
        <v>400</v>
      </c>
      <c r="F630" s="95" t="s">
        <v>565</v>
      </c>
      <c r="G630" s="94">
        <v>0</v>
      </c>
      <c r="H630" s="70">
        <f t="shared" si="49"/>
        <v>0</v>
      </c>
      <c r="I630" s="11">
        <f ca="1">I629</f>
        <v>46119</v>
      </c>
      <c r="J630" s="11">
        <f t="shared" ca="1" si="48"/>
        <v>46118</v>
      </c>
      <c r="K630" s="13"/>
    </row>
    <row r="631" spans="1:11" ht="18" x14ac:dyDescent="0.4">
      <c r="A631" s="93" t="s">
        <v>475</v>
      </c>
      <c r="B631" s="16" t="s">
        <v>439</v>
      </c>
      <c r="C631" s="8">
        <v>40840</v>
      </c>
      <c r="D631" s="9">
        <v>187532210</v>
      </c>
      <c r="E631" s="57">
        <v>350</v>
      </c>
      <c r="F631" s="95" t="s">
        <v>603</v>
      </c>
      <c r="G631" s="94">
        <v>0</v>
      </c>
      <c r="H631" s="70">
        <f t="shared" si="49"/>
        <v>0</v>
      </c>
      <c r="I631" s="11">
        <f t="shared" ca="1" si="47"/>
        <v>46119</v>
      </c>
      <c r="J631" s="11">
        <f t="shared" ca="1" si="48"/>
        <v>46118</v>
      </c>
      <c r="K631" s="13"/>
    </row>
    <row r="632" spans="1:11" ht="18" x14ac:dyDescent="0.4">
      <c r="A632" s="93" t="s">
        <v>475</v>
      </c>
      <c r="B632" s="16" t="s">
        <v>439</v>
      </c>
      <c r="C632" s="8">
        <v>40840</v>
      </c>
      <c r="D632" s="9">
        <v>109026210</v>
      </c>
      <c r="E632" s="57">
        <v>1500</v>
      </c>
      <c r="F632" s="95" t="s">
        <v>604</v>
      </c>
      <c r="G632" s="94">
        <v>0</v>
      </c>
      <c r="H632" s="70">
        <f t="shared" si="49"/>
        <v>0</v>
      </c>
      <c r="I632" s="11">
        <f t="shared" ca="1" si="47"/>
        <v>46119</v>
      </c>
      <c r="J632" s="11">
        <f t="shared" ca="1" si="48"/>
        <v>46118</v>
      </c>
      <c r="K632" s="13"/>
    </row>
    <row r="633" spans="1:11" ht="18" x14ac:dyDescent="0.4">
      <c r="A633" s="93" t="s">
        <v>475</v>
      </c>
      <c r="B633" s="16" t="s">
        <v>439</v>
      </c>
      <c r="C633" s="8">
        <v>40840</v>
      </c>
      <c r="D633" s="9">
        <v>162860210</v>
      </c>
      <c r="E633" s="57">
        <v>1750</v>
      </c>
      <c r="F633" s="95" t="s">
        <v>605</v>
      </c>
      <c r="G633" s="94">
        <v>0</v>
      </c>
      <c r="H633" s="70">
        <f t="shared" si="49"/>
        <v>0</v>
      </c>
      <c r="I633" s="11">
        <f t="shared" ca="1" si="47"/>
        <v>46119</v>
      </c>
      <c r="J633" s="11">
        <f t="shared" ca="1" si="48"/>
        <v>46118</v>
      </c>
      <c r="K633" s="13"/>
    </row>
    <row r="634" spans="1:11" ht="18" x14ac:dyDescent="0.4">
      <c r="A634" s="93" t="s">
        <v>475</v>
      </c>
      <c r="B634" s="16" t="s">
        <v>606</v>
      </c>
      <c r="C634" s="8">
        <v>23480</v>
      </c>
      <c r="D634" s="9">
        <v>43283640</v>
      </c>
      <c r="E634" s="57">
        <v>2000</v>
      </c>
      <c r="F634" s="10" t="s">
        <v>607</v>
      </c>
      <c r="G634" s="94">
        <v>0</v>
      </c>
      <c r="H634" s="70">
        <f t="shared" si="49"/>
        <v>0</v>
      </c>
      <c r="I634" s="11">
        <f t="shared" ref="I634:I702" ca="1" si="50">I633</f>
        <v>46119</v>
      </c>
      <c r="J634" s="11">
        <f t="shared" ca="1" si="48"/>
        <v>46118</v>
      </c>
      <c r="K634" s="13"/>
    </row>
    <row r="635" spans="1:11" ht="18" x14ac:dyDescent="0.4">
      <c r="A635" s="93" t="s">
        <v>475</v>
      </c>
      <c r="B635" s="16" t="s">
        <v>606</v>
      </c>
      <c r="C635" s="8">
        <v>23480</v>
      </c>
      <c r="D635" s="9">
        <v>75395980</v>
      </c>
      <c r="E635" s="57">
        <v>4000</v>
      </c>
      <c r="F635" s="10" t="s">
        <v>608</v>
      </c>
      <c r="G635" s="94">
        <v>0</v>
      </c>
      <c r="H635" s="70">
        <f t="shared" si="49"/>
        <v>0</v>
      </c>
      <c r="I635" s="11">
        <f t="shared" ca="1" si="50"/>
        <v>46119</v>
      </c>
      <c r="J635" s="11">
        <f t="shared" ref="J635:J703" ca="1" si="51">TODAY()</f>
        <v>46118</v>
      </c>
      <c r="K635" s="13"/>
    </row>
    <row r="636" spans="1:11" ht="18" x14ac:dyDescent="0.4">
      <c r="A636" s="93" t="s">
        <v>475</v>
      </c>
      <c r="B636" s="7" t="s">
        <v>606</v>
      </c>
      <c r="C636" s="8">
        <v>23480</v>
      </c>
      <c r="D636" s="9">
        <v>144557800</v>
      </c>
      <c r="E636" s="57">
        <v>1000</v>
      </c>
      <c r="F636" s="10" t="s">
        <v>609</v>
      </c>
      <c r="G636" s="94">
        <v>0</v>
      </c>
      <c r="H636" s="70">
        <f t="shared" si="49"/>
        <v>0</v>
      </c>
      <c r="I636" s="11">
        <f t="shared" ca="1" si="50"/>
        <v>46119</v>
      </c>
      <c r="J636" s="11">
        <f t="shared" ca="1" si="51"/>
        <v>46118</v>
      </c>
      <c r="K636" s="13"/>
    </row>
    <row r="637" spans="1:11" ht="18" x14ac:dyDescent="0.4">
      <c r="A637" s="93" t="s">
        <v>475</v>
      </c>
      <c r="B637" s="16" t="s">
        <v>606</v>
      </c>
      <c r="C637" s="8">
        <v>23480</v>
      </c>
      <c r="D637" s="9">
        <v>500080480</v>
      </c>
      <c r="E637" s="57">
        <v>3000</v>
      </c>
      <c r="F637" s="10" t="s">
        <v>610</v>
      </c>
      <c r="G637" s="94">
        <v>0</v>
      </c>
      <c r="H637" s="70">
        <f t="shared" si="49"/>
        <v>0</v>
      </c>
      <c r="I637" s="11">
        <f t="shared" ca="1" si="50"/>
        <v>46119</v>
      </c>
      <c r="J637" s="11">
        <f t="shared" ca="1" si="51"/>
        <v>46118</v>
      </c>
      <c r="K637" s="13"/>
    </row>
    <row r="638" spans="1:11" ht="18" x14ac:dyDescent="0.4">
      <c r="A638" s="93" t="s">
        <v>475</v>
      </c>
      <c r="B638" s="16" t="s">
        <v>611</v>
      </c>
      <c r="C638" s="8">
        <v>42998</v>
      </c>
      <c r="D638" s="9">
        <v>463545200</v>
      </c>
      <c r="E638" s="57">
        <v>600</v>
      </c>
      <c r="F638" s="10" t="s">
        <v>612</v>
      </c>
      <c r="G638" s="94">
        <v>0</v>
      </c>
      <c r="H638" s="70">
        <f t="shared" si="49"/>
        <v>0</v>
      </c>
      <c r="I638" s="11">
        <f t="shared" ca="1" si="50"/>
        <v>46119</v>
      </c>
      <c r="J638" s="11">
        <f t="shared" ca="1" si="51"/>
        <v>46118</v>
      </c>
      <c r="K638" s="13"/>
    </row>
    <row r="639" spans="1:11" ht="18" x14ac:dyDescent="0.4">
      <c r="A639" s="93" t="s">
        <v>475</v>
      </c>
      <c r="B639" s="16" t="s">
        <v>473</v>
      </c>
      <c r="C639" s="8">
        <v>31775</v>
      </c>
      <c r="D639" s="9">
        <v>552597070</v>
      </c>
      <c r="E639" s="57">
        <v>900</v>
      </c>
      <c r="F639" s="10" t="s">
        <v>613</v>
      </c>
      <c r="G639" s="94">
        <v>2700</v>
      </c>
      <c r="H639" s="70">
        <f t="shared" si="49"/>
        <v>3</v>
      </c>
      <c r="I639" s="11">
        <f t="shared" ca="1" si="50"/>
        <v>46119</v>
      </c>
      <c r="J639" s="11">
        <f t="shared" ca="1" si="51"/>
        <v>46118</v>
      </c>
      <c r="K639" s="13"/>
    </row>
    <row r="640" spans="1:11" ht="18" x14ac:dyDescent="0.4">
      <c r="A640" s="102" t="s">
        <v>475</v>
      </c>
      <c r="B640" s="103" t="s">
        <v>614</v>
      </c>
      <c r="C640" s="102">
        <v>10627</v>
      </c>
      <c r="D640" s="104">
        <v>77132900</v>
      </c>
      <c r="E640" s="102">
        <v>2500</v>
      </c>
      <c r="F640" s="105" t="s">
        <v>615</v>
      </c>
      <c r="G640" s="94">
        <v>0</v>
      </c>
      <c r="H640" s="70">
        <f t="shared" si="49"/>
        <v>0</v>
      </c>
      <c r="I640" s="11">
        <f t="shared" ca="1" si="50"/>
        <v>46119</v>
      </c>
      <c r="J640" s="11">
        <f t="shared" ca="1" si="51"/>
        <v>46118</v>
      </c>
      <c r="K640" s="13"/>
    </row>
    <row r="641" spans="1:11" ht="19.5" x14ac:dyDescent="0.55000000000000004">
      <c r="A641" s="93" t="s">
        <v>475</v>
      </c>
      <c r="B641" s="16" t="s">
        <v>616</v>
      </c>
      <c r="C641" s="8">
        <v>50050</v>
      </c>
      <c r="D641" s="9">
        <v>552807940</v>
      </c>
      <c r="E641" s="57">
        <v>360</v>
      </c>
      <c r="F641" s="10" t="s">
        <v>617</v>
      </c>
      <c r="G641" s="94">
        <v>0</v>
      </c>
      <c r="H641" s="70">
        <f t="shared" si="49"/>
        <v>0</v>
      </c>
      <c r="I641" s="11">
        <f t="shared" ca="1" si="50"/>
        <v>46119</v>
      </c>
      <c r="J641" s="11">
        <f t="shared" ca="1" si="51"/>
        <v>46118</v>
      </c>
      <c r="K641" s="58"/>
    </row>
    <row r="642" spans="1:11" ht="19.5" x14ac:dyDescent="0.55000000000000004">
      <c r="A642" s="93" t="s">
        <v>475</v>
      </c>
      <c r="B642" s="16" t="s">
        <v>616</v>
      </c>
      <c r="C642" s="8">
        <v>50050</v>
      </c>
      <c r="D642" s="9">
        <v>552807950</v>
      </c>
      <c r="E642" s="57">
        <v>360</v>
      </c>
      <c r="F642" s="10" t="s">
        <v>618</v>
      </c>
      <c r="G642" s="94">
        <v>0</v>
      </c>
      <c r="H642" s="70">
        <f t="shared" si="49"/>
        <v>0</v>
      </c>
      <c r="I642" s="11">
        <f t="shared" ca="1" si="50"/>
        <v>46119</v>
      </c>
      <c r="J642" s="11">
        <f t="shared" ca="1" si="51"/>
        <v>46118</v>
      </c>
      <c r="K642" s="58"/>
    </row>
    <row r="643" spans="1:11" ht="19.5" x14ac:dyDescent="0.55000000000000004">
      <c r="A643" s="93" t="s">
        <v>475</v>
      </c>
      <c r="B643" s="16" t="s">
        <v>616</v>
      </c>
      <c r="C643" s="8">
        <v>50050</v>
      </c>
      <c r="D643" s="9">
        <v>552810000</v>
      </c>
      <c r="E643" s="57">
        <v>450</v>
      </c>
      <c r="F643" s="10" t="s">
        <v>619</v>
      </c>
      <c r="G643" s="94">
        <v>0</v>
      </c>
      <c r="H643" s="70">
        <f t="shared" si="49"/>
        <v>0</v>
      </c>
      <c r="I643" s="100">
        <f t="shared" ca="1" si="50"/>
        <v>46119</v>
      </c>
      <c r="J643" s="11">
        <f t="shared" ca="1" si="51"/>
        <v>46118</v>
      </c>
      <c r="K643" s="101" t="s">
        <v>720</v>
      </c>
    </row>
    <row r="644" spans="1:11" ht="19.5" x14ac:dyDescent="0.55000000000000004">
      <c r="A644" s="93" t="s">
        <v>475</v>
      </c>
      <c r="B644" s="16" t="s">
        <v>616</v>
      </c>
      <c r="C644" s="8">
        <v>50050</v>
      </c>
      <c r="D644" s="9">
        <v>552807960</v>
      </c>
      <c r="E644" s="57">
        <v>180</v>
      </c>
      <c r="F644" s="10" t="s">
        <v>620</v>
      </c>
      <c r="G644" s="94">
        <v>0</v>
      </c>
      <c r="H644" s="70">
        <f t="shared" si="49"/>
        <v>0</v>
      </c>
      <c r="I644" s="11">
        <f t="shared" ca="1" si="50"/>
        <v>46119</v>
      </c>
      <c r="J644" s="11">
        <f t="shared" ca="1" si="51"/>
        <v>46118</v>
      </c>
      <c r="K644" s="58"/>
    </row>
    <row r="645" spans="1:11" ht="19.5" x14ac:dyDescent="0.55000000000000004">
      <c r="A645" s="93" t="s">
        <v>475</v>
      </c>
      <c r="B645" s="16" t="s">
        <v>616</v>
      </c>
      <c r="C645" s="8">
        <v>50050</v>
      </c>
      <c r="D645" s="9">
        <v>552512680</v>
      </c>
      <c r="E645" s="57">
        <v>1800</v>
      </c>
      <c r="F645" s="10" t="s">
        <v>621</v>
      </c>
      <c r="G645" s="94">
        <v>0</v>
      </c>
      <c r="H645" s="70">
        <f t="shared" si="49"/>
        <v>0</v>
      </c>
      <c r="I645" s="11">
        <f t="shared" ca="1" si="50"/>
        <v>46119</v>
      </c>
      <c r="J645" s="11">
        <f t="shared" ca="1" si="51"/>
        <v>46118</v>
      </c>
      <c r="K645" s="58"/>
    </row>
    <row r="646" spans="1:11" ht="19.5" x14ac:dyDescent="0.55000000000000004">
      <c r="A646" s="93" t="s">
        <v>475</v>
      </c>
      <c r="B646" s="16" t="s">
        <v>616</v>
      </c>
      <c r="C646" s="8">
        <v>50050</v>
      </c>
      <c r="D646" s="9">
        <v>552500530</v>
      </c>
      <c r="E646" s="57">
        <v>2400</v>
      </c>
      <c r="F646" s="10" t="s">
        <v>621</v>
      </c>
      <c r="G646" s="94">
        <v>0</v>
      </c>
      <c r="H646" s="70">
        <f t="shared" si="49"/>
        <v>0</v>
      </c>
      <c r="I646" s="11">
        <f t="shared" ca="1" si="50"/>
        <v>46119</v>
      </c>
      <c r="J646" s="11">
        <f t="shared" ca="1" si="51"/>
        <v>46118</v>
      </c>
      <c r="K646" s="58"/>
    </row>
    <row r="647" spans="1:11" ht="19.5" x14ac:dyDescent="0.55000000000000004">
      <c r="A647" s="93" t="s">
        <v>475</v>
      </c>
      <c r="B647" s="16" t="s">
        <v>616</v>
      </c>
      <c r="C647" s="8">
        <v>50050</v>
      </c>
      <c r="D647" s="9">
        <v>552807970</v>
      </c>
      <c r="E647" s="57">
        <v>180</v>
      </c>
      <c r="F647" s="10" t="s">
        <v>622</v>
      </c>
      <c r="G647" s="94">
        <v>0</v>
      </c>
      <c r="H647" s="70">
        <f t="shared" si="49"/>
        <v>0</v>
      </c>
      <c r="I647" s="100">
        <f t="shared" ca="1" si="50"/>
        <v>46119</v>
      </c>
      <c r="J647" s="11">
        <f t="shared" ca="1" si="51"/>
        <v>46118</v>
      </c>
      <c r="K647" s="101" t="s">
        <v>720</v>
      </c>
    </row>
    <row r="648" spans="1:11" ht="19.5" x14ac:dyDescent="0.55000000000000004">
      <c r="A648" s="93" t="s">
        <v>475</v>
      </c>
      <c r="B648" s="16" t="s">
        <v>286</v>
      </c>
      <c r="C648" s="8">
        <v>51625</v>
      </c>
      <c r="D648" s="9">
        <v>463458000</v>
      </c>
      <c r="E648" s="57">
        <v>1800</v>
      </c>
      <c r="F648" s="10" t="s">
        <v>623</v>
      </c>
      <c r="G648" s="94">
        <v>0</v>
      </c>
      <c r="H648" s="70">
        <f t="shared" si="49"/>
        <v>0</v>
      </c>
      <c r="I648" s="11">
        <f t="shared" ca="1" si="50"/>
        <v>46119</v>
      </c>
      <c r="J648" s="11">
        <f t="shared" ca="1" si="51"/>
        <v>46118</v>
      </c>
      <c r="K648" s="58"/>
    </row>
    <row r="649" spans="1:11" ht="19.5" x14ac:dyDescent="0.55000000000000004">
      <c r="A649" s="93" t="s">
        <v>475</v>
      </c>
      <c r="B649" s="16" t="s">
        <v>286</v>
      </c>
      <c r="C649" s="8">
        <v>51625</v>
      </c>
      <c r="D649" s="9">
        <v>463457980</v>
      </c>
      <c r="E649" s="57">
        <v>1600</v>
      </c>
      <c r="F649" s="10" t="s">
        <v>624</v>
      </c>
      <c r="G649" s="94">
        <v>0</v>
      </c>
      <c r="H649" s="70">
        <f t="shared" si="49"/>
        <v>0</v>
      </c>
      <c r="I649" s="11">
        <f t="shared" ca="1" si="50"/>
        <v>46119</v>
      </c>
      <c r="J649" s="11">
        <f t="shared" ca="1" si="51"/>
        <v>46118</v>
      </c>
      <c r="K649" s="58"/>
    </row>
    <row r="650" spans="1:11" ht="19.5" x14ac:dyDescent="0.55000000000000004">
      <c r="A650" s="93" t="s">
        <v>475</v>
      </c>
      <c r="B650" s="16" t="s">
        <v>286</v>
      </c>
      <c r="C650" s="8">
        <v>51625</v>
      </c>
      <c r="D650" s="9">
        <v>463457990</v>
      </c>
      <c r="E650" s="57">
        <v>1920</v>
      </c>
      <c r="F650" s="10" t="s">
        <v>625</v>
      </c>
      <c r="G650" s="94">
        <v>0</v>
      </c>
      <c r="H650" s="70">
        <f t="shared" si="49"/>
        <v>0</v>
      </c>
      <c r="I650" s="11">
        <f t="shared" ca="1" si="50"/>
        <v>46119</v>
      </c>
      <c r="J650" s="11">
        <f t="shared" ca="1" si="51"/>
        <v>46118</v>
      </c>
      <c r="K650" s="58"/>
    </row>
    <row r="651" spans="1:11" ht="18" x14ac:dyDescent="0.4">
      <c r="A651" s="102" t="s">
        <v>475</v>
      </c>
      <c r="B651" s="103" t="s">
        <v>626</v>
      </c>
      <c r="C651" s="102">
        <v>13093</v>
      </c>
      <c r="D651" s="104">
        <v>552679890</v>
      </c>
      <c r="E651" s="102">
        <v>150</v>
      </c>
      <c r="F651" s="105" t="s">
        <v>627</v>
      </c>
      <c r="G651" s="94">
        <v>0</v>
      </c>
      <c r="H651" s="70">
        <f t="shared" si="49"/>
        <v>0</v>
      </c>
      <c r="I651" s="11">
        <f t="shared" ca="1" si="50"/>
        <v>46119</v>
      </c>
      <c r="J651" s="11">
        <f t="shared" ca="1" si="51"/>
        <v>46118</v>
      </c>
      <c r="K651" s="13"/>
    </row>
    <row r="652" spans="1:11" ht="18" x14ac:dyDescent="0.4">
      <c r="A652" s="93" t="s">
        <v>475</v>
      </c>
      <c r="B652" s="16" t="s">
        <v>628</v>
      </c>
      <c r="C652" s="60">
        <v>30467</v>
      </c>
      <c r="D652" s="61">
        <v>552757120</v>
      </c>
      <c r="E652" s="60">
        <v>300</v>
      </c>
      <c r="F652" s="96" t="s">
        <v>629</v>
      </c>
      <c r="G652" s="94">
        <v>6000</v>
      </c>
      <c r="H652" s="70">
        <f t="shared" si="49"/>
        <v>20</v>
      </c>
      <c r="I652" s="11">
        <f t="shared" ca="1" si="50"/>
        <v>46119</v>
      </c>
      <c r="J652" s="11">
        <f t="shared" ca="1" si="51"/>
        <v>46118</v>
      </c>
      <c r="K652" s="13"/>
    </row>
    <row r="653" spans="1:11" ht="18" x14ac:dyDescent="0.4">
      <c r="A653" s="93" t="s">
        <v>475</v>
      </c>
      <c r="B653" s="16" t="s">
        <v>628</v>
      </c>
      <c r="C653" s="60">
        <v>30467</v>
      </c>
      <c r="D653" s="61">
        <v>77894039</v>
      </c>
      <c r="E653" s="60">
        <v>2880</v>
      </c>
      <c r="F653" s="96" t="s">
        <v>510</v>
      </c>
      <c r="G653" s="94">
        <v>2880</v>
      </c>
      <c r="H653" s="70">
        <f t="shared" si="49"/>
        <v>1</v>
      </c>
      <c r="I653" s="11">
        <f ca="1">I652</f>
        <v>46119</v>
      </c>
      <c r="J653" s="11">
        <f ca="1">TODAY()</f>
        <v>46118</v>
      </c>
      <c r="K653" s="13"/>
    </row>
    <row r="654" spans="1:11" ht="18" x14ac:dyDescent="0.4">
      <c r="A654" s="93" t="s">
        <v>475</v>
      </c>
      <c r="B654" s="16" t="s">
        <v>628</v>
      </c>
      <c r="C654" s="60">
        <v>30467</v>
      </c>
      <c r="D654" s="61">
        <v>463458088</v>
      </c>
      <c r="E654" s="60">
        <v>1440</v>
      </c>
      <c r="F654" s="96" t="s">
        <v>630</v>
      </c>
      <c r="G654" s="94">
        <v>2880</v>
      </c>
      <c r="H654" s="70">
        <f t="shared" si="49"/>
        <v>2</v>
      </c>
      <c r="I654" s="11">
        <f ca="1">I653</f>
        <v>46119</v>
      </c>
      <c r="J654" s="11">
        <f ca="1">TODAY()</f>
        <v>46118</v>
      </c>
      <c r="K654" s="13"/>
    </row>
    <row r="655" spans="1:11" ht="18" x14ac:dyDescent="0.4">
      <c r="A655" s="93" t="s">
        <v>475</v>
      </c>
      <c r="B655" s="16" t="s">
        <v>631</v>
      </c>
      <c r="C655" s="8">
        <v>60644</v>
      </c>
      <c r="D655" s="9">
        <v>75742790</v>
      </c>
      <c r="E655" s="57">
        <v>400</v>
      </c>
      <c r="F655" s="10" t="s">
        <v>632</v>
      </c>
      <c r="G655" s="94">
        <v>4800</v>
      </c>
      <c r="H655" s="70">
        <f t="shared" si="49"/>
        <v>12</v>
      </c>
      <c r="I655" s="11">
        <f ca="1">I652</f>
        <v>46119</v>
      </c>
      <c r="J655" s="11">
        <f t="shared" ca="1" si="51"/>
        <v>46118</v>
      </c>
      <c r="K655" s="13"/>
    </row>
    <row r="656" spans="1:11" ht="18" x14ac:dyDescent="0.4">
      <c r="A656" s="93" t="s">
        <v>475</v>
      </c>
      <c r="B656" s="16" t="s">
        <v>631</v>
      </c>
      <c r="C656" s="8">
        <v>60644</v>
      </c>
      <c r="D656" s="9">
        <v>464600430</v>
      </c>
      <c r="E656" s="57">
        <v>72</v>
      </c>
      <c r="F656" s="10" t="s">
        <v>633</v>
      </c>
      <c r="G656" s="94">
        <v>0</v>
      </c>
      <c r="H656" s="70">
        <f t="shared" si="49"/>
        <v>0</v>
      </c>
      <c r="I656" s="11">
        <f t="shared" ca="1" si="50"/>
        <v>46119</v>
      </c>
      <c r="J656" s="11">
        <f t="shared" ca="1" si="51"/>
        <v>46118</v>
      </c>
      <c r="K656" s="13"/>
    </row>
    <row r="657" spans="1:11" ht="19.5" x14ac:dyDescent="0.55000000000000004">
      <c r="A657" s="93" t="s">
        <v>475</v>
      </c>
      <c r="B657" s="16" t="s">
        <v>634</v>
      </c>
      <c r="C657" s="8">
        <v>63192</v>
      </c>
      <c r="D657" s="9">
        <v>552044480</v>
      </c>
      <c r="E657" s="57">
        <v>45</v>
      </c>
      <c r="F657" s="10" t="s">
        <v>635</v>
      </c>
      <c r="G657" s="94">
        <v>0</v>
      </c>
      <c r="H657" s="70">
        <f t="shared" si="49"/>
        <v>0</v>
      </c>
      <c r="I657" s="11">
        <f t="shared" ca="1" si="50"/>
        <v>46119</v>
      </c>
      <c r="J657" s="11">
        <f t="shared" ca="1" si="51"/>
        <v>46118</v>
      </c>
      <c r="K657" s="59"/>
    </row>
    <row r="658" spans="1:11" ht="19.5" x14ac:dyDescent="0.55000000000000004">
      <c r="A658" s="93" t="s">
        <v>475</v>
      </c>
      <c r="B658" s="16" t="s">
        <v>634</v>
      </c>
      <c r="C658" s="8">
        <v>63192</v>
      </c>
      <c r="D658" s="9">
        <v>552044490</v>
      </c>
      <c r="E658" s="57">
        <v>45</v>
      </c>
      <c r="F658" s="10" t="s">
        <v>635</v>
      </c>
      <c r="G658" s="94">
        <v>0</v>
      </c>
      <c r="H658" s="70">
        <f t="shared" si="49"/>
        <v>0</v>
      </c>
      <c r="I658" s="11">
        <f t="shared" ca="1" si="50"/>
        <v>46119</v>
      </c>
      <c r="J658" s="11">
        <f t="shared" ca="1" si="51"/>
        <v>46118</v>
      </c>
      <c r="K658" s="59"/>
    </row>
    <row r="659" spans="1:11" ht="18" x14ac:dyDescent="0.4">
      <c r="A659" s="93" t="s">
        <v>475</v>
      </c>
      <c r="B659" s="16" t="s">
        <v>637</v>
      </c>
      <c r="C659" s="8">
        <v>64641</v>
      </c>
      <c r="D659" s="9">
        <v>143253110</v>
      </c>
      <c r="E659" s="57">
        <v>350</v>
      </c>
      <c r="F659" s="10" t="s">
        <v>638</v>
      </c>
      <c r="G659" s="94">
        <v>0</v>
      </c>
      <c r="H659" s="70">
        <f t="shared" si="49"/>
        <v>0</v>
      </c>
      <c r="I659" s="11">
        <f t="shared" ca="1" si="50"/>
        <v>46119</v>
      </c>
      <c r="J659" s="11">
        <f t="shared" ca="1" si="51"/>
        <v>46118</v>
      </c>
      <c r="K659" s="13"/>
    </row>
    <row r="660" spans="1:11" ht="18" x14ac:dyDescent="0.4">
      <c r="A660" s="93" t="s">
        <v>475</v>
      </c>
      <c r="B660" s="16" t="s">
        <v>639</v>
      </c>
      <c r="C660" s="8">
        <v>29928</v>
      </c>
      <c r="D660" s="9">
        <v>400048200</v>
      </c>
      <c r="E660" s="57">
        <v>480</v>
      </c>
      <c r="F660" s="10" t="s">
        <v>593</v>
      </c>
      <c r="G660" s="94">
        <v>0</v>
      </c>
      <c r="H660" s="70">
        <f t="shared" si="49"/>
        <v>0</v>
      </c>
      <c r="I660" s="11">
        <f t="shared" ca="1" si="50"/>
        <v>46119</v>
      </c>
      <c r="J660" s="11">
        <f t="shared" ca="1" si="51"/>
        <v>46118</v>
      </c>
      <c r="K660" s="13"/>
    </row>
    <row r="661" spans="1:11" ht="18" x14ac:dyDescent="0.4">
      <c r="A661" s="102" t="s">
        <v>475</v>
      </c>
      <c r="B661" s="103" t="s">
        <v>640</v>
      </c>
      <c r="C661" s="102">
        <v>68265</v>
      </c>
      <c r="D661" s="104">
        <v>463415970</v>
      </c>
      <c r="E661" s="102">
        <v>360</v>
      </c>
      <c r="F661" s="105" t="s">
        <v>641</v>
      </c>
      <c r="G661" s="94">
        <v>0</v>
      </c>
      <c r="H661" s="70">
        <f t="shared" si="49"/>
        <v>0</v>
      </c>
      <c r="I661" s="11">
        <f t="shared" ca="1" si="50"/>
        <v>46119</v>
      </c>
      <c r="J661" s="11">
        <f t="shared" ca="1" si="51"/>
        <v>46118</v>
      </c>
      <c r="K661" s="13"/>
    </row>
    <row r="662" spans="1:11" ht="18" x14ac:dyDescent="0.4">
      <c r="A662" s="102" t="s">
        <v>475</v>
      </c>
      <c r="B662" s="103" t="s">
        <v>640</v>
      </c>
      <c r="C662" s="102">
        <v>68265</v>
      </c>
      <c r="D662" s="104">
        <v>551914710</v>
      </c>
      <c r="E662" s="102">
        <v>360</v>
      </c>
      <c r="F662" s="105" t="s">
        <v>642</v>
      </c>
      <c r="G662" s="94">
        <v>0</v>
      </c>
      <c r="H662" s="70">
        <f t="shared" si="49"/>
        <v>0</v>
      </c>
      <c r="I662" s="11">
        <f t="shared" ca="1" si="50"/>
        <v>46119</v>
      </c>
      <c r="J662" s="11">
        <f t="shared" ca="1" si="51"/>
        <v>46118</v>
      </c>
      <c r="K662" s="13"/>
    </row>
    <row r="663" spans="1:11" ht="18" x14ac:dyDescent="0.4">
      <c r="A663" s="102" t="s">
        <v>475</v>
      </c>
      <c r="B663" s="103" t="s">
        <v>640</v>
      </c>
      <c r="C663" s="102">
        <v>68265</v>
      </c>
      <c r="D663" s="104">
        <v>552444220</v>
      </c>
      <c r="E663" s="102">
        <v>180</v>
      </c>
      <c r="F663" s="105" t="s">
        <v>641</v>
      </c>
      <c r="G663" s="94">
        <v>0</v>
      </c>
      <c r="H663" s="70">
        <f t="shared" si="49"/>
        <v>0</v>
      </c>
      <c r="I663" s="11">
        <f t="shared" ca="1" si="50"/>
        <v>46119</v>
      </c>
      <c r="J663" s="11">
        <f t="shared" ca="1" si="51"/>
        <v>46118</v>
      </c>
      <c r="K663" s="13"/>
    </row>
    <row r="664" spans="1:11" ht="18" x14ac:dyDescent="0.4">
      <c r="A664" s="102" t="s">
        <v>475</v>
      </c>
      <c r="B664" s="103" t="s">
        <v>640</v>
      </c>
      <c r="C664" s="102">
        <v>68265</v>
      </c>
      <c r="D664" s="104">
        <v>552701450</v>
      </c>
      <c r="E664" s="102">
        <v>360</v>
      </c>
      <c r="F664" s="105" t="s">
        <v>643</v>
      </c>
      <c r="G664" s="94">
        <v>0</v>
      </c>
      <c r="H664" s="70">
        <f t="shared" si="49"/>
        <v>0</v>
      </c>
      <c r="I664" s="11">
        <f t="shared" ca="1" si="50"/>
        <v>46119</v>
      </c>
      <c r="J664" s="11">
        <f t="shared" ca="1" si="51"/>
        <v>46118</v>
      </c>
      <c r="K664" s="13"/>
    </row>
    <row r="665" spans="1:11" ht="18" x14ac:dyDescent="0.4">
      <c r="A665" s="93" t="s">
        <v>475</v>
      </c>
      <c r="B665" s="16" t="s">
        <v>644</v>
      </c>
      <c r="C665" s="8">
        <v>68265</v>
      </c>
      <c r="D665" s="9">
        <v>59999700</v>
      </c>
      <c r="E665" s="57">
        <v>102</v>
      </c>
      <c r="F665" s="10" t="s">
        <v>645</v>
      </c>
      <c r="G665" s="94">
        <v>10200</v>
      </c>
      <c r="H665" s="70">
        <f t="shared" si="49"/>
        <v>100</v>
      </c>
      <c r="I665" s="11">
        <f t="shared" ca="1" si="50"/>
        <v>46119</v>
      </c>
      <c r="J665" s="11">
        <f t="shared" ca="1" si="51"/>
        <v>46118</v>
      </c>
      <c r="K665" s="13"/>
    </row>
    <row r="666" spans="1:11" ht="18" x14ac:dyDescent="0.4">
      <c r="A666" s="93" t="s">
        <v>475</v>
      </c>
      <c r="B666" s="16" t="s">
        <v>644</v>
      </c>
      <c r="C666" s="8">
        <v>68265</v>
      </c>
      <c r="D666" s="9">
        <v>75645190</v>
      </c>
      <c r="E666" s="57">
        <v>126</v>
      </c>
      <c r="F666" s="10" t="s">
        <v>646</v>
      </c>
      <c r="G666" s="94">
        <v>6300</v>
      </c>
      <c r="H666" s="70">
        <f t="shared" si="49"/>
        <v>50</v>
      </c>
      <c r="I666" s="11">
        <f t="shared" ca="1" si="50"/>
        <v>46119</v>
      </c>
      <c r="J666" s="11">
        <f t="shared" ca="1" si="51"/>
        <v>46118</v>
      </c>
      <c r="K666" s="13"/>
    </row>
    <row r="667" spans="1:11" ht="18" x14ac:dyDescent="0.4">
      <c r="A667" s="93" t="s">
        <v>475</v>
      </c>
      <c r="B667" s="16" t="s">
        <v>644</v>
      </c>
      <c r="C667" s="8">
        <v>68265</v>
      </c>
      <c r="D667" s="9">
        <v>463602640</v>
      </c>
      <c r="E667" s="57">
        <v>144</v>
      </c>
      <c r="F667" s="10" t="s">
        <v>647</v>
      </c>
      <c r="G667" s="94">
        <v>0</v>
      </c>
      <c r="H667" s="70">
        <f t="shared" si="49"/>
        <v>0</v>
      </c>
      <c r="I667" s="11">
        <f t="shared" ca="1" si="50"/>
        <v>46119</v>
      </c>
      <c r="J667" s="11">
        <f t="shared" ca="1" si="51"/>
        <v>46118</v>
      </c>
      <c r="K667" s="13"/>
    </row>
    <row r="668" spans="1:11" ht="18" x14ac:dyDescent="0.4">
      <c r="A668" s="93" t="s">
        <v>475</v>
      </c>
      <c r="B668" s="16" t="s">
        <v>644</v>
      </c>
      <c r="C668" s="8">
        <v>68265</v>
      </c>
      <c r="D668" s="9">
        <v>75756860</v>
      </c>
      <c r="E668" s="57">
        <v>120</v>
      </c>
      <c r="F668" s="10" t="s">
        <v>648</v>
      </c>
      <c r="G668" s="94">
        <v>12000</v>
      </c>
      <c r="H668" s="70">
        <f t="shared" si="49"/>
        <v>100</v>
      </c>
      <c r="I668" s="11">
        <f t="shared" ca="1" si="50"/>
        <v>46119</v>
      </c>
      <c r="J668" s="11">
        <f t="shared" ca="1" si="51"/>
        <v>46118</v>
      </c>
      <c r="K668" s="13"/>
    </row>
    <row r="669" spans="1:11" ht="18" x14ac:dyDescent="0.4">
      <c r="A669" s="93" t="s">
        <v>475</v>
      </c>
      <c r="B669" s="16" t="s">
        <v>644</v>
      </c>
      <c r="C669" s="8">
        <v>68265</v>
      </c>
      <c r="D669" s="9">
        <v>75756870</v>
      </c>
      <c r="E669" s="57">
        <v>204</v>
      </c>
      <c r="F669" s="10" t="s">
        <v>649</v>
      </c>
      <c r="G669" s="94">
        <v>10200</v>
      </c>
      <c r="H669" s="70">
        <f t="shared" si="49"/>
        <v>50</v>
      </c>
      <c r="I669" s="11">
        <f t="shared" ca="1" si="50"/>
        <v>46119</v>
      </c>
      <c r="J669" s="11">
        <f t="shared" ca="1" si="51"/>
        <v>46118</v>
      </c>
      <c r="K669" s="13"/>
    </row>
    <row r="670" spans="1:11" ht="18" x14ac:dyDescent="0.4">
      <c r="A670" s="93" t="s">
        <v>475</v>
      </c>
      <c r="B670" s="16" t="s">
        <v>644</v>
      </c>
      <c r="C670" s="8">
        <v>68265</v>
      </c>
      <c r="D670" s="9">
        <v>465364600</v>
      </c>
      <c r="E670" s="57">
        <v>90</v>
      </c>
      <c r="F670" s="10" t="s">
        <v>650</v>
      </c>
      <c r="G670" s="94">
        <v>4500</v>
      </c>
      <c r="H670" s="70">
        <f t="shared" si="49"/>
        <v>50</v>
      </c>
      <c r="I670" s="11">
        <f t="shared" ca="1" si="50"/>
        <v>46119</v>
      </c>
      <c r="J670" s="11">
        <f t="shared" ca="1" si="51"/>
        <v>46118</v>
      </c>
      <c r="K670" s="13"/>
    </row>
    <row r="671" spans="1:11" ht="18" x14ac:dyDescent="0.4">
      <c r="A671" s="93" t="s">
        <v>475</v>
      </c>
      <c r="B671" s="16" t="s">
        <v>644</v>
      </c>
      <c r="C671" s="8">
        <v>68265</v>
      </c>
      <c r="D671" s="9">
        <v>463457970</v>
      </c>
      <c r="E671" s="57">
        <v>2000</v>
      </c>
      <c r="F671" s="10" t="s">
        <v>651</v>
      </c>
      <c r="G671" s="94">
        <v>0</v>
      </c>
      <c r="H671" s="70">
        <f t="shared" si="49"/>
        <v>0</v>
      </c>
      <c r="I671" s="11">
        <f t="shared" ca="1" si="50"/>
        <v>46119</v>
      </c>
      <c r="J671" s="11">
        <f t="shared" ca="1" si="51"/>
        <v>46118</v>
      </c>
      <c r="K671" s="13"/>
    </row>
    <row r="672" spans="1:11" ht="18" x14ac:dyDescent="0.4">
      <c r="A672" s="93" t="s">
        <v>475</v>
      </c>
      <c r="B672" s="16" t="s">
        <v>644</v>
      </c>
      <c r="C672" s="8">
        <v>68265</v>
      </c>
      <c r="D672" s="9">
        <v>467761980</v>
      </c>
      <c r="E672" s="57">
        <v>96</v>
      </c>
      <c r="F672" s="10" t="s">
        <v>652</v>
      </c>
      <c r="G672" s="94">
        <v>9600</v>
      </c>
      <c r="H672" s="70">
        <f t="shared" si="49"/>
        <v>100</v>
      </c>
      <c r="I672" s="11">
        <f t="shared" ca="1" si="50"/>
        <v>46119</v>
      </c>
      <c r="J672" s="11">
        <f t="shared" ca="1" si="51"/>
        <v>46118</v>
      </c>
      <c r="K672" s="13"/>
    </row>
    <row r="673" spans="1:11" ht="18" x14ac:dyDescent="0.4">
      <c r="A673" s="93" t="s">
        <v>475</v>
      </c>
      <c r="B673" s="16" t="s">
        <v>644</v>
      </c>
      <c r="C673" s="8">
        <v>68265</v>
      </c>
      <c r="D673" s="9">
        <v>467984770</v>
      </c>
      <c r="E673" s="57">
        <v>216</v>
      </c>
      <c r="F673" s="10" t="s">
        <v>653</v>
      </c>
      <c r="G673" s="94">
        <v>0</v>
      </c>
      <c r="H673" s="70">
        <f t="shared" si="49"/>
        <v>0</v>
      </c>
      <c r="I673" s="11">
        <f t="shared" ca="1" si="50"/>
        <v>46119</v>
      </c>
      <c r="J673" s="11">
        <f t="shared" ca="1" si="51"/>
        <v>46118</v>
      </c>
      <c r="K673" s="13"/>
    </row>
    <row r="674" spans="1:11" ht="18" x14ac:dyDescent="0.4">
      <c r="A674" s="93" t="s">
        <v>475</v>
      </c>
      <c r="B674" s="16" t="s">
        <v>644</v>
      </c>
      <c r="C674" s="8">
        <v>68265</v>
      </c>
      <c r="D674" s="9">
        <v>552180370</v>
      </c>
      <c r="E674" s="57">
        <v>390</v>
      </c>
      <c r="F674" s="10" t="s">
        <v>654</v>
      </c>
      <c r="G674" s="94">
        <v>3900</v>
      </c>
      <c r="H674" s="70">
        <f t="shared" si="49"/>
        <v>10</v>
      </c>
      <c r="I674" s="11">
        <f t="shared" ca="1" si="50"/>
        <v>46119</v>
      </c>
      <c r="J674" s="11">
        <f t="shared" ca="1" si="51"/>
        <v>46118</v>
      </c>
      <c r="K674" s="13"/>
    </row>
    <row r="675" spans="1:11" ht="18" x14ac:dyDescent="0.4">
      <c r="A675" s="93" t="s">
        <v>475</v>
      </c>
      <c r="B675" s="16" t="s">
        <v>644</v>
      </c>
      <c r="C675" s="8">
        <v>68265</v>
      </c>
      <c r="D675" s="9">
        <v>463559990</v>
      </c>
      <c r="E675" s="57">
        <v>102</v>
      </c>
      <c r="F675" s="10" t="s">
        <v>655</v>
      </c>
      <c r="G675" s="94">
        <v>5100</v>
      </c>
      <c r="H675" s="70">
        <f t="shared" si="49"/>
        <v>50</v>
      </c>
      <c r="I675" s="11">
        <f t="shared" ca="1" si="50"/>
        <v>46119</v>
      </c>
      <c r="J675" s="11">
        <f t="shared" ca="1" si="51"/>
        <v>46118</v>
      </c>
      <c r="K675" s="13"/>
    </row>
    <row r="676" spans="1:11" ht="18" x14ac:dyDescent="0.4">
      <c r="A676" s="93" t="s">
        <v>475</v>
      </c>
      <c r="B676" s="16" t="s">
        <v>656</v>
      </c>
      <c r="C676" s="8">
        <v>70930</v>
      </c>
      <c r="D676" s="9">
        <v>75095320</v>
      </c>
      <c r="E676" s="57">
        <v>600</v>
      </c>
      <c r="F676" s="10" t="s">
        <v>657</v>
      </c>
      <c r="G676" s="94">
        <v>0</v>
      </c>
      <c r="H676" s="70">
        <f t="shared" si="49"/>
        <v>0</v>
      </c>
      <c r="I676" s="11">
        <f t="shared" ca="1" si="50"/>
        <v>46119</v>
      </c>
      <c r="J676" s="11">
        <f t="shared" ca="1" si="51"/>
        <v>46118</v>
      </c>
      <c r="K676" s="13"/>
    </row>
    <row r="677" spans="1:11" ht="18" x14ac:dyDescent="0.4">
      <c r="A677" s="93" t="s">
        <v>475</v>
      </c>
      <c r="B677" s="16" t="s">
        <v>656</v>
      </c>
      <c r="C677" s="8">
        <v>70930</v>
      </c>
      <c r="D677" s="9">
        <v>75095330</v>
      </c>
      <c r="E677" s="57">
        <v>840</v>
      </c>
      <c r="F677" s="10" t="s">
        <v>658</v>
      </c>
      <c r="G677" s="94">
        <v>0</v>
      </c>
      <c r="H677" s="70">
        <f t="shared" si="49"/>
        <v>0</v>
      </c>
      <c r="I677" s="11">
        <f t="shared" ca="1" si="50"/>
        <v>46119</v>
      </c>
      <c r="J677" s="11">
        <f t="shared" ca="1" si="51"/>
        <v>46118</v>
      </c>
      <c r="K677" s="13"/>
    </row>
    <row r="678" spans="1:11" ht="18" x14ac:dyDescent="0.4">
      <c r="A678" s="93" t="s">
        <v>475</v>
      </c>
      <c r="B678" s="16" t="s">
        <v>656</v>
      </c>
      <c r="C678" s="8">
        <v>70930</v>
      </c>
      <c r="D678" s="9">
        <v>464752630</v>
      </c>
      <c r="E678" s="57">
        <v>3456</v>
      </c>
      <c r="F678" s="10" t="s">
        <v>659</v>
      </c>
      <c r="G678" s="94">
        <v>0</v>
      </c>
      <c r="H678" s="70">
        <f t="shared" si="49"/>
        <v>0</v>
      </c>
      <c r="I678" s="11">
        <f t="shared" ca="1" si="50"/>
        <v>46119</v>
      </c>
      <c r="J678" s="11">
        <f t="shared" ca="1" si="51"/>
        <v>46118</v>
      </c>
      <c r="K678" s="13"/>
    </row>
    <row r="679" spans="1:11" ht="18" x14ac:dyDescent="0.4">
      <c r="A679" s="93" t="s">
        <v>475</v>
      </c>
      <c r="B679" s="16" t="s">
        <v>656</v>
      </c>
      <c r="C679" s="8">
        <v>70930</v>
      </c>
      <c r="D679" s="9">
        <v>464133490</v>
      </c>
      <c r="E679" s="57">
        <v>1152</v>
      </c>
      <c r="F679" s="10" t="s">
        <v>660</v>
      </c>
      <c r="G679" s="94">
        <v>0</v>
      </c>
      <c r="H679" s="70">
        <f t="shared" si="49"/>
        <v>0</v>
      </c>
      <c r="I679" s="11">
        <f t="shared" ca="1" si="50"/>
        <v>46119</v>
      </c>
      <c r="J679" s="11">
        <f t="shared" ca="1" si="51"/>
        <v>46118</v>
      </c>
      <c r="K679" s="13"/>
    </row>
    <row r="680" spans="1:11" ht="18" x14ac:dyDescent="0.4">
      <c r="A680" s="93" t="s">
        <v>475</v>
      </c>
      <c r="B680" s="7" t="s">
        <v>656</v>
      </c>
      <c r="C680" s="8">
        <v>70930</v>
      </c>
      <c r="D680" s="9">
        <v>552261480</v>
      </c>
      <c r="E680" s="57">
        <v>1426</v>
      </c>
      <c r="F680" s="10" t="s">
        <v>661</v>
      </c>
      <c r="G680" s="94">
        <v>0</v>
      </c>
      <c r="H680" s="70">
        <f t="shared" si="49"/>
        <v>0</v>
      </c>
      <c r="I680" s="11">
        <f ca="1">I677</f>
        <v>46119</v>
      </c>
      <c r="J680" s="11">
        <f t="shared" ca="1" si="51"/>
        <v>46118</v>
      </c>
      <c r="K680" s="13"/>
    </row>
    <row r="681" spans="1:11" ht="18" x14ac:dyDescent="0.4">
      <c r="A681" s="93" t="s">
        <v>475</v>
      </c>
      <c r="B681" s="7" t="s">
        <v>656</v>
      </c>
      <c r="C681" s="8">
        <v>70930</v>
      </c>
      <c r="D681" s="9">
        <v>552261490</v>
      </c>
      <c r="E681" s="57">
        <v>1200</v>
      </c>
      <c r="F681" s="10" t="s">
        <v>662</v>
      </c>
      <c r="G681" s="94">
        <v>0</v>
      </c>
      <c r="H681" s="70">
        <f t="shared" si="49"/>
        <v>0</v>
      </c>
      <c r="I681" s="11">
        <f t="shared" ca="1" si="50"/>
        <v>46119</v>
      </c>
      <c r="J681" s="11">
        <f t="shared" ca="1" si="51"/>
        <v>46118</v>
      </c>
      <c r="K681" s="13"/>
    </row>
    <row r="682" spans="1:11" ht="18" x14ac:dyDescent="0.4">
      <c r="A682" s="93" t="s">
        <v>475</v>
      </c>
      <c r="B682" s="7" t="s">
        <v>663</v>
      </c>
      <c r="C682" s="8">
        <v>14872</v>
      </c>
      <c r="D682" s="9">
        <v>77131980</v>
      </c>
      <c r="E682" s="57">
        <v>1000</v>
      </c>
      <c r="F682" s="10" t="s">
        <v>664</v>
      </c>
      <c r="G682" s="94">
        <v>0</v>
      </c>
      <c r="H682" s="70">
        <f t="shared" si="49"/>
        <v>0</v>
      </c>
      <c r="I682" s="11">
        <f t="shared" ca="1" si="50"/>
        <v>46119</v>
      </c>
      <c r="J682" s="11">
        <f t="shared" ca="1" si="51"/>
        <v>46118</v>
      </c>
      <c r="K682" s="13"/>
    </row>
    <row r="683" spans="1:11" ht="18" x14ac:dyDescent="0.4">
      <c r="A683" s="93" t="s">
        <v>475</v>
      </c>
      <c r="B683" s="7" t="s">
        <v>663</v>
      </c>
      <c r="C683" s="8">
        <v>14872</v>
      </c>
      <c r="D683" s="9">
        <v>552759150</v>
      </c>
      <c r="E683" s="57">
        <v>1000</v>
      </c>
      <c r="F683" s="10" t="s">
        <v>664</v>
      </c>
      <c r="G683" s="94">
        <v>0</v>
      </c>
      <c r="H683" s="70">
        <f t="shared" si="49"/>
        <v>0</v>
      </c>
      <c r="I683" s="11">
        <f t="shared" ca="1" si="50"/>
        <v>46119</v>
      </c>
      <c r="J683" s="11">
        <f t="shared" ca="1" si="51"/>
        <v>46118</v>
      </c>
      <c r="K683" s="13"/>
    </row>
    <row r="684" spans="1:11" ht="18" x14ac:dyDescent="0.4">
      <c r="A684" s="93" t="s">
        <v>475</v>
      </c>
      <c r="B684" s="7" t="s">
        <v>663</v>
      </c>
      <c r="C684" s="8">
        <v>14872</v>
      </c>
      <c r="D684" s="9">
        <v>77289810</v>
      </c>
      <c r="E684" s="57">
        <v>400</v>
      </c>
      <c r="F684" s="10" t="s">
        <v>665</v>
      </c>
      <c r="G684" s="94">
        <v>0</v>
      </c>
      <c r="H684" s="70">
        <f t="shared" ref="H684:H715" si="52">+G684/E684</f>
        <v>0</v>
      </c>
      <c r="I684" s="11">
        <f ca="1">I682</f>
        <v>46119</v>
      </c>
      <c r="J684" s="11">
        <f t="shared" ca="1" si="51"/>
        <v>46118</v>
      </c>
      <c r="K684" s="13"/>
    </row>
    <row r="685" spans="1:11" ht="18" x14ac:dyDescent="0.4">
      <c r="A685" s="93" t="s">
        <v>475</v>
      </c>
      <c r="B685" s="7" t="s">
        <v>663</v>
      </c>
      <c r="C685" s="8">
        <v>14872</v>
      </c>
      <c r="D685" s="9">
        <v>77289820</v>
      </c>
      <c r="E685" s="57">
        <v>400</v>
      </c>
      <c r="F685" s="10" t="s">
        <v>666</v>
      </c>
      <c r="G685" s="94">
        <v>0</v>
      </c>
      <c r="H685" s="70">
        <f t="shared" si="52"/>
        <v>0</v>
      </c>
      <c r="I685" s="11">
        <f t="shared" ca="1" si="50"/>
        <v>46119</v>
      </c>
      <c r="J685" s="11">
        <f t="shared" ca="1" si="51"/>
        <v>46118</v>
      </c>
      <c r="K685" s="13"/>
    </row>
    <row r="686" spans="1:11" ht="18" x14ac:dyDescent="0.4">
      <c r="A686" s="93" t="s">
        <v>475</v>
      </c>
      <c r="B686" s="7" t="s">
        <v>663</v>
      </c>
      <c r="C686" s="8">
        <v>14872</v>
      </c>
      <c r="D686" s="9">
        <v>77289830</v>
      </c>
      <c r="E686" s="57">
        <v>400</v>
      </c>
      <c r="F686" s="10" t="s">
        <v>667</v>
      </c>
      <c r="G686" s="94">
        <v>0</v>
      </c>
      <c r="H686" s="70">
        <f t="shared" si="52"/>
        <v>0</v>
      </c>
      <c r="I686" s="11">
        <f t="shared" ca="1" si="50"/>
        <v>46119</v>
      </c>
      <c r="J686" s="11">
        <f t="shared" ca="1" si="51"/>
        <v>46118</v>
      </c>
      <c r="K686" s="13"/>
    </row>
    <row r="687" spans="1:11" ht="18" x14ac:dyDescent="0.4">
      <c r="A687" s="93" t="s">
        <v>475</v>
      </c>
      <c r="B687" s="7" t="s">
        <v>663</v>
      </c>
      <c r="C687" s="8">
        <v>14872</v>
      </c>
      <c r="D687" s="9">
        <v>77289840</v>
      </c>
      <c r="E687" s="57">
        <v>200</v>
      </c>
      <c r="F687" s="10" t="s">
        <v>668</v>
      </c>
      <c r="G687" s="94">
        <v>0</v>
      </c>
      <c r="H687" s="70">
        <f t="shared" si="52"/>
        <v>0</v>
      </c>
      <c r="I687" s="11">
        <f t="shared" ca="1" si="50"/>
        <v>46119</v>
      </c>
      <c r="J687" s="11">
        <f t="shared" ca="1" si="51"/>
        <v>46118</v>
      </c>
      <c r="K687" s="13"/>
    </row>
    <row r="688" spans="1:11" ht="18" x14ac:dyDescent="0.4">
      <c r="A688" s="93" t="s">
        <v>475</v>
      </c>
      <c r="B688" s="7" t="s">
        <v>663</v>
      </c>
      <c r="C688" s="8">
        <v>14872</v>
      </c>
      <c r="D688" s="9">
        <v>77289850</v>
      </c>
      <c r="E688" s="57">
        <v>200</v>
      </c>
      <c r="F688" s="10" t="s">
        <v>669</v>
      </c>
      <c r="G688" s="94">
        <v>0</v>
      </c>
      <c r="H688" s="70">
        <f t="shared" si="52"/>
        <v>0</v>
      </c>
      <c r="I688" s="11">
        <f t="shared" ca="1" si="50"/>
        <v>46119</v>
      </c>
      <c r="J688" s="11">
        <f t="shared" ca="1" si="51"/>
        <v>46118</v>
      </c>
      <c r="K688" s="13"/>
    </row>
    <row r="689" spans="1:11" ht="18" x14ac:dyDescent="0.4">
      <c r="A689" s="93" t="s">
        <v>475</v>
      </c>
      <c r="B689" s="7" t="s">
        <v>663</v>
      </c>
      <c r="C689" s="8">
        <v>14872</v>
      </c>
      <c r="D689" s="9">
        <v>77289860</v>
      </c>
      <c r="E689" s="57">
        <v>150</v>
      </c>
      <c r="F689" s="10" t="s">
        <v>670</v>
      </c>
      <c r="G689" s="94">
        <v>0</v>
      </c>
      <c r="H689" s="70">
        <f t="shared" si="52"/>
        <v>0</v>
      </c>
      <c r="I689" s="11">
        <f t="shared" ca="1" si="50"/>
        <v>46119</v>
      </c>
      <c r="J689" s="11">
        <f t="shared" ca="1" si="51"/>
        <v>46118</v>
      </c>
      <c r="K689" s="13"/>
    </row>
    <row r="690" spans="1:11" ht="18" x14ac:dyDescent="0.4">
      <c r="A690" s="93" t="s">
        <v>475</v>
      </c>
      <c r="B690" s="7" t="s">
        <v>663</v>
      </c>
      <c r="C690" s="8">
        <v>14872</v>
      </c>
      <c r="D690" s="9">
        <v>77289870</v>
      </c>
      <c r="E690" s="57">
        <v>400</v>
      </c>
      <c r="F690" s="10" t="s">
        <v>671</v>
      </c>
      <c r="G690" s="94">
        <v>0</v>
      </c>
      <c r="H690" s="70">
        <f t="shared" si="52"/>
        <v>0</v>
      </c>
      <c r="I690" s="11">
        <f t="shared" ca="1" si="50"/>
        <v>46119</v>
      </c>
      <c r="J690" s="11">
        <f t="shared" ca="1" si="51"/>
        <v>46118</v>
      </c>
      <c r="K690" s="13"/>
    </row>
    <row r="691" spans="1:11" ht="18" x14ac:dyDescent="0.4">
      <c r="A691" s="93" t="s">
        <v>475</v>
      </c>
      <c r="B691" s="7" t="s">
        <v>663</v>
      </c>
      <c r="C691" s="8">
        <v>14872</v>
      </c>
      <c r="D691" s="9">
        <v>77894040</v>
      </c>
      <c r="E691" s="57">
        <v>200</v>
      </c>
      <c r="F691" s="10" t="s">
        <v>672</v>
      </c>
      <c r="G691" s="94">
        <v>0</v>
      </c>
      <c r="H691" s="70">
        <f t="shared" si="52"/>
        <v>0</v>
      </c>
      <c r="I691" s="11">
        <f t="shared" ca="1" si="50"/>
        <v>46119</v>
      </c>
      <c r="J691" s="11">
        <f t="shared" ca="1" si="51"/>
        <v>46118</v>
      </c>
      <c r="K691" s="13"/>
    </row>
    <row r="692" spans="1:11" ht="18" x14ac:dyDescent="0.4">
      <c r="A692" s="93" t="s">
        <v>475</v>
      </c>
      <c r="B692" s="7" t="s">
        <v>663</v>
      </c>
      <c r="C692" s="8">
        <v>14872</v>
      </c>
      <c r="D692" s="9">
        <v>77894530</v>
      </c>
      <c r="E692" s="57">
        <v>400</v>
      </c>
      <c r="F692" s="10" t="s">
        <v>673</v>
      </c>
      <c r="G692" s="94">
        <v>0</v>
      </c>
      <c r="H692" s="70">
        <f t="shared" si="52"/>
        <v>0</v>
      </c>
      <c r="I692" s="11">
        <f t="shared" ca="1" si="50"/>
        <v>46119</v>
      </c>
      <c r="J692" s="11">
        <f t="shared" ca="1" si="51"/>
        <v>46118</v>
      </c>
      <c r="K692" s="13"/>
    </row>
    <row r="693" spans="1:11" ht="18" x14ac:dyDescent="0.4">
      <c r="A693" s="93" t="s">
        <v>475</v>
      </c>
      <c r="B693" s="7" t="s">
        <v>663</v>
      </c>
      <c r="C693" s="8">
        <v>14872</v>
      </c>
      <c r="D693" s="9">
        <v>77894540</v>
      </c>
      <c r="E693" s="57">
        <v>480</v>
      </c>
      <c r="F693" s="10" t="s">
        <v>674</v>
      </c>
      <c r="G693" s="94">
        <v>0</v>
      </c>
      <c r="H693" s="70">
        <f t="shared" si="52"/>
        <v>0</v>
      </c>
      <c r="I693" s="11">
        <f t="shared" ca="1" si="50"/>
        <v>46119</v>
      </c>
      <c r="J693" s="11">
        <f t="shared" ca="1" si="51"/>
        <v>46118</v>
      </c>
      <c r="K693" s="13"/>
    </row>
    <row r="694" spans="1:11" ht="18" x14ac:dyDescent="0.4">
      <c r="A694" s="93" t="s">
        <v>475</v>
      </c>
      <c r="B694" s="7" t="s">
        <v>663</v>
      </c>
      <c r="C694" s="8">
        <v>14872</v>
      </c>
      <c r="D694" s="9">
        <v>77894550</v>
      </c>
      <c r="E694" s="57">
        <v>400</v>
      </c>
      <c r="F694" s="10" t="s">
        <v>675</v>
      </c>
      <c r="G694" s="94">
        <v>0</v>
      </c>
      <c r="H694" s="70">
        <f t="shared" si="52"/>
        <v>0</v>
      </c>
      <c r="I694" s="11">
        <f t="shared" ca="1" si="50"/>
        <v>46119</v>
      </c>
      <c r="J694" s="11">
        <f t="shared" ca="1" si="51"/>
        <v>46118</v>
      </c>
      <c r="K694" s="13"/>
    </row>
    <row r="695" spans="1:11" ht="18" x14ac:dyDescent="0.4">
      <c r="A695" s="93" t="s">
        <v>475</v>
      </c>
      <c r="B695" s="7" t="s">
        <v>663</v>
      </c>
      <c r="C695" s="8">
        <v>14872</v>
      </c>
      <c r="D695" s="9">
        <v>77894560</v>
      </c>
      <c r="E695" s="57">
        <v>400</v>
      </c>
      <c r="F695" s="10" t="s">
        <v>676</v>
      </c>
      <c r="G695" s="94">
        <v>0</v>
      </c>
      <c r="H695" s="70">
        <f t="shared" si="52"/>
        <v>0</v>
      </c>
      <c r="I695" s="11">
        <f t="shared" ca="1" si="50"/>
        <v>46119</v>
      </c>
      <c r="J695" s="11">
        <f t="shared" ca="1" si="51"/>
        <v>46118</v>
      </c>
      <c r="K695" s="13"/>
    </row>
    <row r="696" spans="1:11" ht="18" x14ac:dyDescent="0.4">
      <c r="A696" s="93" t="s">
        <v>475</v>
      </c>
      <c r="B696" s="7" t="s">
        <v>663</v>
      </c>
      <c r="C696" s="8">
        <v>14872</v>
      </c>
      <c r="D696" s="9">
        <v>77894570</v>
      </c>
      <c r="E696" s="57">
        <v>400</v>
      </c>
      <c r="F696" s="10" t="s">
        <v>677</v>
      </c>
      <c r="G696" s="94">
        <v>0</v>
      </c>
      <c r="H696" s="70">
        <f t="shared" si="52"/>
        <v>0</v>
      </c>
      <c r="I696" s="11">
        <f t="shared" ca="1" si="50"/>
        <v>46119</v>
      </c>
      <c r="J696" s="11">
        <f t="shared" ca="1" si="51"/>
        <v>46118</v>
      </c>
      <c r="K696" s="13"/>
    </row>
    <row r="697" spans="1:11" ht="18" x14ac:dyDescent="0.4">
      <c r="A697" s="93" t="s">
        <v>475</v>
      </c>
      <c r="B697" s="7" t="s">
        <v>663</v>
      </c>
      <c r="C697" s="8">
        <v>14872</v>
      </c>
      <c r="D697" s="9">
        <v>102980600</v>
      </c>
      <c r="E697" s="57">
        <v>2000</v>
      </c>
      <c r="F697" s="10" t="s">
        <v>678</v>
      </c>
      <c r="G697" s="94">
        <v>0</v>
      </c>
      <c r="H697" s="70">
        <f t="shared" si="52"/>
        <v>0</v>
      </c>
      <c r="I697" s="11">
        <f t="shared" ca="1" si="50"/>
        <v>46119</v>
      </c>
      <c r="J697" s="11">
        <f t="shared" ca="1" si="51"/>
        <v>46118</v>
      </c>
      <c r="K697" s="13"/>
    </row>
    <row r="698" spans="1:11" ht="18" x14ac:dyDescent="0.4">
      <c r="A698" s="93" t="s">
        <v>475</v>
      </c>
      <c r="B698" s="16" t="s">
        <v>663</v>
      </c>
      <c r="C698" s="8">
        <v>14872</v>
      </c>
      <c r="D698" s="9">
        <v>126444210</v>
      </c>
      <c r="E698" s="57">
        <v>450</v>
      </c>
      <c r="F698" s="10" t="s">
        <v>679</v>
      </c>
      <c r="G698" s="94">
        <v>0</v>
      </c>
      <c r="H698" s="70">
        <f t="shared" si="52"/>
        <v>0</v>
      </c>
      <c r="I698" s="11">
        <f t="shared" ca="1" si="50"/>
        <v>46119</v>
      </c>
      <c r="J698" s="11">
        <f t="shared" ca="1" si="51"/>
        <v>46118</v>
      </c>
      <c r="K698" s="13"/>
    </row>
    <row r="699" spans="1:11" ht="18" x14ac:dyDescent="0.4">
      <c r="A699" s="93" t="s">
        <v>475</v>
      </c>
      <c r="B699" s="16" t="s">
        <v>663</v>
      </c>
      <c r="C699" s="8">
        <v>14872</v>
      </c>
      <c r="D699" s="9">
        <v>552738480</v>
      </c>
      <c r="E699" s="57">
        <v>300</v>
      </c>
      <c r="F699" s="10" t="s">
        <v>680</v>
      </c>
      <c r="G699" s="94">
        <v>0</v>
      </c>
      <c r="H699" s="70">
        <f t="shared" si="52"/>
        <v>0</v>
      </c>
      <c r="I699" s="11">
        <f t="shared" ca="1" si="50"/>
        <v>46119</v>
      </c>
      <c r="J699" s="11">
        <f t="shared" ca="1" si="51"/>
        <v>46118</v>
      </c>
      <c r="K699" s="13"/>
    </row>
    <row r="700" spans="1:11" ht="18" x14ac:dyDescent="0.4">
      <c r="A700" s="102" t="s">
        <v>475</v>
      </c>
      <c r="B700" s="103" t="s">
        <v>681</v>
      </c>
      <c r="C700" s="102">
        <v>61950</v>
      </c>
      <c r="D700" s="104">
        <v>551942240</v>
      </c>
      <c r="E700" s="102">
        <v>100</v>
      </c>
      <c r="F700" s="105" t="s">
        <v>682</v>
      </c>
      <c r="G700" s="94">
        <v>0</v>
      </c>
      <c r="H700" s="70">
        <f t="shared" si="52"/>
        <v>0</v>
      </c>
      <c r="I700" s="11">
        <f t="shared" ca="1" si="50"/>
        <v>46119</v>
      </c>
      <c r="J700" s="11">
        <f t="shared" ca="1" si="51"/>
        <v>46118</v>
      </c>
      <c r="K700" s="13"/>
    </row>
    <row r="701" spans="1:11" ht="18" x14ac:dyDescent="0.4">
      <c r="A701" s="102" t="s">
        <v>475</v>
      </c>
      <c r="B701" s="103" t="s">
        <v>681</v>
      </c>
      <c r="C701" s="102">
        <v>61950</v>
      </c>
      <c r="D701" s="104">
        <v>552110600</v>
      </c>
      <c r="E701" s="102">
        <v>100</v>
      </c>
      <c r="F701" s="105" t="s">
        <v>682</v>
      </c>
      <c r="G701" s="94">
        <v>0</v>
      </c>
      <c r="H701" s="70">
        <f t="shared" si="52"/>
        <v>0</v>
      </c>
      <c r="I701" s="11">
        <f t="shared" ca="1" si="50"/>
        <v>46119</v>
      </c>
      <c r="J701" s="11">
        <f t="shared" ca="1" si="51"/>
        <v>46118</v>
      </c>
      <c r="K701" s="13"/>
    </row>
    <row r="702" spans="1:11" ht="18" x14ac:dyDescent="0.4">
      <c r="A702" s="102" t="s">
        <v>475</v>
      </c>
      <c r="B702" s="103" t="s">
        <v>683</v>
      </c>
      <c r="C702" s="102">
        <v>43317</v>
      </c>
      <c r="D702" s="104">
        <v>76047570</v>
      </c>
      <c r="E702" s="102">
        <v>684</v>
      </c>
      <c r="F702" s="105" t="s">
        <v>612</v>
      </c>
      <c r="G702" s="94">
        <v>0</v>
      </c>
      <c r="H702" s="70">
        <f t="shared" si="52"/>
        <v>0</v>
      </c>
      <c r="I702" s="11">
        <f t="shared" ca="1" si="50"/>
        <v>46119</v>
      </c>
      <c r="J702" s="11">
        <f t="shared" ca="1" si="51"/>
        <v>46118</v>
      </c>
      <c r="K702" s="13"/>
    </row>
    <row r="703" spans="1:11" ht="18" x14ac:dyDescent="0.4">
      <c r="A703" s="102" t="s">
        <v>475</v>
      </c>
      <c r="B703" s="102" t="s">
        <v>684</v>
      </c>
      <c r="C703" s="102">
        <v>41341</v>
      </c>
      <c r="D703" s="104">
        <v>75530320</v>
      </c>
      <c r="E703" s="102">
        <v>2500</v>
      </c>
      <c r="F703" s="105" t="s">
        <v>685</v>
      </c>
      <c r="G703" s="94">
        <v>0</v>
      </c>
      <c r="H703" s="70">
        <f t="shared" si="52"/>
        <v>0</v>
      </c>
      <c r="I703" s="11">
        <f t="shared" ref="I703:I715" ca="1" si="53">I702</f>
        <v>46119</v>
      </c>
      <c r="J703" s="11">
        <f t="shared" ca="1" si="51"/>
        <v>46118</v>
      </c>
      <c r="K703" s="13"/>
    </row>
    <row r="704" spans="1:11" ht="18" x14ac:dyDescent="0.4">
      <c r="A704" s="102" t="s">
        <v>475</v>
      </c>
      <c r="B704" s="102" t="s">
        <v>684</v>
      </c>
      <c r="C704" s="102">
        <v>41341</v>
      </c>
      <c r="D704" s="104">
        <v>464384590</v>
      </c>
      <c r="E704" s="102">
        <v>1200</v>
      </c>
      <c r="F704" s="105" t="s">
        <v>686</v>
      </c>
      <c r="G704" s="94">
        <v>0</v>
      </c>
      <c r="H704" s="70">
        <f t="shared" si="52"/>
        <v>0</v>
      </c>
      <c r="I704" s="11">
        <f t="shared" ca="1" si="53"/>
        <v>46119</v>
      </c>
      <c r="J704" s="11">
        <f t="shared" ref="J704:J715" ca="1" si="54">TODAY()</f>
        <v>46118</v>
      </c>
      <c r="K704" s="8"/>
    </row>
    <row r="705" spans="1:11" ht="18" x14ac:dyDescent="0.4">
      <c r="A705" s="102" t="s">
        <v>475</v>
      </c>
      <c r="B705" s="102" t="s">
        <v>684</v>
      </c>
      <c r="C705" s="102">
        <v>41341</v>
      </c>
      <c r="D705" s="104">
        <v>552153790</v>
      </c>
      <c r="E705" s="102">
        <v>150</v>
      </c>
      <c r="F705" s="105" t="s">
        <v>687</v>
      </c>
      <c r="G705" s="94">
        <v>0</v>
      </c>
      <c r="H705" s="70">
        <f t="shared" si="52"/>
        <v>0</v>
      </c>
      <c r="I705" s="36">
        <f t="shared" ca="1" si="53"/>
        <v>46119</v>
      </c>
      <c r="J705" s="36">
        <f t="shared" ca="1" si="54"/>
        <v>46118</v>
      </c>
      <c r="K705" s="8"/>
    </row>
    <row r="706" spans="1:11" ht="18" x14ac:dyDescent="0.4">
      <c r="A706" s="27" t="s">
        <v>475</v>
      </c>
      <c r="B706" s="28" t="s">
        <v>200</v>
      </c>
      <c r="C706" s="28">
        <v>1073</v>
      </c>
      <c r="D706" s="29">
        <v>552795241</v>
      </c>
      <c r="E706" s="68">
        <v>28</v>
      </c>
      <c r="F706" s="30" t="s">
        <v>688</v>
      </c>
      <c r="G706" s="9">
        <v>0</v>
      </c>
      <c r="H706" s="70">
        <f t="shared" si="52"/>
        <v>0</v>
      </c>
      <c r="I706" s="11">
        <f t="shared" ca="1" si="53"/>
        <v>46119</v>
      </c>
      <c r="J706" s="11">
        <f t="shared" ca="1" si="54"/>
        <v>46118</v>
      </c>
      <c r="K706" s="31"/>
    </row>
    <row r="707" spans="1:11" ht="18" x14ac:dyDescent="0.4">
      <c r="A707" s="7" t="s">
        <v>475</v>
      </c>
      <c r="B707" s="7" t="s">
        <v>200</v>
      </c>
      <c r="C707" s="7">
        <v>1073</v>
      </c>
      <c r="D707" s="9">
        <v>552649671</v>
      </c>
      <c r="E707" s="57">
        <v>48</v>
      </c>
      <c r="F707" s="19" t="s">
        <v>689</v>
      </c>
      <c r="G707" s="9">
        <v>0</v>
      </c>
      <c r="H707" s="70">
        <f t="shared" si="52"/>
        <v>0</v>
      </c>
      <c r="I707" s="11">
        <f t="shared" ca="1" si="53"/>
        <v>46119</v>
      </c>
      <c r="J707" s="11">
        <f t="shared" ca="1" si="54"/>
        <v>46118</v>
      </c>
      <c r="K707" s="13"/>
    </row>
    <row r="708" spans="1:11" ht="18" x14ac:dyDescent="0.4">
      <c r="A708" s="7" t="s">
        <v>475</v>
      </c>
      <c r="B708" s="7" t="s">
        <v>200</v>
      </c>
      <c r="C708" s="7">
        <v>1073</v>
      </c>
      <c r="D708" s="9">
        <v>463516451</v>
      </c>
      <c r="E708" s="57">
        <v>28</v>
      </c>
      <c r="F708" s="96" t="s">
        <v>690</v>
      </c>
      <c r="G708" s="9">
        <v>168</v>
      </c>
      <c r="H708" s="70">
        <f t="shared" si="52"/>
        <v>6</v>
      </c>
      <c r="I708" s="11">
        <f t="shared" ca="1" si="53"/>
        <v>46119</v>
      </c>
      <c r="J708" s="11">
        <f t="shared" ca="1" si="54"/>
        <v>46118</v>
      </c>
      <c r="K708" s="13"/>
    </row>
    <row r="709" spans="1:11" ht="18" x14ac:dyDescent="0.4">
      <c r="A709" s="7" t="s">
        <v>475</v>
      </c>
      <c r="B709" s="7" t="s">
        <v>200</v>
      </c>
      <c r="C709" s="7">
        <v>1073</v>
      </c>
      <c r="D709" s="9">
        <v>552649651</v>
      </c>
      <c r="E709" s="57">
        <v>24</v>
      </c>
      <c r="F709" s="19" t="s">
        <v>691</v>
      </c>
      <c r="G709" s="9">
        <v>0</v>
      </c>
      <c r="H709" s="70">
        <f t="shared" si="52"/>
        <v>0</v>
      </c>
      <c r="I709" s="11">
        <f t="shared" ca="1" si="53"/>
        <v>46119</v>
      </c>
      <c r="J709" s="11">
        <f t="shared" ca="1" si="54"/>
        <v>46118</v>
      </c>
      <c r="K709" s="8"/>
    </row>
    <row r="710" spans="1:11" ht="18" x14ac:dyDescent="0.4">
      <c r="A710" s="7" t="s">
        <v>475</v>
      </c>
      <c r="B710" s="7" t="s">
        <v>200</v>
      </c>
      <c r="C710" s="7">
        <v>1073</v>
      </c>
      <c r="D710" s="9">
        <v>463471951</v>
      </c>
      <c r="E710" s="57">
        <v>48</v>
      </c>
      <c r="F710" s="19" t="s">
        <v>692</v>
      </c>
      <c r="G710" s="9">
        <v>0</v>
      </c>
      <c r="H710" s="70">
        <f t="shared" si="52"/>
        <v>0</v>
      </c>
      <c r="I710" s="11">
        <f t="shared" ca="1" si="53"/>
        <v>46119</v>
      </c>
      <c r="J710" s="11">
        <f t="shared" ca="1" si="54"/>
        <v>46118</v>
      </c>
      <c r="K710" s="8"/>
    </row>
    <row r="711" spans="1:11" ht="18" x14ac:dyDescent="0.4">
      <c r="A711" s="7" t="s">
        <v>475</v>
      </c>
      <c r="B711" s="7" t="s">
        <v>452</v>
      </c>
      <c r="C711" s="7">
        <v>56589</v>
      </c>
      <c r="D711" s="9">
        <v>976510460</v>
      </c>
      <c r="E711" s="57">
        <v>30</v>
      </c>
      <c r="F711" s="19" t="s">
        <v>693</v>
      </c>
      <c r="G711" s="9">
        <v>0</v>
      </c>
      <c r="H711" s="70">
        <f t="shared" si="52"/>
        <v>0</v>
      </c>
      <c r="I711" s="11">
        <f t="shared" ca="1" si="53"/>
        <v>46119</v>
      </c>
      <c r="J711" s="11">
        <f t="shared" ca="1" si="54"/>
        <v>46118</v>
      </c>
      <c r="K711" s="8"/>
    </row>
    <row r="712" spans="1:11" ht="18" x14ac:dyDescent="0.4">
      <c r="A712" s="7" t="s">
        <v>475</v>
      </c>
      <c r="B712" s="7" t="s">
        <v>452</v>
      </c>
      <c r="C712" s="7">
        <v>56589</v>
      </c>
      <c r="D712" s="9">
        <v>976510450</v>
      </c>
      <c r="E712" s="57">
        <v>50</v>
      </c>
      <c r="F712" s="19" t="s">
        <v>694</v>
      </c>
      <c r="G712" s="9">
        <v>0</v>
      </c>
      <c r="H712" s="70">
        <f t="shared" si="52"/>
        <v>0</v>
      </c>
      <c r="I712" s="11">
        <f t="shared" ca="1" si="53"/>
        <v>46119</v>
      </c>
      <c r="J712" s="11">
        <f t="shared" ca="1" si="54"/>
        <v>46118</v>
      </c>
      <c r="K712" s="8"/>
    </row>
    <row r="713" spans="1:11" ht="18" x14ac:dyDescent="0.4">
      <c r="A713" s="7" t="s">
        <v>475</v>
      </c>
      <c r="B713" s="7" t="s">
        <v>452</v>
      </c>
      <c r="C713" s="7">
        <v>56589</v>
      </c>
      <c r="D713" s="9">
        <v>463528128</v>
      </c>
      <c r="E713" s="57">
        <v>50</v>
      </c>
      <c r="F713" s="96" t="s">
        <v>695</v>
      </c>
      <c r="G713" s="9">
        <v>1800</v>
      </c>
      <c r="H713" s="70">
        <f t="shared" si="52"/>
        <v>36</v>
      </c>
      <c r="I713" s="11">
        <f t="shared" ca="1" si="53"/>
        <v>46119</v>
      </c>
      <c r="J713" s="11">
        <f t="shared" ca="1" si="54"/>
        <v>46118</v>
      </c>
      <c r="K713" s="8"/>
    </row>
    <row r="714" spans="1:11" ht="18" x14ac:dyDescent="0.4">
      <c r="A714" s="7" t="s">
        <v>475</v>
      </c>
      <c r="B714" s="7" t="s">
        <v>452</v>
      </c>
      <c r="C714" s="7">
        <v>56589</v>
      </c>
      <c r="D714" s="9">
        <v>552553318</v>
      </c>
      <c r="E714" s="57">
        <v>30</v>
      </c>
      <c r="F714" s="19" t="s">
        <v>688</v>
      </c>
      <c r="G714" s="9">
        <v>0</v>
      </c>
      <c r="H714" s="70">
        <f t="shared" si="52"/>
        <v>0</v>
      </c>
      <c r="I714" s="11">
        <f t="shared" ca="1" si="53"/>
        <v>46119</v>
      </c>
      <c r="J714" s="11">
        <f t="shared" ca="1" si="54"/>
        <v>46118</v>
      </c>
      <c r="K714" s="8"/>
    </row>
    <row r="715" spans="1:11" ht="18" x14ac:dyDescent="0.4">
      <c r="A715" s="7" t="s">
        <v>475</v>
      </c>
      <c r="B715" s="7" t="s">
        <v>452</v>
      </c>
      <c r="C715" s="7">
        <v>56589</v>
      </c>
      <c r="D715" s="9">
        <v>463530718</v>
      </c>
      <c r="E715" s="57">
        <v>30</v>
      </c>
      <c r="F715" s="96" t="s">
        <v>696</v>
      </c>
      <c r="G715" s="9">
        <v>1800</v>
      </c>
      <c r="H715" s="70">
        <f t="shared" si="52"/>
        <v>60</v>
      </c>
      <c r="I715" s="11">
        <f t="shared" ca="1" si="53"/>
        <v>46119</v>
      </c>
      <c r="J715" s="11">
        <f t="shared" ca="1" si="54"/>
        <v>46118</v>
      </c>
      <c r="K715" s="8"/>
    </row>
    <row r="716" spans="1:11" ht="18" x14ac:dyDescent="0.4">
      <c r="A716" s="20"/>
      <c r="B716" s="16"/>
      <c r="C716" s="16"/>
      <c r="D716" s="9"/>
      <c r="E716" s="63"/>
      <c r="F716" s="16"/>
      <c r="G716" s="16"/>
      <c r="H716" s="16"/>
      <c r="I716" s="11"/>
      <c r="J716" s="16"/>
      <c r="K716" s="21"/>
    </row>
    <row r="717" spans="1:11" ht="18" x14ac:dyDescent="0.4">
      <c r="A717" s="20"/>
      <c r="B717" s="16"/>
      <c r="C717" s="16"/>
      <c r="D717" s="9"/>
      <c r="E717" s="63"/>
      <c r="F717" s="16"/>
      <c r="G717" s="16"/>
      <c r="H717" s="16"/>
      <c r="I717" s="16"/>
      <c r="J717" s="16"/>
      <c r="K717" s="21"/>
    </row>
    <row r="718" spans="1:11" ht="18" x14ac:dyDescent="0.4">
      <c r="A718" s="20"/>
      <c r="B718" s="16"/>
      <c r="C718" s="16"/>
      <c r="D718" s="9"/>
      <c r="E718" s="63"/>
      <c r="F718" s="16"/>
      <c r="G718" s="16"/>
      <c r="H718" s="16"/>
      <c r="I718" s="16"/>
      <c r="J718" s="16"/>
      <c r="K718" s="21"/>
    </row>
    <row r="719" spans="1:11" ht="18" x14ac:dyDescent="0.4">
      <c r="A719" s="20"/>
      <c r="B719" s="16"/>
      <c r="C719" s="16"/>
      <c r="D719" s="9"/>
      <c r="E719" s="63"/>
      <c r="F719" s="16"/>
      <c r="G719" s="16"/>
      <c r="H719" s="16"/>
      <c r="I719" s="16"/>
      <c r="J719" s="16"/>
      <c r="K719" s="21"/>
    </row>
    <row r="720" spans="1:11" ht="18" x14ac:dyDescent="0.4">
      <c r="A720" s="20"/>
      <c r="B720" s="16"/>
      <c r="C720" s="16"/>
      <c r="D720" s="9"/>
      <c r="E720" s="63"/>
      <c r="F720" s="16"/>
      <c r="G720" s="16"/>
      <c r="H720" s="16"/>
      <c r="I720" s="16"/>
      <c r="J720" s="16"/>
      <c r="K720" s="21"/>
    </row>
    <row r="721" spans="1:11" ht="18" x14ac:dyDescent="0.4">
      <c r="A721" s="20"/>
      <c r="B721" s="16"/>
      <c r="C721" s="16"/>
      <c r="D721" s="9"/>
      <c r="E721" s="63"/>
      <c r="F721" s="16"/>
      <c r="G721" s="16"/>
      <c r="H721" s="16"/>
      <c r="I721" s="16"/>
      <c r="J721" s="16"/>
      <c r="K721" s="21"/>
    </row>
    <row r="722" spans="1:11" ht="18" x14ac:dyDescent="0.4">
      <c r="A722" s="20"/>
      <c r="B722" s="16"/>
      <c r="C722" s="16"/>
      <c r="D722" s="9"/>
      <c r="E722" s="63"/>
      <c r="F722" s="16"/>
      <c r="G722" s="16"/>
      <c r="H722" s="16"/>
      <c r="I722" s="16"/>
      <c r="J722" s="16"/>
      <c r="K722" s="21"/>
    </row>
    <row r="723" spans="1:11" ht="18" x14ac:dyDescent="0.4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1" ht="18" x14ac:dyDescent="0.4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1" ht="18" x14ac:dyDescent="0.4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1" ht="18" x14ac:dyDescent="0.4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1" ht="18" x14ac:dyDescent="0.4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1" ht="18" x14ac:dyDescent="0.4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1" ht="18" x14ac:dyDescent="0.4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1" ht="18" x14ac:dyDescent="0.4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1" ht="18" x14ac:dyDescent="0.4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1" ht="18" x14ac:dyDescent="0.4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1" ht="18" x14ac:dyDescent="0.4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1" ht="18" x14ac:dyDescent="0.4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1" ht="18" x14ac:dyDescent="0.4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1" ht="18" x14ac:dyDescent="0.4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 x14ac:dyDescent="0.4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 x14ac:dyDescent="0.4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 x14ac:dyDescent="0.4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 x14ac:dyDescent="0.4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 x14ac:dyDescent="0.4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 x14ac:dyDescent="0.4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 x14ac:dyDescent="0.4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 x14ac:dyDescent="0.4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 x14ac:dyDescent="0.4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 x14ac:dyDescent="0.4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 x14ac:dyDescent="0.4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 x14ac:dyDescent="0.4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 x14ac:dyDescent="0.4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 x14ac:dyDescent="0.4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 x14ac:dyDescent="0.4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 x14ac:dyDescent="0.4">
      <c r="A752" s="20"/>
      <c r="B752" s="16"/>
      <c r="C752" s="16"/>
      <c r="D752" s="7"/>
      <c r="E752" s="63"/>
      <c r="F752" s="16"/>
      <c r="G752" s="16"/>
      <c r="H752" s="16"/>
      <c r="I752" s="16"/>
      <c r="J752" s="16"/>
      <c r="K752" s="21"/>
    </row>
    <row r="753" spans="1:11" ht="18" x14ac:dyDescent="0.4">
      <c r="A753" s="20"/>
      <c r="B753" s="16"/>
      <c r="C753" s="16"/>
      <c r="D753" s="7"/>
      <c r="E753" s="63"/>
      <c r="F753" s="16"/>
      <c r="G753" s="16"/>
      <c r="H753" s="16"/>
      <c r="I753" s="16"/>
      <c r="J753" s="16"/>
      <c r="K753" s="21"/>
    </row>
    <row r="754" spans="1:11" ht="18" x14ac:dyDescent="0.4">
      <c r="A754" s="20"/>
      <c r="B754" s="16"/>
      <c r="C754" s="16"/>
      <c r="D754" s="7"/>
      <c r="E754" s="63"/>
      <c r="F754" s="16"/>
      <c r="G754" s="16"/>
      <c r="H754" s="16"/>
      <c r="I754" s="16"/>
      <c r="J754" s="16"/>
      <c r="K754" s="21"/>
    </row>
    <row r="755" spans="1:11" ht="18" x14ac:dyDescent="0.4">
      <c r="A755" s="20"/>
      <c r="B755" s="16"/>
      <c r="C755" s="16"/>
      <c r="D755" s="7"/>
      <c r="E755" s="63"/>
      <c r="F755" s="16"/>
      <c r="G755" s="16"/>
      <c r="H755" s="16"/>
      <c r="I755" s="16"/>
      <c r="J755" s="16"/>
      <c r="K755" s="21"/>
    </row>
    <row r="756" spans="1:11" ht="18" x14ac:dyDescent="0.4">
      <c r="A756" s="20"/>
      <c r="B756" s="16"/>
      <c r="C756" s="16"/>
      <c r="D756" s="7"/>
      <c r="E756" s="63"/>
      <c r="F756" s="16"/>
      <c r="G756" s="16"/>
      <c r="H756" s="16"/>
      <c r="I756" s="16"/>
      <c r="J756" s="16"/>
      <c r="K756" s="21"/>
    </row>
    <row r="757" spans="1:11" ht="18" x14ac:dyDescent="0.4">
      <c r="A757" s="20"/>
      <c r="B757" s="16"/>
      <c r="C757" s="16"/>
      <c r="D757" s="7"/>
      <c r="E757" s="63"/>
      <c r="F757" s="16"/>
      <c r="G757" s="16"/>
      <c r="H757" s="16"/>
      <c r="I757" s="16"/>
      <c r="J757" s="16"/>
      <c r="K757" s="21"/>
    </row>
    <row r="758" spans="1:11" ht="18" x14ac:dyDescent="0.4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 x14ac:dyDescent="0.4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 x14ac:dyDescent="0.4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 x14ac:dyDescent="0.4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 x14ac:dyDescent="0.4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 x14ac:dyDescent="0.4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 x14ac:dyDescent="0.4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 x14ac:dyDescent="0.4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 x14ac:dyDescent="0.4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 x14ac:dyDescent="0.4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 x14ac:dyDescent="0.4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 x14ac:dyDescent="0.4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 x14ac:dyDescent="0.4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 x14ac:dyDescent="0.4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 x14ac:dyDescent="0.4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 x14ac:dyDescent="0.4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 x14ac:dyDescent="0.4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 x14ac:dyDescent="0.4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 x14ac:dyDescent="0.4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 x14ac:dyDescent="0.4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 x14ac:dyDescent="0.4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 x14ac:dyDescent="0.4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 x14ac:dyDescent="0.4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 x14ac:dyDescent="0.4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 x14ac:dyDescent="0.4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 x14ac:dyDescent="0.4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 x14ac:dyDescent="0.4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 x14ac:dyDescent="0.4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 x14ac:dyDescent="0.4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 x14ac:dyDescent="0.4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 x14ac:dyDescent="0.4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 x14ac:dyDescent="0.4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 x14ac:dyDescent="0.4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 x14ac:dyDescent="0.4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 x14ac:dyDescent="0.4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 x14ac:dyDescent="0.4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 x14ac:dyDescent="0.4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 x14ac:dyDescent="0.4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 x14ac:dyDescent="0.4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 x14ac:dyDescent="0.4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 x14ac:dyDescent="0.4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 x14ac:dyDescent="0.4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 x14ac:dyDescent="0.4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 x14ac:dyDescent="0.4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 x14ac:dyDescent="0.4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 x14ac:dyDescent="0.4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 x14ac:dyDescent="0.4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 x14ac:dyDescent="0.4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 x14ac:dyDescent="0.4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 x14ac:dyDescent="0.4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 x14ac:dyDescent="0.4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 x14ac:dyDescent="0.4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 x14ac:dyDescent="0.4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 x14ac:dyDescent="0.4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 x14ac:dyDescent="0.4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 x14ac:dyDescent="0.4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 x14ac:dyDescent="0.4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 x14ac:dyDescent="0.4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 x14ac:dyDescent="0.4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 x14ac:dyDescent="0.4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 x14ac:dyDescent="0.4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 x14ac:dyDescent="0.4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 x14ac:dyDescent="0.4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 x14ac:dyDescent="0.4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 x14ac:dyDescent="0.4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 x14ac:dyDescent="0.4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 x14ac:dyDescent="0.4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 x14ac:dyDescent="0.4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 x14ac:dyDescent="0.4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 x14ac:dyDescent="0.4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 x14ac:dyDescent="0.4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 x14ac:dyDescent="0.4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 x14ac:dyDescent="0.4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 x14ac:dyDescent="0.4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 x14ac:dyDescent="0.4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 x14ac:dyDescent="0.4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 x14ac:dyDescent="0.4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 x14ac:dyDescent="0.4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 x14ac:dyDescent="0.4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 x14ac:dyDescent="0.4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 x14ac:dyDescent="0.4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 x14ac:dyDescent="0.4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 x14ac:dyDescent="0.4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 x14ac:dyDescent="0.4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 x14ac:dyDescent="0.4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 x14ac:dyDescent="0.4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 x14ac:dyDescent="0.4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 x14ac:dyDescent="0.4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 x14ac:dyDescent="0.4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 x14ac:dyDescent="0.4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 x14ac:dyDescent="0.4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 x14ac:dyDescent="0.4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 x14ac:dyDescent="0.4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 x14ac:dyDescent="0.4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 x14ac:dyDescent="0.4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 x14ac:dyDescent="0.4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 x14ac:dyDescent="0.4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 x14ac:dyDescent="0.4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 x14ac:dyDescent="0.4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 x14ac:dyDescent="0.4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 x14ac:dyDescent="0.4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 x14ac:dyDescent="0.4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 x14ac:dyDescent="0.4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 x14ac:dyDescent="0.4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 x14ac:dyDescent="0.4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 x14ac:dyDescent="0.4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 x14ac:dyDescent="0.4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 x14ac:dyDescent="0.4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 x14ac:dyDescent="0.4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 x14ac:dyDescent="0.4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 x14ac:dyDescent="0.4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 x14ac:dyDescent="0.4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 x14ac:dyDescent="0.4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 x14ac:dyDescent="0.4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 x14ac:dyDescent="0.4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 x14ac:dyDescent="0.4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 x14ac:dyDescent="0.4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 x14ac:dyDescent="0.4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 x14ac:dyDescent="0.4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 x14ac:dyDescent="0.4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 x14ac:dyDescent="0.4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 x14ac:dyDescent="0.4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 x14ac:dyDescent="0.4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 x14ac:dyDescent="0.4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 x14ac:dyDescent="0.4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 x14ac:dyDescent="0.4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 x14ac:dyDescent="0.4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 x14ac:dyDescent="0.4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 x14ac:dyDescent="0.4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 x14ac:dyDescent="0.4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 x14ac:dyDescent="0.4">
      <c r="A888" s="20"/>
      <c r="B888" s="16"/>
      <c r="C888" s="16"/>
      <c r="D888" s="16"/>
      <c r="E888" s="63"/>
      <c r="F888" s="16"/>
      <c r="G888" s="16"/>
      <c r="H888" s="16"/>
      <c r="I888" s="16"/>
      <c r="J888" s="16"/>
      <c r="K888" s="21"/>
    </row>
    <row r="889" spans="1:11" ht="18" x14ac:dyDescent="0.4">
      <c r="A889" s="20"/>
      <c r="B889" s="16"/>
      <c r="C889" s="16"/>
      <c r="D889" s="16"/>
      <c r="E889" s="63"/>
      <c r="F889" s="16"/>
      <c r="G889" s="16"/>
      <c r="H889" s="16"/>
      <c r="I889" s="16"/>
      <c r="J889" s="16"/>
      <c r="K889" s="21"/>
    </row>
    <row r="890" spans="1:11" ht="18" x14ac:dyDescent="0.4">
      <c r="A890" s="20"/>
      <c r="B890" s="16"/>
      <c r="C890" s="16"/>
      <c r="D890" s="16"/>
      <c r="E890" s="63"/>
      <c r="F890" s="16"/>
      <c r="G890" s="16"/>
      <c r="H890" s="16"/>
      <c r="I890" s="16"/>
      <c r="J890" s="16"/>
      <c r="K890" s="21"/>
    </row>
    <row r="891" spans="1:11" ht="18" x14ac:dyDescent="0.4">
      <c r="A891" s="20"/>
      <c r="B891" s="16"/>
      <c r="C891" s="16"/>
      <c r="D891" s="16"/>
      <c r="E891" s="63"/>
      <c r="F891" s="16"/>
      <c r="G891" s="16"/>
      <c r="H891" s="16"/>
      <c r="I891" s="16"/>
      <c r="J891" s="16"/>
      <c r="K891" s="21"/>
    </row>
    <row r="892" spans="1:11" ht="18" x14ac:dyDescent="0.4">
      <c r="A892" s="20"/>
      <c r="B892" s="16"/>
      <c r="C892" s="16"/>
      <c r="D892" s="16"/>
      <c r="E892" s="63"/>
      <c r="F892" s="16"/>
      <c r="G892" s="16"/>
      <c r="H892" s="16"/>
      <c r="I892" s="16"/>
      <c r="J892" s="16"/>
      <c r="K892" s="21"/>
    </row>
    <row r="893" spans="1:11" ht="18" x14ac:dyDescent="0.4">
      <c r="A893" s="20"/>
      <c r="B893" s="16"/>
      <c r="C893" s="16"/>
      <c r="D893" s="16"/>
      <c r="E893" s="63"/>
      <c r="F893" s="16"/>
      <c r="G893" s="16"/>
      <c r="H893" s="16"/>
      <c r="I893" s="16"/>
      <c r="J893" s="16"/>
      <c r="K893" s="21"/>
    </row>
    <row r="894" spans="1:11" ht="18" x14ac:dyDescent="0.4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 x14ac:dyDescent="0.4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 x14ac:dyDescent="0.4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 x14ac:dyDescent="0.4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 x14ac:dyDescent="0.4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 x14ac:dyDescent="0.4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 x14ac:dyDescent="0.4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 x14ac:dyDescent="0.4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 x14ac:dyDescent="0.4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 x14ac:dyDescent="0.4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 x14ac:dyDescent="0.4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 x14ac:dyDescent="0.4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 x14ac:dyDescent="0.4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 x14ac:dyDescent="0.4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 x14ac:dyDescent="0.4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 x14ac:dyDescent="0.4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 x14ac:dyDescent="0.4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 x14ac:dyDescent="0.4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 x14ac:dyDescent="0.4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 x14ac:dyDescent="0.4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 x14ac:dyDescent="0.4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 x14ac:dyDescent="0.4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 x14ac:dyDescent="0.4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 x14ac:dyDescent="0.4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 x14ac:dyDescent="0.4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 x14ac:dyDescent="0.4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 x14ac:dyDescent="0.4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 x14ac:dyDescent="0.4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 x14ac:dyDescent="0.4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 x14ac:dyDescent="0.4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 x14ac:dyDescent="0.4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 x14ac:dyDescent="0.4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 x14ac:dyDescent="0.4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 x14ac:dyDescent="0.4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 x14ac:dyDescent="0.4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 x14ac:dyDescent="0.4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 x14ac:dyDescent="0.4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 x14ac:dyDescent="0.4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 x14ac:dyDescent="0.4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 x14ac:dyDescent="0.4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 x14ac:dyDescent="0.4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 x14ac:dyDescent="0.4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 x14ac:dyDescent="0.4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 x14ac:dyDescent="0.4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 x14ac:dyDescent="0.4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 x14ac:dyDescent="0.4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 x14ac:dyDescent="0.4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 x14ac:dyDescent="0.4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 x14ac:dyDescent="0.4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 x14ac:dyDescent="0.4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 x14ac:dyDescent="0.4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 x14ac:dyDescent="0.4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 x14ac:dyDescent="0.4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 x14ac:dyDescent="0.4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 x14ac:dyDescent="0.4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 x14ac:dyDescent="0.4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 x14ac:dyDescent="0.4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 x14ac:dyDescent="0.4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 x14ac:dyDescent="0.4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 x14ac:dyDescent="0.4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 x14ac:dyDescent="0.4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 x14ac:dyDescent="0.4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 x14ac:dyDescent="0.4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 x14ac:dyDescent="0.4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 x14ac:dyDescent="0.4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 x14ac:dyDescent="0.4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 x14ac:dyDescent="0.4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 x14ac:dyDescent="0.4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 x14ac:dyDescent="0.4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 x14ac:dyDescent="0.4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 x14ac:dyDescent="0.4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 x14ac:dyDescent="0.4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 x14ac:dyDescent="0.4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 x14ac:dyDescent="0.4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 x14ac:dyDescent="0.4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 x14ac:dyDescent="0.4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 x14ac:dyDescent="0.4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 x14ac:dyDescent="0.4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 x14ac:dyDescent="0.4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 x14ac:dyDescent="0.4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 x14ac:dyDescent="0.4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 x14ac:dyDescent="0.4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 x14ac:dyDescent="0.4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 x14ac:dyDescent="0.4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 x14ac:dyDescent="0.4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 x14ac:dyDescent="0.4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 x14ac:dyDescent="0.4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 x14ac:dyDescent="0.4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 x14ac:dyDescent="0.4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 x14ac:dyDescent="0.4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 x14ac:dyDescent="0.4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 x14ac:dyDescent="0.4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 x14ac:dyDescent="0.4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 x14ac:dyDescent="0.4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 x14ac:dyDescent="0.4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 x14ac:dyDescent="0.4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 x14ac:dyDescent="0.4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 x14ac:dyDescent="0.4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 x14ac:dyDescent="0.4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 x14ac:dyDescent="0.4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 x14ac:dyDescent="0.4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 x14ac:dyDescent="0.4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 x14ac:dyDescent="0.4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 x14ac:dyDescent="0.4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 x14ac:dyDescent="0.4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 x14ac:dyDescent="0.4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 x14ac:dyDescent="0.4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 x14ac:dyDescent="0.4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 x14ac:dyDescent="0.4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 x14ac:dyDescent="0.4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 x14ac:dyDescent="0.4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 x14ac:dyDescent="0.4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 x14ac:dyDescent="0.4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 x14ac:dyDescent="0.4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</sheetData>
  <autoFilter ref="A3:N715" xr:uid="{00000000-0001-0000-0000-000000000000}"/>
  <customSheetViews>
    <customSheetView guid="{544F455A-10DD-4FAF-B7F9-68E46C7F5D61}" filter="1" showAutoFilter="1">
      <pageMargins left="0" right="0" top="0" bottom="0" header="0" footer="0"/>
      <autoFilter ref="A3:K652" xr:uid="{49B51721-BD1B-439E-B12C-DAE40573A02C}"/>
    </customSheetView>
    <customSheetView guid="{D25FEBD1-23BD-4BE5-8296-EB6AEF0FB55E}" filter="1" showAutoFilter="1">
      <pageMargins left="0" right="0" top="0" bottom="0" header="0" footer="0"/>
      <autoFilter ref="A1:K652" xr:uid="{817A73E8-C22C-4B03-9EED-CFDDF05F7CED}"/>
    </customSheetView>
    <customSheetView guid="{E076FD90-174D-4707-A50F-01FDF8003311}" filter="1" showAutoFilter="1">
      <pageMargins left="0" right="0" top="0" bottom="0" header="0" footer="0"/>
      <autoFilter ref="A1:K652" xr:uid="{937F407B-0C07-4F28-AAC4-1EFC9F507C7B}"/>
    </customSheetView>
  </customSheetViews>
  <mergeCells count="1">
    <mergeCell ref="A2:J2"/>
  </mergeCells>
  <conditionalFormatting sqref="A4:K176 A177:H192 A193:G566 A567:E568 A569:G715 A716:K1007 G500:G705 I177:K242 H193:H242 H243:K243 I244:K551 H244:H715 K552:K640 I552:J715 K651:K656 K659:K715">
    <cfRule type="expression" dxfId="56" priority="22">
      <formula>RegExMatch(($D4),"Done")</formula>
    </cfRule>
  </conditionalFormatting>
  <conditionalFormatting sqref="D4:D1007">
    <cfRule type="cellIs" dxfId="55" priority="20" operator="equal">
      <formula>"Not started"</formula>
    </cfRule>
    <cfRule type="cellIs" dxfId="54" priority="21" operator="equal">
      <formula>"In progress"</formula>
    </cfRule>
  </conditionalFormatting>
  <conditionalFormatting sqref="F4:F566 F569:F1007">
    <cfRule type="timePeriod" dxfId="53" priority="23" timePeriod="today">
      <formula>FLOOR(F4,1)=TODAY()</formula>
    </cfRule>
    <cfRule type="expression" dxfId="52" priority="24">
      <formula>AND($F4&lt;TODAY(), OR($D4="In progress", $D4="Not started"))</formula>
    </cfRule>
  </conditionalFormatting>
  <conditionalFormatting sqref="G4:G1007">
    <cfRule type="expression" dxfId="51" priority="19">
      <formula>AND(OR($D4="In progress",$D4="Not started" ),OR($G4=TODAY(), $G4=TODAY()+1))</formula>
    </cfRule>
  </conditionalFormatting>
  <conditionalFormatting sqref="H84">
    <cfRule type="expression" dxfId="50" priority="7">
      <formula>AND(OR($D84="In progress",$D84="Not started" ),OR($G84=TODAY(), $G84=TODAY()+1))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40AA-0B64-48C5-86F2-334D8BF9E3AC}">
  <sheetPr filterMode="1">
    <tabColor rgb="FFFFFF00"/>
    <outlinePr summaryBelow="0" summaryRight="0"/>
    <pageSetUpPr fitToPage="1"/>
  </sheetPr>
  <dimension ref="A1:N1007"/>
  <sheetViews>
    <sheetView showGridLines="0" zoomScale="85" zoomScaleNormal="85" workbookViewId="0">
      <pane ySplit="3" topLeftCell="A4" activePane="bottomLeft" state="frozen"/>
      <selection activeCell="B1" sqref="B1"/>
      <selection pane="bottomLeft" activeCell="C3" sqref="C3"/>
    </sheetView>
  </sheetViews>
  <sheetFormatPr defaultColWidth="12.54296875" defaultRowHeight="15.75" customHeight="1" x14ac:dyDescent="0.4"/>
  <cols>
    <col min="1" max="1" width="12" style="3" customWidth="1"/>
    <col min="2" max="2" width="49.81640625" style="3" bestFit="1" customWidth="1"/>
    <col min="3" max="3" width="12.54296875" style="3" customWidth="1"/>
    <col min="4" max="4" width="19.453125" style="3" customWidth="1"/>
    <col min="5" max="5" width="12" style="69" customWidth="1"/>
    <col min="6" max="6" width="62" style="3" customWidth="1"/>
    <col min="7" max="7" width="20.7265625" style="3" customWidth="1"/>
    <col min="8" max="11" width="19.26953125" style="3" customWidth="1"/>
    <col min="12" max="13" width="12.81640625" style="3" bestFit="1" customWidth="1"/>
    <col min="14" max="14" width="34" style="3" customWidth="1"/>
    <col min="15" max="16384" width="12.54296875" style="3"/>
  </cols>
  <sheetData>
    <row r="1" spans="1:11" ht="12" customHeight="1" x14ac:dyDescent="0.4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1" ht="53.25" customHeight="1" x14ac:dyDescent="0.4">
      <c r="A2" s="114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4"/>
    </row>
    <row r="3" spans="1:11" ht="36" x14ac:dyDescent="0.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</row>
    <row r="4" spans="1:11" ht="18" hidden="1" x14ac:dyDescent="0.4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f ca="1">J4+1</f>
        <v>46119</v>
      </c>
      <c r="J4" s="11">
        <f t="shared" ref="J4:J263" ca="1" si="1">TODAY()</f>
        <v>46118</v>
      </c>
      <c r="K4" s="13"/>
    </row>
    <row r="5" spans="1:11" ht="18" hidden="1" x14ac:dyDescent="0.4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f ca="1">I4</f>
        <v>46119</v>
      </c>
      <c r="J5" s="11">
        <f t="shared" ca="1" si="1"/>
        <v>46118</v>
      </c>
      <c r="K5" s="13"/>
    </row>
    <row r="6" spans="1:11" ht="18" hidden="1" x14ac:dyDescent="0.4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f t="shared" ref="I6:I69" ca="1" si="2">I5</f>
        <v>46119</v>
      </c>
      <c r="J6" s="11">
        <f t="shared" ca="1" si="1"/>
        <v>46118</v>
      </c>
      <c r="K6" s="13"/>
    </row>
    <row r="7" spans="1:11" ht="18" hidden="1" x14ac:dyDescent="0.4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f t="shared" ca="1" si="2"/>
        <v>46119</v>
      </c>
      <c r="J7" s="11">
        <f t="shared" ca="1" si="1"/>
        <v>46118</v>
      </c>
      <c r="K7" s="13"/>
    </row>
    <row r="8" spans="1:11" ht="18" hidden="1" x14ac:dyDescent="0.4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f t="shared" ca="1" si="2"/>
        <v>46119</v>
      </c>
      <c r="J8" s="11">
        <f t="shared" ca="1" si="1"/>
        <v>46118</v>
      </c>
      <c r="K8" s="13"/>
    </row>
    <row r="9" spans="1:11" ht="18" hidden="1" x14ac:dyDescent="0.4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f t="shared" ca="1" si="2"/>
        <v>46119</v>
      </c>
      <c r="J9" s="11">
        <f t="shared" ca="1" si="1"/>
        <v>46118</v>
      </c>
      <c r="K9" s="13"/>
    </row>
    <row r="10" spans="1:11" ht="18" hidden="1" x14ac:dyDescent="0.4">
      <c r="A10" s="57" t="s">
        <v>0</v>
      </c>
      <c r="B10" s="57" t="s">
        <v>22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f t="shared" ca="1" si="2"/>
        <v>46119</v>
      </c>
      <c r="J10" s="11">
        <f t="shared" ca="1" si="1"/>
        <v>46118</v>
      </c>
      <c r="K10" s="13"/>
    </row>
    <row r="11" spans="1:11" ht="18" hidden="1" x14ac:dyDescent="0.4">
      <c r="A11" s="57" t="s">
        <v>0</v>
      </c>
      <c r="B11" s="57" t="s">
        <v>22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f t="shared" ca="1" si="2"/>
        <v>46119</v>
      </c>
      <c r="J11" s="11">
        <f t="shared" ca="1" si="1"/>
        <v>46118</v>
      </c>
      <c r="K11" s="13"/>
    </row>
    <row r="12" spans="1:11" ht="18" hidden="1" x14ac:dyDescent="0.4">
      <c r="A12" s="57" t="s">
        <v>0</v>
      </c>
      <c r="B12" s="57" t="s">
        <v>22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f t="shared" ca="1" si="2"/>
        <v>46119</v>
      </c>
      <c r="J12" s="11">
        <f t="shared" ca="1" si="1"/>
        <v>46118</v>
      </c>
      <c r="K12" s="13"/>
    </row>
    <row r="13" spans="1:11" ht="18" hidden="1" x14ac:dyDescent="0.4">
      <c r="A13" s="57" t="s">
        <v>0</v>
      </c>
      <c r="B13" s="57" t="s">
        <v>22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f t="shared" ca="1" si="2"/>
        <v>46119</v>
      </c>
      <c r="J13" s="11">
        <f t="shared" ca="1" si="1"/>
        <v>46118</v>
      </c>
      <c r="K13" s="13"/>
    </row>
    <row r="14" spans="1:11" ht="18" hidden="1" x14ac:dyDescent="0.4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f t="shared" ca="1" si="2"/>
        <v>46119</v>
      </c>
      <c r="J14" s="11">
        <f t="shared" ca="1" si="1"/>
        <v>46118</v>
      </c>
      <c r="K14" s="13"/>
    </row>
    <row r="15" spans="1:11" ht="18" hidden="1" x14ac:dyDescent="0.4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f t="shared" ca="1" si="2"/>
        <v>46119</v>
      </c>
      <c r="J15" s="11">
        <f t="shared" ca="1" si="1"/>
        <v>46118</v>
      </c>
      <c r="K15" s="13"/>
    </row>
    <row r="16" spans="1:11" ht="18" hidden="1" x14ac:dyDescent="0.4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f t="shared" ca="1" si="2"/>
        <v>46119</v>
      </c>
      <c r="J16" s="11">
        <f t="shared" ca="1" si="1"/>
        <v>46118</v>
      </c>
      <c r="K16" s="13"/>
    </row>
    <row r="17" spans="1:11" ht="18" hidden="1" x14ac:dyDescent="0.4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f t="shared" ca="1" si="2"/>
        <v>46119</v>
      </c>
      <c r="J17" s="53">
        <f t="shared" ca="1" si="1"/>
        <v>46118</v>
      </c>
      <c r="K17" s="21"/>
    </row>
    <row r="18" spans="1:11" ht="18" hidden="1" x14ac:dyDescent="0.4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f t="shared" ca="1" si="2"/>
        <v>46119</v>
      </c>
      <c r="J18" s="53">
        <f t="shared" ca="1" si="1"/>
        <v>46118</v>
      </c>
      <c r="K18" s="21"/>
    </row>
    <row r="19" spans="1:11" ht="18" hidden="1" x14ac:dyDescent="0.4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f t="shared" ca="1" si="2"/>
        <v>46119</v>
      </c>
      <c r="J19" s="53">
        <f t="shared" ca="1" si="1"/>
        <v>46118</v>
      </c>
      <c r="K19" s="21"/>
    </row>
    <row r="20" spans="1:11" ht="18" hidden="1" x14ac:dyDescent="0.4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f t="shared" ca="1" si="2"/>
        <v>46119</v>
      </c>
      <c r="J20" s="53">
        <f t="shared" ca="1" si="1"/>
        <v>46118</v>
      </c>
      <c r="K20" s="21"/>
    </row>
    <row r="21" spans="1:11" ht="18" hidden="1" x14ac:dyDescent="0.4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f t="shared" ca="1" si="2"/>
        <v>46119</v>
      </c>
      <c r="J21" s="53">
        <f t="shared" ca="1" si="1"/>
        <v>46118</v>
      </c>
      <c r="K21" s="21"/>
    </row>
    <row r="22" spans="1:11" ht="18" hidden="1" x14ac:dyDescent="0.4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f t="shared" ca="1" si="2"/>
        <v>46119</v>
      </c>
      <c r="J22" s="53">
        <f t="shared" ca="1" si="1"/>
        <v>46118</v>
      </c>
      <c r="K22" s="21"/>
    </row>
    <row r="23" spans="1:11" ht="18" hidden="1" x14ac:dyDescent="0.4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f t="shared" ca="1" si="2"/>
        <v>46119</v>
      </c>
      <c r="J23" s="53">
        <f t="shared" ca="1" si="1"/>
        <v>46118</v>
      </c>
      <c r="K23" s="21"/>
    </row>
    <row r="24" spans="1:11" ht="18" hidden="1" x14ac:dyDescent="0.4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f t="shared" ca="1" si="2"/>
        <v>46119</v>
      </c>
      <c r="J24" s="53">
        <f t="shared" ca="1" si="1"/>
        <v>46118</v>
      </c>
      <c r="K24" s="21"/>
    </row>
    <row r="25" spans="1:11" ht="18" hidden="1" x14ac:dyDescent="0.4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f t="shared" ca="1" si="2"/>
        <v>46119</v>
      </c>
      <c r="J25" s="53">
        <f t="shared" ca="1" si="1"/>
        <v>46118</v>
      </c>
      <c r="K25" s="7"/>
    </row>
    <row r="26" spans="1:11" ht="18" hidden="1" x14ac:dyDescent="0.4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f t="shared" ca="1" si="2"/>
        <v>46119</v>
      </c>
      <c r="J26" s="53">
        <f t="shared" ca="1" si="1"/>
        <v>46118</v>
      </c>
      <c r="K26" s="21"/>
    </row>
    <row r="27" spans="1:11" ht="18" hidden="1" x14ac:dyDescent="0.4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f t="shared" ca="1" si="2"/>
        <v>46119</v>
      </c>
      <c r="J27" s="53">
        <f t="shared" ca="1" si="1"/>
        <v>46118</v>
      </c>
      <c r="K27" s="21"/>
    </row>
    <row r="28" spans="1:11" ht="18" hidden="1" x14ac:dyDescent="0.4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f t="shared" ca="1" si="2"/>
        <v>46119</v>
      </c>
      <c r="J28" s="53">
        <f t="shared" ca="1" si="1"/>
        <v>46118</v>
      </c>
      <c r="K28" s="21"/>
    </row>
    <row r="29" spans="1:11" ht="18" hidden="1" x14ac:dyDescent="0.4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f t="shared" ca="1" si="2"/>
        <v>46119</v>
      </c>
      <c r="J29" s="53">
        <f t="shared" ca="1" si="1"/>
        <v>46118</v>
      </c>
      <c r="K29" s="21"/>
    </row>
    <row r="30" spans="1:11" ht="18" hidden="1" x14ac:dyDescent="0.4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f t="shared" ca="1" si="2"/>
        <v>46119</v>
      </c>
      <c r="J30" s="53">
        <f t="shared" ca="1" si="1"/>
        <v>46118</v>
      </c>
      <c r="K30" s="21"/>
    </row>
    <row r="31" spans="1:11" ht="18" hidden="1" x14ac:dyDescent="0.4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f t="shared" ca="1" si="2"/>
        <v>46119</v>
      </c>
      <c r="J31" s="11">
        <f t="shared" ca="1" si="1"/>
        <v>46118</v>
      </c>
      <c r="K31" s="13"/>
    </row>
    <row r="32" spans="1:11" ht="18" hidden="1" x14ac:dyDescent="0.4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f t="shared" ca="1" si="2"/>
        <v>46119</v>
      </c>
      <c r="J32" s="11">
        <f t="shared" ca="1" si="1"/>
        <v>46118</v>
      </c>
      <c r="K32" s="13"/>
    </row>
    <row r="33" spans="1:11" ht="18" hidden="1" x14ac:dyDescent="0.4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f t="shared" ca="1" si="2"/>
        <v>46119</v>
      </c>
      <c r="J33" s="11">
        <f t="shared" ca="1" si="1"/>
        <v>46118</v>
      </c>
      <c r="K33" s="13"/>
    </row>
    <row r="34" spans="1:11" ht="18" x14ac:dyDescent="0.4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f ca="1">I33</f>
        <v>46119</v>
      </c>
      <c r="J34" s="53">
        <f t="shared" ca="1" si="1"/>
        <v>46118</v>
      </c>
      <c r="K34" s="21"/>
    </row>
    <row r="35" spans="1:11" ht="18" x14ac:dyDescent="0.4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f ca="1">I34</f>
        <v>46119</v>
      </c>
      <c r="J35" s="53">
        <f t="shared" ca="1" si="1"/>
        <v>46118</v>
      </c>
      <c r="K35" s="21"/>
    </row>
    <row r="36" spans="1:11" ht="18" x14ac:dyDescent="0.4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f ca="1">I35</f>
        <v>46119</v>
      </c>
      <c r="J36" s="53">
        <f t="shared" ca="1" si="1"/>
        <v>46118</v>
      </c>
      <c r="K36" s="21"/>
    </row>
    <row r="37" spans="1:11" ht="15.75" customHeight="1" x14ac:dyDescent="0.4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f t="shared" ca="1" si="2"/>
        <v>46119</v>
      </c>
      <c r="J37" s="53">
        <f t="shared" ca="1" si="1"/>
        <v>46118</v>
      </c>
      <c r="K37" s="21"/>
    </row>
    <row r="38" spans="1:11" ht="18" hidden="1" x14ac:dyDescent="0.4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f t="shared" ca="1" si="2"/>
        <v>46119</v>
      </c>
      <c r="J38" s="53">
        <f t="shared" ca="1" si="1"/>
        <v>46118</v>
      </c>
      <c r="K38" s="7"/>
    </row>
    <row r="39" spans="1:11" ht="18" hidden="1" x14ac:dyDescent="0.4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f t="shared" ca="1" si="2"/>
        <v>46119</v>
      </c>
      <c r="J39" s="53">
        <f t="shared" ca="1" si="1"/>
        <v>46118</v>
      </c>
      <c r="K39" s="21"/>
    </row>
    <row r="40" spans="1:11" ht="18" hidden="1" x14ac:dyDescent="0.4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f t="shared" ca="1" si="2"/>
        <v>46119</v>
      </c>
      <c r="J40" s="53">
        <f t="shared" ca="1" si="1"/>
        <v>46118</v>
      </c>
      <c r="K40" s="21"/>
    </row>
    <row r="41" spans="1:11" ht="18" hidden="1" x14ac:dyDescent="0.4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f t="shared" ca="1" si="2"/>
        <v>46119</v>
      </c>
      <c r="J41" s="53">
        <f t="shared" ca="1" si="1"/>
        <v>46118</v>
      </c>
      <c r="K41" s="21"/>
    </row>
    <row r="42" spans="1:11" ht="18" hidden="1" x14ac:dyDescent="0.4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f t="shared" ca="1" si="2"/>
        <v>46119</v>
      </c>
      <c r="J42" s="53">
        <f t="shared" ca="1" si="1"/>
        <v>46118</v>
      </c>
      <c r="K42" s="21"/>
    </row>
    <row r="43" spans="1:11" ht="18" hidden="1" x14ac:dyDescent="0.4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f t="shared" ca="1" si="2"/>
        <v>46119</v>
      </c>
      <c r="J43" s="53">
        <f t="shared" ca="1" si="1"/>
        <v>46118</v>
      </c>
      <c r="K43" s="21"/>
    </row>
    <row r="44" spans="1:11" ht="18" hidden="1" x14ac:dyDescent="0.4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f t="shared" ca="1" si="2"/>
        <v>46119</v>
      </c>
      <c r="J44" s="11">
        <f t="shared" ca="1" si="1"/>
        <v>46118</v>
      </c>
      <c r="K44" s="13"/>
    </row>
    <row r="45" spans="1:11" ht="18" hidden="1" x14ac:dyDescent="0.4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f t="shared" ca="1" si="2"/>
        <v>46119</v>
      </c>
      <c r="J45" s="11">
        <f t="shared" ca="1" si="1"/>
        <v>46118</v>
      </c>
      <c r="K45" s="13"/>
    </row>
    <row r="46" spans="1:11" ht="18" hidden="1" x14ac:dyDescent="0.4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f t="shared" ca="1" si="2"/>
        <v>46119</v>
      </c>
      <c r="J46" s="11">
        <f t="shared" ca="1" si="1"/>
        <v>46118</v>
      </c>
      <c r="K46" s="13"/>
    </row>
    <row r="47" spans="1:11" ht="18" hidden="1" x14ac:dyDescent="0.4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f t="shared" ca="1" si="2"/>
        <v>46119</v>
      </c>
      <c r="J47" s="11">
        <f t="shared" ca="1" si="1"/>
        <v>46118</v>
      </c>
      <c r="K47" s="13"/>
    </row>
    <row r="48" spans="1:11" ht="18" hidden="1" x14ac:dyDescent="0.4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f t="shared" ca="1" si="2"/>
        <v>46119</v>
      </c>
      <c r="J48" s="53">
        <f t="shared" ca="1" si="1"/>
        <v>46118</v>
      </c>
      <c r="K48" s="54"/>
    </row>
    <row r="49" spans="1:11" ht="18" hidden="1" x14ac:dyDescent="0.4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f t="shared" ca="1" si="2"/>
        <v>46119</v>
      </c>
      <c r="J49" s="53">
        <f t="shared" ca="1" si="1"/>
        <v>46118</v>
      </c>
      <c r="K49" s="21"/>
    </row>
    <row r="50" spans="1:11" ht="18" hidden="1" x14ac:dyDescent="0.4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f t="shared" ca="1" si="2"/>
        <v>46119</v>
      </c>
      <c r="J50" s="53">
        <f t="shared" ca="1" si="1"/>
        <v>46118</v>
      </c>
      <c r="K50" s="21"/>
    </row>
    <row r="51" spans="1:11" ht="18" hidden="1" x14ac:dyDescent="0.4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f t="shared" ca="1" si="2"/>
        <v>46119</v>
      </c>
      <c r="J51" s="53">
        <f t="shared" ca="1" si="1"/>
        <v>46118</v>
      </c>
      <c r="K51" s="7"/>
    </row>
    <row r="52" spans="1:11" ht="18" hidden="1" x14ac:dyDescent="0.4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f t="shared" ca="1" si="2"/>
        <v>46119</v>
      </c>
      <c r="J52" s="11">
        <f t="shared" ca="1" si="1"/>
        <v>46118</v>
      </c>
      <c r="K52" s="13"/>
    </row>
    <row r="53" spans="1:11" ht="18" hidden="1" x14ac:dyDescent="0.4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f t="shared" ca="1" si="2"/>
        <v>46119</v>
      </c>
      <c r="J53" s="11">
        <f t="shared" ca="1" si="1"/>
        <v>46118</v>
      </c>
      <c r="K53" s="13"/>
    </row>
    <row r="54" spans="1:11" ht="18" hidden="1" x14ac:dyDescent="0.4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f t="shared" ca="1" si="2"/>
        <v>46119</v>
      </c>
      <c r="J54" s="11">
        <f t="shared" ca="1" si="1"/>
        <v>46118</v>
      </c>
      <c r="K54" s="13"/>
    </row>
    <row r="55" spans="1:11" ht="18" hidden="1" x14ac:dyDescent="0.4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f t="shared" ca="1" si="2"/>
        <v>46119</v>
      </c>
      <c r="J55" s="11">
        <f t="shared" ca="1" si="1"/>
        <v>46118</v>
      </c>
      <c r="K55" s="13"/>
    </row>
    <row r="56" spans="1:11" ht="18" hidden="1" x14ac:dyDescent="0.4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f t="shared" ca="1" si="2"/>
        <v>46119</v>
      </c>
      <c r="J56" s="11">
        <f t="shared" ca="1" si="1"/>
        <v>46118</v>
      </c>
      <c r="K56" s="13"/>
    </row>
    <row r="57" spans="1:11" ht="18" hidden="1" x14ac:dyDescent="0.4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f t="shared" ca="1" si="2"/>
        <v>46119</v>
      </c>
      <c r="J57" s="53">
        <f t="shared" ca="1" si="1"/>
        <v>46118</v>
      </c>
      <c r="K57" s="21"/>
    </row>
    <row r="58" spans="1:11" ht="18" hidden="1" x14ac:dyDescent="0.4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f t="shared" ca="1" si="2"/>
        <v>46119</v>
      </c>
      <c r="J58" s="53">
        <f t="shared" ca="1" si="1"/>
        <v>46118</v>
      </c>
      <c r="K58" s="21"/>
    </row>
    <row r="59" spans="1:11" ht="18" hidden="1" x14ac:dyDescent="0.4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f t="shared" ca="1" si="2"/>
        <v>46119</v>
      </c>
      <c r="J59" s="53">
        <f t="shared" ca="1" si="1"/>
        <v>46118</v>
      </c>
      <c r="K59" s="7"/>
    </row>
    <row r="60" spans="1:11" ht="18" hidden="1" x14ac:dyDescent="0.4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f t="shared" ca="1" si="2"/>
        <v>46119</v>
      </c>
      <c r="J60" s="11">
        <f t="shared" ca="1" si="1"/>
        <v>46118</v>
      </c>
      <c r="K60" s="13"/>
    </row>
    <row r="61" spans="1:11" ht="18" hidden="1" x14ac:dyDescent="0.4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f t="shared" ca="1" si="2"/>
        <v>46119</v>
      </c>
      <c r="J61" s="11">
        <f t="shared" ca="1" si="1"/>
        <v>46118</v>
      </c>
      <c r="K61" s="13"/>
    </row>
    <row r="62" spans="1:11" ht="18" hidden="1" x14ac:dyDescent="0.4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f t="shared" ca="1" si="2"/>
        <v>46119</v>
      </c>
      <c r="J62" s="11">
        <f t="shared" ca="1" si="1"/>
        <v>46118</v>
      </c>
      <c r="K62" s="13"/>
    </row>
    <row r="63" spans="1:11" ht="18" hidden="1" x14ac:dyDescent="0.4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f t="shared" ca="1" si="2"/>
        <v>46119</v>
      </c>
      <c r="J63" s="53">
        <f t="shared" ca="1" si="1"/>
        <v>46118</v>
      </c>
      <c r="K63" s="21"/>
    </row>
    <row r="64" spans="1:11" ht="18" hidden="1" x14ac:dyDescent="0.4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f t="shared" ca="1" si="2"/>
        <v>46119</v>
      </c>
      <c r="J64" s="53">
        <f t="shared" ca="1" si="1"/>
        <v>46118</v>
      </c>
      <c r="K64" s="21"/>
    </row>
    <row r="65" spans="1:11" ht="18" hidden="1" x14ac:dyDescent="0.4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f t="shared" ca="1" si="2"/>
        <v>46119</v>
      </c>
      <c r="J65" s="53">
        <f t="shared" ca="1" si="1"/>
        <v>46118</v>
      </c>
      <c r="K65" s="21"/>
    </row>
    <row r="66" spans="1:11" ht="18" hidden="1" x14ac:dyDescent="0.4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f t="shared" ca="1" si="2"/>
        <v>46119</v>
      </c>
      <c r="J66" s="53">
        <f t="shared" ca="1" si="1"/>
        <v>46118</v>
      </c>
      <c r="K66" s="21"/>
    </row>
    <row r="67" spans="1:11" ht="18" hidden="1" x14ac:dyDescent="0.4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f t="shared" ca="1" si="2"/>
        <v>46119</v>
      </c>
      <c r="J67" s="11">
        <f t="shared" ca="1" si="1"/>
        <v>46118</v>
      </c>
      <c r="K67" s="13"/>
    </row>
    <row r="68" spans="1:11" ht="18" hidden="1" x14ac:dyDescent="0.4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2" si="3">+G68/E68</f>
        <v>0</v>
      </c>
      <c r="I68" s="53">
        <f t="shared" ca="1" si="2"/>
        <v>46119</v>
      </c>
      <c r="J68" s="53">
        <f t="shared" ca="1" si="1"/>
        <v>46118</v>
      </c>
      <c r="K68" s="21"/>
    </row>
    <row r="69" spans="1:11" ht="18" hidden="1" x14ac:dyDescent="0.4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3"/>
        <v>0</v>
      </c>
      <c r="I69" s="53">
        <f t="shared" ca="1" si="2"/>
        <v>46119</v>
      </c>
      <c r="J69" s="53">
        <f t="shared" ca="1" si="1"/>
        <v>46118</v>
      </c>
      <c r="K69" s="21"/>
    </row>
    <row r="70" spans="1:11" ht="18" hidden="1" x14ac:dyDescent="0.4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3"/>
        <v>0</v>
      </c>
      <c r="I70" s="53">
        <f t="shared" ref="I70:I103" ca="1" si="4">I69</f>
        <v>46119</v>
      </c>
      <c r="J70" s="53">
        <f t="shared" ca="1" si="1"/>
        <v>46118</v>
      </c>
      <c r="K70" s="21"/>
    </row>
    <row r="71" spans="1:11" ht="18" hidden="1" x14ac:dyDescent="0.4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3"/>
        <v>0</v>
      </c>
      <c r="I71" s="53">
        <f t="shared" ca="1" si="4"/>
        <v>46119</v>
      </c>
      <c r="J71" s="53">
        <f t="shared" ca="1" si="1"/>
        <v>46118</v>
      </c>
      <c r="K71" s="21"/>
    </row>
    <row r="72" spans="1:11" ht="18" hidden="1" x14ac:dyDescent="0.4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3"/>
        <v>0</v>
      </c>
      <c r="I72" s="53">
        <f t="shared" ca="1" si="4"/>
        <v>46119</v>
      </c>
      <c r="J72" s="53">
        <f t="shared" ca="1" si="1"/>
        <v>46118</v>
      </c>
      <c r="K72" s="21"/>
    </row>
    <row r="73" spans="1:11" ht="18" hidden="1" x14ac:dyDescent="0.4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3"/>
        <v>0</v>
      </c>
      <c r="I73" s="53">
        <f t="shared" ca="1" si="4"/>
        <v>46119</v>
      </c>
      <c r="J73" s="53">
        <f t="shared" ca="1" si="1"/>
        <v>46118</v>
      </c>
      <c r="K73" s="21"/>
    </row>
    <row r="74" spans="1:11" ht="18" hidden="1" x14ac:dyDescent="0.4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3"/>
        <v>0</v>
      </c>
      <c r="I74" s="53">
        <f t="shared" ca="1" si="4"/>
        <v>46119</v>
      </c>
      <c r="J74" s="53">
        <f t="shared" ca="1" si="1"/>
        <v>46118</v>
      </c>
      <c r="K74" s="21"/>
    </row>
    <row r="75" spans="1:11" ht="18" hidden="1" x14ac:dyDescent="0.4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3"/>
        <v>0</v>
      </c>
      <c r="I75" s="53">
        <f t="shared" ca="1" si="4"/>
        <v>46119</v>
      </c>
      <c r="J75" s="53">
        <f t="shared" ca="1" si="1"/>
        <v>46118</v>
      </c>
      <c r="K75" s="21"/>
    </row>
    <row r="76" spans="1:11" ht="18" hidden="1" x14ac:dyDescent="0.4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3"/>
        <v>0</v>
      </c>
      <c r="I76" s="53">
        <f t="shared" ca="1" si="4"/>
        <v>46119</v>
      </c>
      <c r="J76" s="53">
        <f t="shared" ca="1" si="1"/>
        <v>46118</v>
      </c>
      <c r="K76" s="21"/>
    </row>
    <row r="77" spans="1:11" ht="18" hidden="1" x14ac:dyDescent="0.4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0</v>
      </c>
      <c r="H77" s="70">
        <f t="shared" si="3"/>
        <v>0</v>
      </c>
      <c r="I77" s="53">
        <f t="shared" ca="1" si="4"/>
        <v>46119</v>
      </c>
      <c r="J77" s="53">
        <f t="shared" ca="1" si="1"/>
        <v>46118</v>
      </c>
      <c r="K77" s="21"/>
    </row>
    <row r="78" spans="1:11" ht="18" hidden="1" x14ac:dyDescent="0.4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3"/>
        <v>0</v>
      </c>
      <c r="I78" s="53">
        <f t="shared" ca="1" si="4"/>
        <v>46119</v>
      </c>
      <c r="J78" s="53">
        <f t="shared" ca="1" si="1"/>
        <v>46118</v>
      </c>
      <c r="K78" s="21"/>
    </row>
    <row r="79" spans="1:11" ht="18" hidden="1" x14ac:dyDescent="0.4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3"/>
        <v>0</v>
      </c>
      <c r="I79" s="53">
        <f t="shared" ca="1" si="4"/>
        <v>46119</v>
      </c>
      <c r="J79" s="53">
        <f t="shared" ca="1" si="1"/>
        <v>46118</v>
      </c>
      <c r="K79" s="21"/>
    </row>
    <row r="80" spans="1:11" ht="18" hidden="1" x14ac:dyDescent="0.4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3"/>
        <v>0</v>
      </c>
      <c r="I80" s="53">
        <f t="shared" ca="1" si="4"/>
        <v>46119</v>
      </c>
      <c r="J80" s="53">
        <f t="shared" ca="1" si="1"/>
        <v>46118</v>
      </c>
      <c r="K80" s="21"/>
    </row>
    <row r="81" spans="1:11" ht="18" hidden="1" x14ac:dyDescent="0.4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3"/>
        <v>0</v>
      </c>
      <c r="I81" s="53">
        <f t="shared" ca="1" si="4"/>
        <v>46119</v>
      </c>
      <c r="J81" s="53">
        <f t="shared" ca="1" si="1"/>
        <v>46118</v>
      </c>
      <c r="K81" s="21"/>
    </row>
    <row r="82" spans="1:11" ht="18" hidden="1" x14ac:dyDescent="0.4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3"/>
        <v>0</v>
      </c>
      <c r="I82" s="53">
        <f t="shared" ca="1" si="4"/>
        <v>46119</v>
      </c>
      <c r="J82" s="53">
        <f t="shared" ca="1" si="1"/>
        <v>46118</v>
      </c>
      <c r="K82" s="21"/>
    </row>
    <row r="83" spans="1:11" ht="18" hidden="1" x14ac:dyDescent="0.4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3"/>
        <v>0</v>
      </c>
      <c r="I83" s="53">
        <f t="shared" ca="1" si="4"/>
        <v>46119</v>
      </c>
      <c r="J83" s="53">
        <f t="shared" ca="1" si="1"/>
        <v>46118</v>
      </c>
      <c r="K83" s="21"/>
    </row>
    <row r="84" spans="1:11" ht="18" hidden="1" x14ac:dyDescent="0.4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3"/>
        <v>0</v>
      </c>
      <c r="I84" s="55">
        <f t="shared" ca="1" si="4"/>
        <v>46119</v>
      </c>
      <c r="J84" s="55">
        <f t="shared" ca="1" si="1"/>
        <v>46118</v>
      </c>
      <c r="K84" s="56"/>
    </row>
    <row r="85" spans="1:11" ht="18" hidden="1" x14ac:dyDescent="0.4">
      <c r="A85" s="7" t="s">
        <v>98</v>
      </c>
      <c r="B85" s="85" t="s">
        <v>99</v>
      </c>
      <c r="C85" s="8">
        <v>1097</v>
      </c>
      <c r="D85" s="9">
        <v>463606330</v>
      </c>
      <c r="E85" s="57">
        <v>32</v>
      </c>
      <c r="F85" s="10" t="s">
        <v>698</v>
      </c>
      <c r="G85" s="88">
        <v>0</v>
      </c>
      <c r="H85" s="70">
        <f t="shared" si="3"/>
        <v>0</v>
      </c>
      <c r="I85" s="11">
        <f t="shared" ca="1" si="4"/>
        <v>46119</v>
      </c>
      <c r="J85" s="11">
        <f t="shared" ca="1" si="1"/>
        <v>46118</v>
      </c>
      <c r="K85" s="13"/>
    </row>
    <row r="86" spans="1:11" ht="18" hidden="1" x14ac:dyDescent="0.4">
      <c r="A86" s="7" t="s">
        <v>98</v>
      </c>
      <c r="B86" s="86" t="s">
        <v>99</v>
      </c>
      <c r="C86" s="8">
        <v>1097</v>
      </c>
      <c r="D86" s="9">
        <v>463606290</v>
      </c>
      <c r="E86" s="57">
        <v>32</v>
      </c>
      <c r="F86" s="10" t="s">
        <v>698</v>
      </c>
      <c r="G86" s="88">
        <v>0</v>
      </c>
      <c r="H86" s="70">
        <f t="shared" si="3"/>
        <v>0</v>
      </c>
      <c r="I86" s="11">
        <f t="shared" ca="1" si="4"/>
        <v>46119</v>
      </c>
      <c r="J86" s="11">
        <f t="shared" ca="1" si="1"/>
        <v>46118</v>
      </c>
      <c r="K86" s="13"/>
    </row>
    <row r="87" spans="1:11" ht="18" hidden="1" x14ac:dyDescent="0.4">
      <c r="A87" s="7" t="s">
        <v>98</v>
      </c>
      <c r="B87" s="86" t="s">
        <v>99</v>
      </c>
      <c r="C87" s="8">
        <v>1097</v>
      </c>
      <c r="D87" s="9">
        <v>463563840</v>
      </c>
      <c r="E87" s="57">
        <v>24</v>
      </c>
      <c r="F87" s="10" t="s">
        <v>699</v>
      </c>
      <c r="G87" s="88">
        <v>0</v>
      </c>
      <c r="H87" s="70">
        <f t="shared" si="3"/>
        <v>0</v>
      </c>
      <c r="I87" s="11">
        <f t="shared" ca="1" si="4"/>
        <v>46119</v>
      </c>
      <c r="J87" s="11">
        <f t="shared" ca="1" si="1"/>
        <v>46118</v>
      </c>
      <c r="K87" s="13"/>
    </row>
    <row r="88" spans="1:11" ht="18" hidden="1" x14ac:dyDescent="0.4">
      <c r="A88" s="7" t="s">
        <v>98</v>
      </c>
      <c r="B88" s="85" t="s">
        <v>99</v>
      </c>
      <c r="C88" s="8">
        <v>1097</v>
      </c>
      <c r="D88" s="9">
        <v>463504300</v>
      </c>
      <c r="E88" s="57">
        <v>24</v>
      </c>
      <c r="F88" s="10" t="s">
        <v>699</v>
      </c>
      <c r="G88" s="88">
        <v>0</v>
      </c>
      <c r="H88" s="70">
        <f t="shared" si="3"/>
        <v>0</v>
      </c>
      <c r="I88" s="11">
        <f t="shared" ca="1" si="4"/>
        <v>46119</v>
      </c>
      <c r="J88" s="11">
        <f t="shared" ca="1" si="1"/>
        <v>46118</v>
      </c>
      <c r="K88" s="13"/>
    </row>
    <row r="89" spans="1:11" ht="18" hidden="1" x14ac:dyDescent="0.4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700</v>
      </c>
      <c r="G89" s="88">
        <v>0</v>
      </c>
      <c r="H89" s="70">
        <f t="shared" si="3"/>
        <v>0</v>
      </c>
      <c r="I89" s="11">
        <f t="shared" ca="1" si="4"/>
        <v>46119</v>
      </c>
      <c r="J89" s="11">
        <f t="shared" ca="1" si="1"/>
        <v>46118</v>
      </c>
      <c r="K89" s="13"/>
    </row>
    <row r="90" spans="1:11" ht="18" hidden="1" x14ac:dyDescent="0.4">
      <c r="A90" s="7" t="s">
        <v>98</v>
      </c>
      <c r="B90" s="85" t="s">
        <v>99</v>
      </c>
      <c r="C90" s="8">
        <v>1097</v>
      </c>
      <c r="D90" s="9">
        <v>463571360</v>
      </c>
      <c r="E90" s="57">
        <v>24</v>
      </c>
      <c r="F90" s="10" t="s">
        <v>700</v>
      </c>
      <c r="G90" s="88">
        <v>480</v>
      </c>
      <c r="H90" s="70">
        <f t="shared" si="3"/>
        <v>20</v>
      </c>
      <c r="I90" s="11">
        <f t="shared" ca="1" si="4"/>
        <v>46119</v>
      </c>
      <c r="J90" s="11">
        <f t="shared" ca="1" si="1"/>
        <v>46118</v>
      </c>
      <c r="K90" s="13"/>
    </row>
    <row r="91" spans="1:11" ht="18" hidden="1" x14ac:dyDescent="0.4">
      <c r="A91" s="7" t="s">
        <v>98</v>
      </c>
      <c r="B91" s="85" t="s">
        <v>99</v>
      </c>
      <c r="C91" s="8">
        <v>1097</v>
      </c>
      <c r="D91" s="9">
        <v>463602320</v>
      </c>
      <c r="E91" s="57">
        <v>24</v>
      </c>
      <c r="F91" s="10" t="s">
        <v>701</v>
      </c>
      <c r="G91" s="88">
        <v>480</v>
      </c>
      <c r="H91" s="70">
        <f t="shared" si="3"/>
        <v>20</v>
      </c>
      <c r="I91" s="11">
        <f t="shared" ca="1" si="4"/>
        <v>46119</v>
      </c>
      <c r="J91" s="11">
        <f t="shared" ca="1" si="1"/>
        <v>46118</v>
      </c>
      <c r="K91" s="13"/>
    </row>
    <row r="92" spans="1:11" ht="18" hidden="1" x14ac:dyDescent="0.4">
      <c r="A92" s="7" t="s">
        <v>98</v>
      </c>
      <c r="B92" s="85" t="s">
        <v>99</v>
      </c>
      <c r="C92" s="8">
        <v>1097</v>
      </c>
      <c r="D92" s="9">
        <v>463559530</v>
      </c>
      <c r="E92" s="57">
        <v>500</v>
      </c>
      <c r="F92" s="10" t="s">
        <v>702</v>
      </c>
      <c r="G92" s="88">
        <v>0</v>
      </c>
      <c r="H92" s="70">
        <f t="shared" si="3"/>
        <v>0</v>
      </c>
      <c r="I92" s="11">
        <f t="shared" ca="1" si="4"/>
        <v>46119</v>
      </c>
      <c r="J92" s="11">
        <f t="shared" ca="1" si="1"/>
        <v>46118</v>
      </c>
      <c r="K92" s="13"/>
    </row>
    <row r="93" spans="1:11" ht="18" hidden="1" x14ac:dyDescent="0.4">
      <c r="A93" s="7" t="s">
        <v>98</v>
      </c>
      <c r="B93" s="85" t="s">
        <v>108</v>
      </c>
      <c r="C93" s="8">
        <v>37866</v>
      </c>
      <c r="D93" s="9">
        <v>463535560</v>
      </c>
      <c r="E93" s="57">
        <v>800</v>
      </c>
      <c r="F93" s="10" t="s">
        <v>109</v>
      </c>
      <c r="G93" s="88">
        <v>0</v>
      </c>
      <c r="H93" s="70">
        <f t="shared" si="3"/>
        <v>0</v>
      </c>
      <c r="I93" s="11">
        <f t="shared" ca="1" si="4"/>
        <v>46119</v>
      </c>
      <c r="J93" s="11">
        <f t="shared" ca="1" si="1"/>
        <v>46118</v>
      </c>
      <c r="K93" s="13"/>
    </row>
    <row r="94" spans="1:11" ht="18" hidden="1" x14ac:dyDescent="0.4">
      <c r="A94" s="7" t="s">
        <v>98</v>
      </c>
      <c r="B94" s="85" t="s">
        <v>108</v>
      </c>
      <c r="C94" s="8">
        <v>37866</v>
      </c>
      <c r="D94" s="9">
        <v>463518180</v>
      </c>
      <c r="E94" s="57">
        <v>60</v>
      </c>
      <c r="F94" s="10" t="s">
        <v>110</v>
      </c>
      <c r="G94" s="88">
        <v>420</v>
      </c>
      <c r="H94" s="70">
        <f t="shared" si="3"/>
        <v>7</v>
      </c>
      <c r="I94" s="11">
        <f t="shared" ca="1" si="4"/>
        <v>46119</v>
      </c>
      <c r="J94" s="11">
        <f t="shared" ca="1" si="1"/>
        <v>46118</v>
      </c>
      <c r="K94" s="13"/>
    </row>
    <row r="95" spans="1:11" ht="18" hidden="1" x14ac:dyDescent="0.4">
      <c r="A95" s="7" t="s">
        <v>98</v>
      </c>
      <c r="B95" s="85" t="s">
        <v>108</v>
      </c>
      <c r="C95" s="8">
        <v>37866</v>
      </c>
      <c r="D95" s="9">
        <v>463480050</v>
      </c>
      <c r="E95" s="57">
        <v>800</v>
      </c>
      <c r="F95" s="10" t="s">
        <v>111</v>
      </c>
      <c r="G95" s="88">
        <v>0</v>
      </c>
      <c r="H95" s="70">
        <f t="shared" si="3"/>
        <v>0</v>
      </c>
      <c r="I95" s="11">
        <f t="shared" ca="1" si="4"/>
        <v>46119</v>
      </c>
      <c r="J95" s="11">
        <f t="shared" ca="1" si="1"/>
        <v>46118</v>
      </c>
      <c r="K95" s="13"/>
    </row>
    <row r="96" spans="1:11" ht="18" hidden="1" x14ac:dyDescent="0.4">
      <c r="A96" s="7" t="s">
        <v>98</v>
      </c>
      <c r="B96" s="85" t="s">
        <v>108</v>
      </c>
      <c r="C96" s="8">
        <v>37866</v>
      </c>
      <c r="D96" s="9">
        <v>463479660</v>
      </c>
      <c r="E96" s="57">
        <v>60</v>
      </c>
      <c r="F96" s="10" t="s">
        <v>110</v>
      </c>
      <c r="G96" s="88">
        <v>420</v>
      </c>
      <c r="H96" s="70">
        <f t="shared" si="3"/>
        <v>7</v>
      </c>
      <c r="I96" s="11">
        <f t="shared" ca="1" si="4"/>
        <v>46119</v>
      </c>
      <c r="J96" s="11">
        <f t="shared" ca="1" si="1"/>
        <v>46118</v>
      </c>
      <c r="K96" s="13"/>
    </row>
    <row r="97" spans="1:11" ht="18" hidden="1" x14ac:dyDescent="0.4">
      <c r="A97" s="7" t="s">
        <v>98</v>
      </c>
      <c r="B97" s="85" t="s">
        <v>108</v>
      </c>
      <c r="C97" s="8">
        <v>37866</v>
      </c>
      <c r="D97" s="9">
        <v>463542820</v>
      </c>
      <c r="E97" s="57">
        <v>60</v>
      </c>
      <c r="F97" s="10" t="s">
        <v>112</v>
      </c>
      <c r="G97" s="88">
        <v>1200</v>
      </c>
      <c r="H97" s="70">
        <f t="shared" si="3"/>
        <v>20</v>
      </c>
      <c r="I97" s="11">
        <f t="shared" ca="1" si="4"/>
        <v>46119</v>
      </c>
      <c r="J97" s="11">
        <f t="shared" ca="1" si="1"/>
        <v>46118</v>
      </c>
      <c r="K97" s="13"/>
    </row>
    <row r="98" spans="1:11" ht="18" hidden="1" x14ac:dyDescent="0.4">
      <c r="A98" s="7" t="s">
        <v>98</v>
      </c>
      <c r="B98" s="85" t="s">
        <v>108</v>
      </c>
      <c r="C98" s="8">
        <v>37866</v>
      </c>
      <c r="D98" s="9">
        <v>463465610</v>
      </c>
      <c r="E98" s="57">
        <v>800</v>
      </c>
      <c r="F98" s="10" t="s">
        <v>113</v>
      </c>
      <c r="G98" s="88">
        <v>1600</v>
      </c>
      <c r="H98" s="70">
        <f t="shared" si="3"/>
        <v>2</v>
      </c>
      <c r="I98" s="11">
        <f t="shared" ca="1" si="4"/>
        <v>46119</v>
      </c>
      <c r="J98" s="11">
        <f t="shared" ca="1" si="1"/>
        <v>46118</v>
      </c>
      <c r="K98" s="13"/>
    </row>
    <row r="99" spans="1:11" ht="18" hidden="1" x14ac:dyDescent="0.4">
      <c r="A99" s="7" t="s">
        <v>98</v>
      </c>
      <c r="B99" s="85" t="s">
        <v>108</v>
      </c>
      <c r="C99" s="8">
        <v>37866</v>
      </c>
      <c r="D99" s="9">
        <v>463599360</v>
      </c>
      <c r="E99" s="57">
        <v>60</v>
      </c>
      <c r="F99" s="10" t="s">
        <v>115</v>
      </c>
      <c r="G99" s="88">
        <v>360</v>
      </c>
      <c r="H99" s="70">
        <f t="shared" si="3"/>
        <v>6</v>
      </c>
      <c r="I99" s="11">
        <f t="shared" ca="1" si="4"/>
        <v>46119</v>
      </c>
      <c r="J99" s="11">
        <f t="shared" ca="1" si="1"/>
        <v>46118</v>
      </c>
      <c r="K99" s="13"/>
    </row>
    <row r="100" spans="1:11" ht="18" hidden="1" x14ac:dyDescent="0.4">
      <c r="A100" s="7" t="s">
        <v>98</v>
      </c>
      <c r="B100" s="85" t="s">
        <v>108</v>
      </c>
      <c r="C100" s="8">
        <v>37866</v>
      </c>
      <c r="D100" s="9">
        <v>463450640</v>
      </c>
      <c r="E100" s="57">
        <v>60</v>
      </c>
      <c r="F100" s="10" t="s">
        <v>116</v>
      </c>
      <c r="G100" s="88">
        <v>0</v>
      </c>
      <c r="H100" s="70">
        <f t="shared" si="3"/>
        <v>0</v>
      </c>
      <c r="I100" s="11">
        <f t="shared" ca="1" si="4"/>
        <v>46119</v>
      </c>
      <c r="J100" s="11">
        <f t="shared" ca="1" si="1"/>
        <v>46118</v>
      </c>
      <c r="K100" s="13"/>
    </row>
    <row r="101" spans="1:11" ht="18" hidden="1" x14ac:dyDescent="0.4">
      <c r="A101" s="7" t="s">
        <v>98</v>
      </c>
      <c r="B101" s="85" t="s">
        <v>108</v>
      </c>
      <c r="C101" s="8">
        <v>37866</v>
      </c>
      <c r="D101" s="9">
        <v>463497920</v>
      </c>
      <c r="E101" s="57">
        <v>60</v>
      </c>
      <c r="F101" s="10" t="s">
        <v>117</v>
      </c>
      <c r="G101" s="88">
        <v>0</v>
      </c>
      <c r="H101" s="70">
        <f t="shared" si="3"/>
        <v>0</v>
      </c>
      <c r="I101" s="11">
        <f t="shared" ca="1" si="4"/>
        <v>46119</v>
      </c>
      <c r="J101" s="11">
        <f t="shared" ca="1" si="1"/>
        <v>46118</v>
      </c>
      <c r="K101" s="13"/>
    </row>
    <row r="102" spans="1:11" ht="18" hidden="1" x14ac:dyDescent="0.4">
      <c r="A102" s="7" t="s">
        <v>98</v>
      </c>
      <c r="B102" s="85" t="s">
        <v>108</v>
      </c>
      <c r="C102" s="8">
        <v>37866</v>
      </c>
      <c r="D102" s="9">
        <v>463563850</v>
      </c>
      <c r="E102" s="57">
        <v>60</v>
      </c>
      <c r="F102" s="10" t="s">
        <v>117</v>
      </c>
      <c r="G102" s="88">
        <v>0</v>
      </c>
      <c r="H102" s="70">
        <f t="shared" si="3"/>
        <v>0</v>
      </c>
      <c r="I102" s="11">
        <f t="shared" ca="1" si="4"/>
        <v>46119</v>
      </c>
      <c r="J102" s="11">
        <f t="shared" ca="1" si="1"/>
        <v>46118</v>
      </c>
      <c r="K102" s="13"/>
    </row>
    <row r="103" spans="1:11" ht="18" hidden="1" x14ac:dyDescent="0.4">
      <c r="A103" s="7" t="s">
        <v>98</v>
      </c>
      <c r="B103" s="85" t="s">
        <v>108</v>
      </c>
      <c r="C103" s="8">
        <v>37866</v>
      </c>
      <c r="D103" s="9">
        <v>463564120</v>
      </c>
      <c r="E103" s="57">
        <v>60</v>
      </c>
      <c r="F103" s="10" t="s">
        <v>118</v>
      </c>
      <c r="G103" s="88">
        <v>0</v>
      </c>
      <c r="H103" s="70">
        <f t="shared" si="3"/>
        <v>0</v>
      </c>
      <c r="I103" s="11">
        <f t="shared" ca="1" si="4"/>
        <v>46119</v>
      </c>
      <c r="J103" s="11">
        <f t="shared" ca="1" si="1"/>
        <v>46118</v>
      </c>
      <c r="K103" s="13"/>
    </row>
    <row r="104" spans="1:11" ht="18" hidden="1" x14ac:dyDescent="0.4">
      <c r="A104" s="7" t="s">
        <v>98</v>
      </c>
      <c r="B104" s="85" t="s">
        <v>108</v>
      </c>
      <c r="C104" s="8">
        <v>37866</v>
      </c>
      <c r="D104" s="9">
        <v>463577620</v>
      </c>
      <c r="E104" s="57">
        <v>60</v>
      </c>
      <c r="F104" s="10" t="s">
        <v>119</v>
      </c>
      <c r="G104" s="88">
        <v>0</v>
      </c>
      <c r="H104" s="70">
        <f t="shared" si="3"/>
        <v>0</v>
      </c>
      <c r="I104" s="11">
        <f ca="1">I96</f>
        <v>46119</v>
      </c>
      <c r="J104" s="11">
        <f t="shared" ca="1" si="1"/>
        <v>46118</v>
      </c>
      <c r="K104" s="13"/>
    </row>
    <row r="105" spans="1:11" ht="18" hidden="1" x14ac:dyDescent="0.4">
      <c r="A105" s="7" t="s">
        <v>98</v>
      </c>
      <c r="B105" s="85" t="s">
        <v>108</v>
      </c>
      <c r="C105" s="8">
        <v>37866</v>
      </c>
      <c r="D105" s="9">
        <v>463578580</v>
      </c>
      <c r="E105" s="57">
        <v>60</v>
      </c>
      <c r="F105" s="10" t="s">
        <v>120</v>
      </c>
      <c r="G105" s="88">
        <v>0</v>
      </c>
      <c r="H105" s="70">
        <f t="shared" si="3"/>
        <v>0</v>
      </c>
      <c r="I105" s="11">
        <f t="shared" ref="I105:I170" ca="1" si="5">I97</f>
        <v>46119</v>
      </c>
      <c r="J105" s="11">
        <f t="shared" ca="1" si="1"/>
        <v>46118</v>
      </c>
      <c r="K105" s="13"/>
    </row>
    <row r="106" spans="1:11" ht="18" hidden="1" x14ac:dyDescent="0.4">
      <c r="A106" s="7" t="s">
        <v>98</v>
      </c>
      <c r="B106" s="85" t="s">
        <v>108</v>
      </c>
      <c r="C106" s="8">
        <v>37866</v>
      </c>
      <c r="D106" s="61">
        <v>463603240</v>
      </c>
      <c r="E106" s="57">
        <v>60</v>
      </c>
      <c r="F106" s="10" t="s">
        <v>721</v>
      </c>
      <c r="G106" s="88">
        <v>0</v>
      </c>
      <c r="H106" s="70">
        <f t="shared" ref="H106" si="6">+G106/E106</f>
        <v>0</v>
      </c>
      <c r="I106" s="11">
        <f t="shared" ca="1" si="5"/>
        <v>46119</v>
      </c>
      <c r="J106" s="11">
        <f t="shared" ca="1" si="1"/>
        <v>46118</v>
      </c>
      <c r="K106" s="13"/>
    </row>
    <row r="107" spans="1:11" ht="18" hidden="1" x14ac:dyDescent="0.4">
      <c r="A107" s="7" t="s">
        <v>98</v>
      </c>
      <c r="B107" s="85" t="s">
        <v>108</v>
      </c>
      <c r="C107" s="8">
        <v>37866</v>
      </c>
      <c r="D107" s="9">
        <v>463576540</v>
      </c>
      <c r="E107" s="57">
        <v>60</v>
      </c>
      <c r="F107" s="10" t="s">
        <v>121</v>
      </c>
      <c r="G107" s="88">
        <v>0</v>
      </c>
      <c r="H107" s="70">
        <f t="shared" si="3"/>
        <v>0</v>
      </c>
      <c r="I107" s="11">
        <f t="shared" ref="I107:I114" ca="1" si="7">I98</f>
        <v>46119</v>
      </c>
      <c r="J107" s="11">
        <f t="shared" ca="1" si="1"/>
        <v>46118</v>
      </c>
      <c r="K107" s="13"/>
    </row>
    <row r="108" spans="1:11" ht="18" hidden="1" x14ac:dyDescent="0.4">
      <c r="A108" s="7" t="s">
        <v>98</v>
      </c>
      <c r="B108" s="85" t="s">
        <v>108</v>
      </c>
      <c r="C108" s="8">
        <v>37866</v>
      </c>
      <c r="D108" s="9">
        <v>463571180</v>
      </c>
      <c r="E108" s="57">
        <v>60</v>
      </c>
      <c r="F108" s="10" t="s">
        <v>122</v>
      </c>
      <c r="G108" s="88">
        <v>0</v>
      </c>
      <c r="H108" s="70">
        <f t="shared" si="3"/>
        <v>0</v>
      </c>
      <c r="I108" s="11">
        <f t="shared" ca="1" si="7"/>
        <v>46119</v>
      </c>
      <c r="J108" s="11">
        <f t="shared" ca="1" si="1"/>
        <v>46118</v>
      </c>
      <c r="K108" s="13"/>
    </row>
    <row r="109" spans="1:11" ht="18" hidden="1" x14ac:dyDescent="0.4">
      <c r="A109" s="7" t="s">
        <v>98</v>
      </c>
      <c r="B109" s="85" t="s">
        <v>123</v>
      </c>
      <c r="C109" s="8">
        <v>27951</v>
      </c>
      <c r="D109" s="9">
        <v>463385060</v>
      </c>
      <c r="E109" s="57">
        <v>800</v>
      </c>
      <c r="F109" s="10" t="s">
        <v>124</v>
      </c>
      <c r="G109" s="88">
        <v>5000</v>
      </c>
      <c r="H109" s="70">
        <f t="shared" si="3"/>
        <v>6.25</v>
      </c>
      <c r="I109" s="11">
        <f t="shared" ca="1" si="7"/>
        <v>46119</v>
      </c>
      <c r="J109" s="11">
        <f t="shared" ca="1" si="1"/>
        <v>46118</v>
      </c>
      <c r="K109" s="13"/>
    </row>
    <row r="110" spans="1:11" ht="18" hidden="1" x14ac:dyDescent="0.4">
      <c r="A110" s="7" t="s">
        <v>98</v>
      </c>
      <c r="B110" s="85" t="s">
        <v>123</v>
      </c>
      <c r="C110" s="8">
        <v>27951</v>
      </c>
      <c r="D110" s="9">
        <v>552821660</v>
      </c>
      <c r="E110" s="57">
        <v>600</v>
      </c>
      <c r="F110" s="10" t="s">
        <v>125</v>
      </c>
      <c r="G110" s="88">
        <v>5000</v>
      </c>
      <c r="H110" s="70">
        <f t="shared" si="3"/>
        <v>8.3333333333333339</v>
      </c>
      <c r="I110" s="11">
        <f t="shared" ca="1" si="7"/>
        <v>46119</v>
      </c>
      <c r="J110" s="11">
        <f t="shared" ca="1" si="1"/>
        <v>46118</v>
      </c>
      <c r="K110" s="13"/>
    </row>
    <row r="111" spans="1:11" ht="18" hidden="1" x14ac:dyDescent="0.4">
      <c r="A111" s="7" t="s">
        <v>98</v>
      </c>
      <c r="B111" s="85" t="s">
        <v>123</v>
      </c>
      <c r="C111" s="8">
        <v>27951</v>
      </c>
      <c r="D111" s="9">
        <v>552822750</v>
      </c>
      <c r="E111" s="57">
        <v>300</v>
      </c>
      <c r="F111" s="10" t="s">
        <v>126</v>
      </c>
      <c r="G111" s="88">
        <v>5000</v>
      </c>
      <c r="H111" s="70">
        <f t="shared" si="3"/>
        <v>16.666666666666668</v>
      </c>
      <c r="I111" s="11">
        <f t="shared" ca="1" si="7"/>
        <v>46119</v>
      </c>
      <c r="J111" s="11">
        <f t="shared" ca="1" si="1"/>
        <v>46118</v>
      </c>
      <c r="K111" s="13"/>
    </row>
    <row r="112" spans="1:11" ht="18" hidden="1" x14ac:dyDescent="0.4">
      <c r="A112" s="7" t="s">
        <v>98</v>
      </c>
      <c r="B112" s="85" t="s">
        <v>123</v>
      </c>
      <c r="C112" s="8">
        <v>27951</v>
      </c>
      <c r="D112" s="9">
        <v>552821670</v>
      </c>
      <c r="E112" s="57">
        <v>100</v>
      </c>
      <c r="F112" s="10" t="s">
        <v>127</v>
      </c>
      <c r="G112" s="88">
        <v>5000</v>
      </c>
      <c r="H112" s="70">
        <f t="shared" si="3"/>
        <v>50</v>
      </c>
      <c r="I112" s="11">
        <f t="shared" ca="1" si="7"/>
        <v>46119</v>
      </c>
      <c r="J112" s="11">
        <f t="shared" ca="1" si="1"/>
        <v>46118</v>
      </c>
      <c r="K112" s="13"/>
    </row>
    <row r="113" spans="1:11" ht="18" hidden="1" x14ac:dyDescent="0.4">
      <c r="A113" s="7" t="s">
        <v>98</v>
      </c>
      <c r="B113" s="85" t="s">
        <v>123</v>
      </c>
      <c r="C113" s="8">
        <v>27951</v>
      </c>
      <c r="D113" s="9">
        <v>552845970</v>
      </c>
      <c r="E113" s="57">
        <v>600</v>
      </c>
      <c r="F113" s="10" t="s">
        <v>127</v>
      </c>
      <c r="G113" s="88">
        <v>5000</v>
      </c>
      <c r="H113" s="70">
        <f t="shared" si="3"/>
        <v>8.3333333333333339</v>
      </c>
      <c r="I113" s="11">
        <f t="shared" ca="1" si="7"/>
        <v>46119</v>
      </c>
      <c r="J113" s="11">
        <f t="shared" ca="1" si="1"/>
        <v>46118</v>
      </c>
      <c r="K113" s="13"/>
    </row>
    <row r="114" spans="1:11" ht="18" hidden="1" x14ac:dyDescent="0.4">
      <c r="A114" s="7" t="s">
        <v>98</v>
      </c>
      <c r="B114" s="85" t="s">
        <v>123</v>
      </c>
      <c r="C114" s="8">
        <v>27951</v>
      </c>
      <c r="D114" s="9">
        <v>552798810</v>
      </c>
      <c r="E114" s="57">
        <v>250</v>
      </c>
      <c r="F114" s="10" t="s">
        <v>127</v>
      </c>
      <c r="G114" s="88">
        <v>5000</v>
      </c>
      <c r="H114" s="70">
        <f t="shared" si="3"/>
        <v>20</v>
      </c>
      <c r="I114" s="11">
        <f t="shared" ca="1" si="7"/>
        <v>46119</v>
      </c>
      <c r="J114" s="11">
        <f t="shared" ca="1" si="1"/>
        <v>46118</v>
      </c>
      <c r="K114" s="13"/>
    </row>
    <row r="115" spans="1:11" ht="18" hidden="1" x14ac:dyDescent="0.4">
      <c r="A115" s="7" t="s">
        <v>98</v>
      </c>
      <c r="B115" s="85" t="s">
        <v>123</v>
      </c>
      <c r="C115" s="8">
        <v>27951</v>
      </c>
      <c r="D115" s="9">
        <v>552842340</v>
      </c>
      <c r="E115" s="57">
        <v>800</v>
      </c>
      <c r="F115" s="10" t="s">
        <v>127</v>
      </c>
      <c r="G115" s="88">
        <v>5000</v>
      </c>
      <c r="H115" s="70">
        <f t="shared" si="3"/>
        <v>6.25</v>
      </c>
      <c r="I115" s="11">
        <f t="shared" ca="1" si="5"/>
        <v>46119</v>
      </c>
      <c r="J115" s="11">
        <f t="shared" ca="1" si="1"/>
        <v>46118</v>
      </c>
      <c r="K115" s="13"/>
    </row>
    <row r="116" spans="1:11" ht="18" hidden="1" x14ac:dyDescent="0.4">
      <c r="A116" s="7" t="s">
        <v>98</v>
      </c>
      <c r="B116" s="85" t="s">
        <v>123</v>
      </c>
      <c r="C116" s="8">
        <v>27951</v>
      </c>
      <c r="D116" s="9">
        <v>552822630</v>
      </c>
      <c r="E116" s="57">
        <v>600</v>
      </c>
      <c r="F116" s="10" t="s">
        <v>127</v>
      </c>
      <c r="G116" s="88">
        <v>5000</v>
      </c>
      <c r="H116" s="70">
        <f t="shared" si="3"/>
        <v>8.3333333333333339</v>
      </c>
      <c r="I116" s="11">
        <f t="shared" ca="1" si="5"/>
        <v>46119</v>
      </c>
      <c r="J116" s="11">
        <f t="shared" ca="1" si="1"/>
        <v>46118</v>
      </c>
      <c r="K116" s="13"/>
    </row>
    <row r="117" spans="1:11" ht="18" hidden="1" x14ac:dyDescent="0.4">
      <c r="A117" s="7" t="s">
        <v>98</v>
      </c>
      <c r="B117" s="85" t="s">
        <v>123</v>
      </c>
      <c r="C117" s="8">
        <v>27951</v>
      </c>
      <c r="D117" s="9">
        <v>552799020</v>
      </c>
      <c r="E117" s="57">
        <v>200</v>
      </c>
      <c r="F117" s="10" t="s">
        <v>127</v>
      </c>
      <c r="G117" s="88">
        <v>5000</v>
      </c>
      <c r="H117" s="70">
        <f t="shared" si="3"/>
        <v>25</v>
      </c>
      <c r="I117" s="11">
        <f t="shared" ca="1" si="5"/>
        <v>46119</v>
      </c>
      <c r="J117" s="11">
        <f t="shared" ca="1" si="1"/>
        <v>46118</v>
      </c>
      <c r="K117" s="13"/>
    </row>
    <row r="118" spans="1:11" ht="18" hidden="1" x14ac:dyDescent="0.4">
      <c r="A118" s="7" t="s">
        <v>98</v>
      </c>
      <c r="B118" s="85" t="s">
        <v>123</v>
      </c>
      <c r="C118" s="8">
        <v>27951</v>
      </c>
      <c r="D118" s="9">
        <v>463369240</v>
      </c>
      <c r="E118" s="57">
        <v>500</v>
      </c>
      <c r="F118" s="10" t="s">
        <v>127</v>
      </c>
      <c r="G118" s="88">
        <v>5000</v>
      </c>
      <c r="H118" s="70">
        <f t="shared" si="3"/>
        <v>10</v>
      </c>
      <c r="I118" s="11">
        <f t="shared" ca="1" si="5"/>
        <v>46119</v>
      </c>
      <c r="J118" s="11">
        <f t="shared" ca="1" si="1"/>
        <v>46118</v>
      </c>
      <c r="K118" s="13"/>
    </row>
    <row r="119" spans="1:11" ht="18" hidden="1" x14ac:dyDescent="0.4">
      <c r="A119" s="7" t="s">
        <v>98</v>
      </c>
      <c r="B119" s="85" t="s">
        <v>123</v>
      </c>
      <c r="C119" s="8">
        <v>27951</v>
      </c>
      <c r="D119" s="9">
        <v>463398780</v>
      </c>
      <c r="E119" s="57">
        <v>400</v>
      </c>
      <c r="F119" s="10" t="s">
        <v>128</v>
      </c>
      <c r="G119" s="88">
        <v>5000</v>
      </c>
      <c r="H119" s="70">
        <f t="shared" si="3"/>
        <v>12.5</v>
      </c>
      <c r="I119" s="11">
        <f t="shared" ca="1" si="5"/>
        <v>46119</v>
      </c>
      <c r="J119" s="11">
        <f t="shared" ca="1" si="1"/>
        <v>46118</v>
      </c>
      <c r="K119" s="13"/>
    </row>
    <row r="120" spans="1:11" ht="18" hidden="1" x14ac:dyDescent="0.4">
      <c r="A120" s="7" t="s">
        <v>98</v>
      </c>
      <c r="B120" s="85" t="s">
        <v>123</v>
      </c>
      <c r="C120" s="8">
        <v>27951</v>
      </c>
      <c r="D120" s="9">
        <v>552822620</v>
      </c>
      <c r="E120" s="57">
        <v>800</v>
      </c>
      <c r="F120" s="10" t="s">
        <v>129</v>
      </c>
      <c r="G120" s="88">
        <v>5000</v>
      </c>
      <c r="H120" s="70">
        <f t="shared" si="3"/>
        <v>6.25</v>
      </c>
      <c r="I120" s="11">
        <f t="shared" ca="1" si="5"/>
        <v>46119</v>
      </c>
      <c r="J120" s="11">
        <f t="shared" ca="1" si="1"/>
        <v>46118</v>
      </c>
      <c r="K120" s="13"/>
    </row>
    <row r="121" spans="1:11" ht="18" hidden="1" x14ac:dyDescent="0.4">
      <c r="A121" s="7" t="s">
        <v>98</v>
      </c>
      <c r="B121" s="85" t="s">
        <v>123</v>
      </c>
      <c r="C121" s="8">
        <v>27951</v>
      </c>
      <c r="D121" s="9">
        <v>463473640</v>
      </c>
      <c r="E121" s="57">
        <v>500</v>
      </c>
      <c r="F121" s="10" t="s">
        <v>130</v>
      </c>
      <c r="G121" s="88">
        <v>5000</v>
      </c>
      <c r="H121" s="70">
        <f t="shared" si="3"/>
        <v>10</v>
      </c>
      <c r="I121" s="11">
        <f t="shared" ca="1" si="5"/>
        <v>46119</v>
      </c>
      <c r="J121" s="11">
        <f t="shared" ca="1" si="1"/>
        <v>46118</v>
      </c>
      <c r="K121" s="13"/>
    </row>
    <row r="122" spans="1:11" ht="18" hidden="1" x14ac:dyDescent="0.4">
      <c r="A122" s="7" t="s">
        <v>98</v>
      </c>
      <c r="B122" s="85" t="s">
        <v>123</v>
      </c>
      <c r="C122" s="8">
        <v>27951</v>
      </c>
      <c r="D122" s="9">
        <v>552831540</v>
      </c>
      <c r="E122" s="57">
        <v>400</v>
      </c>
      <c r="F122" s="10" t="s">
        <v>131</v>
      </c>
      <c r="G122" s="88">
        <v>5000</v>
      </c>
      <c r="H122" s="70">
        <f t="shared" si="3"/>
        <v>12.5</v>
      </c>
      <c r="I122" s="11">
        <f t="shared" ca="1" si="5"/>
        <v>46119</v>
      </c>
      <c r="J122" s="11">
        <f t="shared" ca="1" si="1"/>
        <v>46118</v>
      </c>
      <c r="K122" s="13"/>
    </row>
    <row r="123" spans="1:11" ht="18" hidden="1" x14ac:dyDescent="0.4">
      <c r="A123" s="7" t="s">
        <v>98</v>
      </c>
      <c r="B123" s="85" t="s">
        <v>123</v>
      </c>
      <c r="C123" s="8">
        <v>27951</v>
      </c>
      <c r="D123" s="9">
        <v>187517280</v>
      </c>
      <c r="E123" s="57">
        <v>400</v>
      </c>
      <c r="F123" s="10" t="s">
        <v>132</v>
      </c>
      <c r="G123" s="88">
        <v>5000</v>
      </c>
      <c r="H123" s="70">
        <f t="shared" si="3"/>
        <v>12.5</v>
      </c>
      <c r="I123" s="11">
        <f t="shared" ca="1" si="5"/>
        <v>46119</v>
      </c>
      <c r="J123" s="11">
        <f t="shared" ca="1" si="1"/>
        <v>46118</v>
      </c>
      <c r="K123" s="13"/>
    </row>
    <row r="124" spans="1:11" ht="18" hidden="1" x14ac:dyDescent="0.4">
      <c r="A124" s="7" t="s">
        <v>98</v>
      </c>
      <c r="B124" s="85" t="s">
        <v>123</v>
      </c>
      <c r="C124" s="8">
        <v>27951</v>
      </c>
      <c r="D124" s="9">
        <v>552822460</v>
      </c>
      <c r="E124" s="57">
        <v>650</v>
      </c>
      <c r="F124" s="10" t="s">
        <v>133</v>
      </c>
      <c r="G124" s="88">
        <v>5000</v>
      </c>
      <c r="H124" s="70">
        <f t="shared" si="3"/>
        <v>7.6923076923076925</v>
      </c>
      <c r="I124" s="11">
        <f t="shared" ca="1" si="5"/>
        <v>46119</v>
      </c>
      <c r="J124" s="11">
        <f t="shared" ca="1" si="1"/>
        <v>46118</v>
      </c>
      <c r="K124" s="13"/>
    </row>
    <row r="125" spans="1:11" ht="18" hidden="1" x14ac:dyDescent="0.4">
      <c r="A125" s="7" t="s">
        <v>98</v>
      </c>
      <c r="B125" s="85" t="s">
        <v>123</v>
      </c>
      <c r="C125" s="8">
        <v>27951</v>
      </c>
      <c r="D125" s="9">
        <v>552821610</v>
      </c>
      <c r="E125" s="57">
        <v>150</v>
      </c>
      <c r="F125" s="10" t="s">
        <v>134</v>
      </c>
      <c r="G125" s="88">
        <v>5000</v>
      </c>
      <c r="H125" s="70">
        <f t="shared" si="3"/>
        <v>33.333333333333336</v>
      </c>
      <c r="I125" s="11">
        <f t="shared" ca="1" si="5"/>
        <v>46119</v>
      </c>
      <c r="J125" s="11">
        <f t="shared" ca="1" si="1"/>
        <v>46118</v>
      </c>
      <c r="K125" s="13"/>
    </row>
    <row r="126" spans="1:11" ht="18" hidden="1" x14ac:dyDescent="0.4">
      <c r="A126" s="7" t="s">
        <v>98</v>
      </c>
      <c r="B126" s="85" t="s">
        <v>123</v>
      </c>
      <c r="C126" s="8">
        <v>27951</v>
      </c>
      <c r="D126" s="9">
        <v>552842370</v>
      </c>
      <c r="E126" s="57">
        <v>400</v>
      </c>
      <c r="F126" s="10" t="s">
        <v>135</v>
      </c>
      <c r="G126" s="88">
        <v>5000</v>
      </c>
      <c r="H126" s="70">
        <f t="shared" si="3"/>
        <v>12.5</v>
      </c>
      <c r="I126" s="11">
        <f t="shared" ca="1" si="5"/>
        <v>46119</v>
      </c>
      <c r="J126" s="11">
        <f t="shared" ca="1" si="1"/>
        <v>46118</v>
      </c>
      <c r="K126" s="13"/>
    </row>
    <row r="127" spans="1:11" ht="18" hidden="1" x14ac:dyDescent="0.4">
      <c r="A127" s="7" t="s">
        <v>98</v>
      </c>
      <c r="B127" s="86" t="s">
        <v>123</v>
      </c>
      <c r="C127" s="8">
        <v>27951</v>
      </c>
      <c r="D127" s="9">
        <v>552821600</v>
      </c>
      <c r="E127" s="57">
        <v>300</v>
      </c>
      <c r="F127" s="10" t="s">
        <v>136</v>
      </c>
      <c r="G127" s="88">
        <v>5000</v>
      </c>
      <c r="H127" s="70">
        <f t="shared" si="3"/>
        <v>16.666666666666668</v>
      </c>
      <c r="I127" s="11">
        <f t="shared" ca="1" si="5"/>
        <v>46119</v>
      </c>
      <c r="J127" s="11">
        <f t="shared" ca="1" si="1"/>
        <v>46118</v>
      </c>
      <c r="K127" s="13"/>
    </row>
    <row r="128" spans="1:11" ht="18" hidden="1" x14ac:dyDescent="0.4">
      <c r="A128" s="7" t="s">
        <v>98</v>
      </c>
      <c r="B128" s="86" t="s">
        <v>137</v>
      </c>
      <c r="C128" s="8">
        <v>36019</v>
      </c>
      <c r="D128" s="9">
        <v>463375300</v>
      </c>
      <c r="E128" s="57">
        <v>1000</v>
      </c>
      <c r="F128" s="10" t="s">
        <v>390</v>
      </c>
      <c r="G128" s="88">
        <v>0</v>
      </c>
      <c r="H128" s="70">
        <f t="shared" si="3"/>
        <v>0</v>
      </c>
      <c r="I128" s="11">
        <f t="shared" ref="I128:I136" ca="1" si="8">I119</f>
        <v>46119</v>
      </c>
      <c r="J128" s="11">
        <f t="shared" ca="1" si="1"/>
        <v>46118</v>
      </c>
      <c r="K128" s="13"/>
    </row>
    <row r="129" spans="1:11" ht="18" hidden="1" x14ac:dyDescent="0.4">
      <c r="A129" s="7" t="s">
        <v>98</v>
      </c>
      <c r="B129" s="86" t="s">
        <v>137</v>
      </c>
      <c r="C129" s="8">
        <v>36019</v>
      </c>
      <c r="D129" s="9">
        <v>463385060</v>
      </c>
      <c r="E129" s="57">
        <v>800</v>
      </c>
      <c r="F129" s="10" t="s">
        <v>124</v>
      </c>
      <c r="G129" s="88">
        <v>0</v>
      </c>
      <c r="H129" s="70">
        <f t="shared" si="3"/>
        <v>0</v>
      </c>
      <c r="I129" s="11">
        <f t="shared" ca="1" si="8"/>
        <v>46119</v>
      </c>
      <c r="J129" s="11">
        <f t="shared" ca="1" si="1"/>
        <v>46118</v>
      </c>
      <c r="K129" s="13"/>
    </row>
    <row r="130" spans="1:11" ht="18" hidden="1" x14ac:dyDescent="0.4">
      <c r="A130" s="7" t="s">
        <v>98</v>
      </c>
      <c r="B130" s="86" t="s">
        <v>137</v>
      </c>
      <c r="C130" s="8">
        <v>36019</v>
      </c>
      <c r="D130" s="9">
        <v>552821660</v>
      </c>
      <c r="E130" s="57">
        <v>600</v>
      </c>
      <c r="F130" s="10" t="s">
        <v>125</v>
      </c>
      <c r="G130" s="88">
        <v>0</v>
      </c>
      <c r="H130" s="70">
        <f t="shared" si="3"/>
        <v>0</v>
      </c>
      <c r="I130" s="11">
        <f t="shared" ca="1" si="8"/>
        <v>46119</v>
      </c>
      <c r="J130" s="11">
        <f t="shared" ca="1" si="1"/>
        <v>46118</v>
      </c>
      <c r="K130" s="13"/>
    </row>
    <row r="131" spans="1:11" ht="18" hidden="1" x14ac:dyDescent="0.4">
      <c r="A131" s="7" t="s">
        <v>98</v>
      </c>
      <c r="B131" s="86" t="s">
        <v>137</v>
      </c>
      <c r="C131" s="8">
        <v>36019</v>
      </c>
      <c r="D131" s="9">
        <v>552822750</v>
      </c>
      <c r="E131" s="57">
        <v>300</v>
      </c>
      <c r="F131" s="10" t="s">
        <v>126</v>
      </c>
      <c r="G131" s="88">
        <v>0</v>
      </c>
      <c r="H131" s="70">
        <f t="shared" si="3"/>
        <v>0</v>
      </c>
      <c r="I131" s="11">
        <f t="shared" ca="1" si="8"/>
        <v>46119</v>
      </c>
      <c r="J131" s="11">
        <f t="shared" ca="1" si="1"/>
        <v>46118</v>
      </c>
      <c r="K131" s="13"/>
    </row>
    <row r="132" spans="1:11" ht="18" hidden="1" x14ac:dyDescent="0.4">
      <c r="A132" s="7" t="s">
        <v>98</v>
      </c>
      <c r="B132" s="86" t="s">
        <v>137</v>
      </c>
      <c r="C132" s="8">
        <v>36019</v>
      </c>
      <c r="D132" s="9">
        <v>552821670</v>
      </c>
      <c r="E132" s="57">
        <v>100</v>
      </c>
      <c r="F132" s="10" t="s">
        <v>127</v>
      </c>
      <c r="G132" s="88">
        <v>0</v>
      </c>
      <c r="H132" s="70">
        <f t="shared" si="3"/>
        <v>0</v>
      </c>
      <c r="I132" s="11">
        <f t="shared" ca="1" si="8"/>
        <v>46119</v>
      </c>
      <c r="J132" s="11">
        <f t="shared" ca="1" si="1"/>
        <v>46118</v>
      </c>
      <c r="K132" s="13"/>
    </row>
    <row r="133" spans="1:11" ht="18" hidden="1" x14ac:dyDescent="0.4">
      <c r="A133" s="7" t="s">
        <v>98</v>
      </c>
      <c r="B133" s="86" t="s">
        <v>137</v>
      </c>
      <c r="C133" s="8">
        <v>36019</v>
      </c>
      <c r="D133" s="9">
        <v>552845970</v>
      </c>
      <c r="E133" s="57">
        <v>600</v>
      </c>
      <c r="F133" s="10" t="s">
        <v>127</v>
      </c>
      <c r="G133" s="88">
        <v>0</v>
      </c>
      <c r="H133" s="70">
        <f t="shared" ref="H133:H198" si="9">+G133/E133</f>
        <v>0</v>
      </c>
      <c r="I133" s="11">
        <f t="shared" ca="1" si="8"/>
        <v>46119</v>
      </c>
      <c r="J133" s="11">
        <f t="shared" ca="1" si="1"/>
        <v>46118</v>
      </c>
      <c r="K133" s="13"/>
    </row>
    <row r="134" spans="1:11" ht="18" hidden="1" x14ac:dyDescent="0.4">
      <c r="A134" s="7" t="s">
        <v>98</v>
      </c>
      <c r="B134" s="86" t="s">
        <v>137</v>
      </c>
      <c r="C134" s="8">
        <v>36019</v>
      </c>
      <c r="D134" s="9">
        <v>552798810</v>
      </c>
      <c r="E134" s="57">
        <v>250</v>
      </c>
      <c r="F134" s="10" t="s">
        <v>127</v>
      </c>
      <c r="G134" s="88">
        <v>0</v>
      </c>
      <c r="H134" s="70">
        <f t="shared" si="9"/>
        <v>0</v>
      </c>
      <c r="I134" s="11">
        <f t="shared" ca="1" si="8"/>
        <v>46119</v>
      </c>
      <c r="J134" s="11">
        <f t="shared" ca="1" si="1"/>
        <v>46118</v>
      </c>
      <c r="K134" s="13"/>
    </row>
    <row r="135" spans="1:11" ht="18" hidden="1" x14ac:dyDescent="0.4">
      <c r="A135" s="7" t="s">
        <v>98</v>
      </c>
      <c r="B135" s="86" t="s">
        <v>137</v>
      </c>
      <c r="C135" s="8">
        <v>36019</v>
      </c>
      <c r="D135" s="9">
        <v>552842340</v>
      </c>
      <c r="E135" s="57">
        <v>800</v>
      </c>
      <c r="F135" s="10" t="s">
        <v>127</v>
      </c>
      <c r="G135" s="88">
        <v>0</v>
      </c>
      <c r="H135" s="70">
        <f t="shared" si="9"/>
        <v>0</v>
      </c>
      <c r="I135" s="11">
        <f t="shared" ca="1" si="8"/>
        <v>46119</v>
      </c>
      <c r="J135" s="11">
        <f t="shared" ca="1" si="1"/>
        <v>46118</v>
      </c>
      <c r="K135" s="13"/>
    </row>
    <row r="136" spans="1:11" ht="18" hidden="1" x14ac:dyDescent="0.4">
      <c r="A136" s="7" t="s">
        <v>98</v>
      </c>
      <c r="B136" s="86" t="s">
        <v>137</v>
      </c>
      <c r="C136" s="8">
        <v>36019</v>
      </c>
      <c r="D136" s="9">
        <v>552822630</v>
      </c>
      <c r="E136" s="57">
        <v>600</v>
      </c>
      <c r="F136" s="10" t="s">
        <v>127</v>
      </c>
      <c r="G136" s="88">
        <v>0</v>
      </c>
      <c r="H136" s="70">
        <f t="shared" si="9"/>
        <v>0</v>
      </c>
      <c r="I136" s="11">
        <f t="shared" ca="1" si="8"/>
        <v>46119</v>
      </c>
      <c r="J136" s="11">
        <f t="shared" ca="1" si="1"/>
        <v>46118</v>
      </c>
      <c r="K136" s="13"/>
    </row>
    <row r="137" spans="1:11" ht="18" hidden="1" x14ac:dyDescent="0.4">
      <c r="A137" s="7" t="s">
        <v>98</v>
      </c>
      <c r="B137" s="86" t="s">
        <v>137</v>
      </c>
      <c r="C137" s="8">
        <v>36019</v>
      </c>
      <c r="D137" s="9">
        <v>552799020</v>
      </c>
      <c r="E137" s="57">
        <v>200</v>
      </c>
      <c r="F137" s="10" t="s">
        <v>127</v>
      </c>
      <c r="G137" s="88">
        <v>0</v>
      </c>
      <c r="H137" s="70">
        <f t="shared" si="9"/>
        <v>0</v>
      </c>
      <c r="I137" s="11">
        <f t="shared" ca="1" si="5"/>
        <v>46119</v>
      </c>
      <c r="J137" s="11">
        <f t="shared" ca="1" si="1"/>
        <v>46118</v>
      </c>
      <c r="K137" s="13"/>
    </row>
    <row r="138" spans="1:11" ht="18" hidden="1" x14ac:dyDescent="0.4">
      <c r="A138" s="7" t="s">
        <v>98</v>
      </c>
      <c r="B138" s="86" t="s">
        <v>137</v>
      </c>
      <c r="C138" s="8">
        <v>36019</v>
      </c>
      <c r="D138" s="9">
        <v>463369240</v>
      </c>
      <c r="E138" s="57">
        <v>500</v>
      </c>
      <c r="F138" s="10" t="s">
        <v>127</v>
      </c>
      <c r="G138" s="88">
        <v>0</v>
      </c>
      <c r="H138" s="70">
        <f t="shared" si="9"/>
        <v>0</v>
      </c>
      <c r="I138" s="11">
        <f t="shared" ca="1" si="5"/>
        <v>46119</v>
      </c>
      <c r="J138" s="11">
        <f t="shared" ca="1" si="1"/>
        <v>46118</v>
      </c>
      <c r="K138" s="13"/>
    </row>
    <row r="139" spans="1:11" ht="18" hidden="1" x14ac:dyDescent="0.4">
      <c r="A139" s="7" t="s">
        <v>98</v>
      </c>
      <c r="B139" s="86" t="s">
        <v>137</v>
      </c>
      <c r="C139" s="8">
        <v>36019</v>
      </c>
      <c r="D139" s="9">
        <v>463398780</v>
      </c>
      <c r="E139" s="57">
        <v>400</v>
      </c>
      <c r="F139" s="10" t="s">
        <v>128</v>
      </c>
      <c r="G139" s="88">
        <v>0</v>
      </c>
      <c r="H139" s="70">
        <f t="shared" si="9"/>
        <v>0</v>
      </c>
      <c r="I139" s="11">
        <f t="shared" ca="1" si="5"/>
        <v>46119</v>
      </c>
      <c r="J139" s="11">
        <f t="shared" ca="1" si="1"/>
        <v>46118</v>
      </c>
      <c r="K139" s="13"/>
    </row>
    <row r="140" spans="1:11" ht="18" hidden="1" x14ac:dyDescent="0.4">
      <c r="A140" s="7" t="s">
        <v>98</v>
      </c>
      <c r="B140" s="86" t="s">
        <v>137</v>
      </c>
      <c r="C140" s="8">
        <v>36019</v>
      </c>
      <c r="D140" s="9">
        <v>552822620</v>
      </c>
      <c r="E140" s="57">
        <v>800</v>
      </c>
      <c r="F140" s="10" t="s">
        <v>129</v>
      </c>
      <c r="G140" s="88">
        <v>0</v>
      </c>
      <c r="H140" s="70">
        <f t="shared" si="9"/>
        <v>0</v>
      </c>
      <c r="I140" s="11">
        <f t="shared" ca="1" si="5"/>
        <v>46119</v>
      </c>
      <c r="J140" s="11">
        <f t="shared" ca="1" si="1"/>
        <v>46118</v>
      </c>
      <c r="K140" s="13"/>
    </row>
    <row r="141" spans="1:11" ht="18" hidden="1" x14ac:dyDescent="0.4">
      <c r="A141" s="7" t="s">
        <v>98</v>
      </c>
      <c r="B141" s="86" t="s">
        <v>137</v>
      </c>
      <c r="C141" s="8">
        <v>36019</v>
      </c>
      <c r="D141" s="9">
        <v>463473640</v>
      </c>
      <c r="E141" s="57">
        <v>500</v>
      </c>
      <c r="F141" s="10" t="s">
        <v>130</v>
      </c>
      <c r="G141" s="88">
        <v>0</v>
      </c>
      <c r="H141" s="70">
        <f t="shared" si="9"/>
        <v>0</v>
      </c>
      <c r="I141" s="11">
        <f t="shared" ca="1" si="5"/>
        <v>46119</v>
      </c>
      <c r="J141" s="11">
        <f t="shared" ca="1" si="1"/>
        <v>46118</v>
      </c>
      <c r="K141" s="13"/>
    </row>
    <row r="142" spans="1:11" ht="18" hidden="1" x14ac:dyDescent="0.4">
      <c r="A142" s="7" t="s">
        <v>98</v>
      </c>
      <c r="B142" s="86" t="s">
        <v>137</v>
      </c>
      <c r="C142" s="8">
        <v>36019</v>
      </c>
      <c r="D142" s="9">
        <v>552831540</v>
      </c>
      <c r="E142" s="57">
        <v>400</v>
      </c>
      <c r="F142" s="10" t="s">
        <v>131</v>
      </c>
      <c r="G142" s="88">
        <v>0</v>
      </c>
      <c r="H142" s="70">
        <f t="shared" si="9"/>
        <v>0</v>
      </c>
      <c r="I142" s="11">
        <f t="shared" ca="1" si="5"/>
        <v>46119</v>
      </c>
      <c r="J142" s="11">
        <f t="shared" ca="1" si="1"/>
        <v>46118</v>
      </c>
      <c r="K142" s="13"/>
    </row>
    <row r="143" spans="1:11" ht="18" hidden="1" x14ac:dyDescent="0.4">
      <c r="A143" s="7" t="s">
        <v>98</v>
      </c>
      <c r="B143" s="86" t="s">
        <v>137</v>
      </c>
      <c r="C143" s="8">
        <v>36019</v>
      </c>
      <c r="D143" s="9">
        <v>187517280</v>
      </c>
      <c r="E143" s="57">
        <v>400</v>
      </c>
      <c r="F143" s="10" t="s">
        <v>132</v>
      </c>
      <c r="G143" s="88">
        <v>0</v>
      </c>
      <c r="H143" s="70">
        <f t="shared" si="9"/>
        <v>0</v>
      </c>
      <c r="I143" s="11">
        <f t="shared" ca="1" si="5"/>
        <v>46119</v>
      </c>
      <c r="J143" s="11">
        <f t="shared" ca="1" si="1"/>
        <v>46118</v>
      </c>
      <c r="K143" s="13"/>
    </row>
    <row r="144" spans="1:11" ht="18" hidden="1" x14ac:dyDescent="0.4">
      <c r="A144" s="7" t="s">
        <v>98</v>
      </c>
      <c r="B144" s="86" t="s">
        <v>137</v>
      </c>
      <c r="C144" s="8">
        <v>36019</v>
      </c>
      <c r="D144" s="9">
        <v>552822460</v>
      </c>
      <c r="E144" s="57">
        <v>650</v>
      </c>
      <c r="F144" s="10" t="s">
        <v>133</v>
      </c>
      <c r="G144" s="88">
        <v>0</v>
      </c>
      <c r="H144" s="70">
        <f t="shared" si="9"/>
        <v>0</v>
      </c>
      <c r="I144" s="11">
        <f t="shared" ca="1" si="5"/>
        <v>46119</v>
      </c>
      <c r="J144" s="11">
        <f t="shared" ca="1" si="1"/>
        <v>46118</v>
      </c>
      <c r="K144" s="13"/>
    </row>
    <row r="145" spans="1:11" ht="18" hidden="1" x14ac:dyDescent="0.4">
      <c r="A145" s="7" t="s">
        <v>98</v>
      </c>
      <c r="B145" s="86" t="s">
        <v>137</v>
      </c>
      <c r="C145" s="8">
        <v>36019</v>
      </c>
      <c r="D145" s="9">
        <v>552821610</v>
      </c>
      <c r="E145" s="57">
        <v>150</v>
      </c>
      <c r="F145" s="10" t="s">
        <v>134</v>
      </c>
      <c r="G145" s="88">
        <v>0</v>
      </c>
      <c r="H145" s="70">
        <f t="shared" si="9"/>
        <v>0</v>
      </c>
      <c r="I145" s="11">
        <f t="shared" ca="1" si="5"/>
        <v>46119</v>
      </c>
      <c r="J145" s="11">
        <f t="shared" ca="1" si="1"/>
        <v>46118</v>
      </c>
      <c r="K145" s="13"/>
    </row>
    <row r="146" spans="1:11" ht="18" hidden="1" x14ac:dyDescent="0.4">
      <c r="A146" s="7" t="s">
        <v>98</v>
      </c>
      <c r="B146" s="86" t="s">
        <v>137</v>
      </c>
      <c r="C146" s="8">
        <v>36019</v>
      </c>
      <c r="D146" s="9">
        <v>552842370</v>
      </c>
      <c r="E146" s="57">
        <v>400</v>
      </c>
      <c r="F146" s="10" t="s">
        <v>135</v>
      </c>
      <c r="G146" s="88">
        <v>0</v>
      </c>
      <c r="H146" s="70">
        <f t="shared" si="9"/>
        <v>0</v>
      </c>
      <c r="I146" s="11">
        <f t="shared" ca="1" si="5"/>
        <v>46119</v>
      </c>
      <c r="J146" s="11">
        <f t="shared" ca="1" si="1"/>
        <v>46118</v>
      </c>
      <c r="K146" s="13"/>
    </row>
    <row r="147" spans="1:11" ht="18" hidden="1" x14ac:dyDescent="0.4">
      <c r="A147" s="7" t="s">
        <v>98</v>
      </c>
      <c r="B147" s="86" t="s">
        <v>137</v>
      </c>
      <c r="C147" s="8">
        <v>36019</v>
      </c>
      <c r="D147" s="9">
        <v>552821600</v>
      </c>
      <c r="E147" s="57">
        <v>300</v>
      </c>
      <c r="F147" s="10" t="s">
        <v>136</v>
      </c>
      <c r="G147" s="88">
        <v>0</v>
      </c>
      <c r="H147" s="70">
        <f t="shared" si="9"/>
        <v>0</v>
      </c>
      <c r="I147" s="11">
        <f t="shared" ca="1" si="5"/>
        <v>46119</v>
      </c>
      <c r="J147" s="11">
        <f t="shared" ca="1" si="1"/>
        <v>46118</v>
      </c>
      <c r="K147" s="13"/>
    </row>
    <row r="148" spans="1:11" ht="18" hidden="1" x14ac:dyDescent="0.4">
      <c r="A148" s="7" t="s">
        <v>98</v>
      </c>
      <c r="B148" s="86" t="s">
        <v>137</v>
      </c>
      <c r="C148" s="8">
        <v>36019</v>
      </c>
      <c r="D148" s="9">
        <v>463532640</v>
      </c>
      <c r="E148" s="57">
        <v>1100</v>
      </c>
      <c r="F148" s="10" t="s">
        <v>194</v>
      </c>
      <c r="G148" s="88">
        <v>0</v>
      </c>
      <c r="H148" s="70">
        <f t="shared" si="9"/>
        <v>0</v>
      </c>
      <c r="I148" s="11">
        <f t="shared" ca="1" si="5"/>
        <v>46119</v>
      </c>
      <c r="J148" s="11">
        <f t="shared" ca="1" si="1"/>
        <v>46118</v>
      </c>
      <c r="K148" s="13"/>
    </row>
    <row r="149" spans="1:11" ht="18" hidden="1" x14ac:dyDescent="0.4">
      <c r="A149" s="7" t="s">
        <v>98</v>
      </c>
      <c r="B149" s="86" t="s">
        <v>137</v>
      </c>
      <c r="C149" s="8">
        <v>36019</v>
      </c>
      <c r="D149" s="9">
        <v>463532650</v>
      </c>
      <c r="E149" s="57">
        <v>800</v>
      </c>
      <c r="F149" s="10" t="s">
        <v>195</v>
      </c>
      <c r="G149" s="88">
        <v>0</v>
      </c>
      <c r="H149" s="70">
        <f t="shared" si="9"/>
        <v>0</v>
      </c>
      <c r="I149" s="11">
        <f ca="1">I141</f>
        <v>46119</v>
      </c>
      <c r="J149" s="11">
        <f t="shared" ca="1" si="1"/>
        <v>46118</v>
      </c>
      <c r="K149" s="13"/>
    </row>
    <row r="150" spans="1:11" ht="18" hidden="1" x14ac:dyDescent="0.4">
      <c r="A150" s="7" t="s">
        <v>98</v>
      </c>
      <c r="B150" s="86" t="s">
        <v>703</v>
      </c>
      <c r="C150" s="8">
        <v>51658</v>
      </c>
      <c r="D150" s="9">
        <v>463485610</v>
      </c>
      <c r="E150" s="57">
        <v>600</v>
      </c>
      <c r="F150" s="10" t="s">
        <v>404</v>
      </c>
      <c r="G150" s="88">
        <v>0</v>
      </c>
      <c r="H150" s="70">
        <f t="shared" si="9"/>
        <v>0</v>
      </c>
      <c r="I150" s="11">
        <f t="shared" ref="I150:I155" ca="1" si="10">I122</f>
        <v>46119</v>
      </c>
      <c r="J150" s="11">
        <f t="shared" ca="1" si="1"/>
        <v>46118</v>
      </c>
      <c r="K150" s="13"/>
    </row>
    <row r="151" spans="1:11" ht="18" hidden="1" x14ac:dyDescent="0.4">
      <c r="A151" s="7" t="s">
        <v>98</v>
      </c>
      <c r="B151" s="86" t="s">
        <v>703</v>
      </c>
      <c r="C151" s="8">
        <v>51658</v>
      </c>
      <c r="D151" s="9">
        <v>463485620</v>
      </c>
      <c r="E151" s="57">
        <v>600</v>
      </c>
      <c r="F151" s="10" t="s">
        <v>405</v>
      </c>
      <c r="G151" s="88">
        <v>0</v>
      </c>
      <c r="H151" s="70">
        <f t="shared" si="9"/>
        <v>0</v>
      </c>
      <c r="I151" s="11">
        <f t="shared" ca="1" si="10"/>
        <v>46119</v>
      </c>
      <c r="J151" s="11">
        <f t="shared" ca="1" si="1"/>
        <v>46118</v>
      </c>
      <c r="K151" s="13"/>
    </row>
    <row r="152" spans="1:11" ht="18" hidden="1" x14ac:dyDescent="0.4">
      <c r="A152" s="7" t="s">
        <v>98</v>
      </c>
      <c r="B152" s="86" t="s">
        <v>703</v>
      </c>
      <c r="C152" s="8">
        <v>51658</v>
      </c>
      <c r="D152" s="9">
        <v>463485630</v>
      </c>
      <c r="E152" s="57">
        <v>600</v>
      </c>
      <c r="F152" s="10" t="s">
        <v>406</v>
      </c>
      <c r="G152" s="88">
        <v>0</v>
      </c>
      <c r="H152" s="70">
        <f t="shared" si="9"/>
        <v>0</v>
      </c>
      <c r="I152" s="11">
        <f t="shared" ca="1" si="10"/>
        <v>46119</v>
      </c>
      <c r="J152" s="11">
        <f t="shared" ca="1" si="1"/>
        <v>46118</v>
      </c>
      <c r="K152" s="13"/>
    </row>
    <row r="153" spans="1:11" ht="18" hidden="1" x14ac:dyDescent="0.4">
      <c r="A153" s="7" t="s">
        <v>98</v>
      </c>
      <c r="B153" s="86" t="s">
        <v>703</v>
      </c>
      <c r="C153" s="8">
        <v>51658</v>
      </c>
      <c r="D153" s="9">
        <v>463485640</v>
      </c>
      <c r="E153" s="57">
        <v>600</v>
      </c>
      <c r="F153" s="10" t="s">
        <v>704</v>
      </c>
      <c r="G153" s="88">
        <v>0</v>
      </c>
      <c r="H153" s="70">
        <f t="shared" si="9"/>
        <v>0</v>
      </c>
      <c r="I153" s="11">
        <f t="shared" ca="1" si="10"/>
        <v>46119</v>
      </c>
      <c r="J153" s="11">
        <f t="shared" ca="1" si="1"/>
        <v>46118</v>
      </c>
      <c r="K153" s="13"/>
    </row>
    <row r="154" spans="1:11" ht="18" hidden="1" x14ac:dyDescent="0.4">
      <c r="A154" s="7" t="s">
        <v>98</v>
      </c>
      <c r="B154" s="86" t="s">
        <v>703</v>
      </c>
      <c r="C154" s="8">
        <v>51658</v>
      </c>
      <c r="D154" s="9">
        <v>463485650</v>
      </c>
      <c r="E154" s="57">
        <v>600</v>
      </c>
      <c r="F154" s="10" t="s">
        <v>704</v>
      </c>
      <c r="G154" s="88">
        <v>0</v>
      </c>
      <c r="H154" s="70">
        <f t="shared" si="9"/>
        <v>0</v>
      </c>
      <c r="I154" s="11">
        <f t="shared" ca="1" si="10"/>
        <v>46119</v>
      </c>
      <c r="J154" s="11">
        <f t="shared" ca="1" si="1"/>
        <v>46118</v>
      </c>
      <c r="K154" s="13"/>
    </row>
    <row r="155" spans="1:11" ht="18" hidden="1" x14ac:dyDescent="0.4">
      <c r="A155" s="7" t="s">
        <v>98</v>
      </c>
      <c r="B155" s="86" t="s">
        <v>703</v>
      </c>
      <c r="C155" s="8">
        <v>51658</v>
      </c>
      <c r="D155" s="9">
        <v>463485660</v>
      </c>
      <c r="E155" s="57">
        <v>600</v>
      </c>
      <c r="F155" s="10" t="s">
        <v>704</v>
      </c>
      <c r="G155" s="88">
        <v>0</v>
      </c>
      <c r="H155" s="70">
        <f t="shared" si="9"/>
        <v>0</v>
      </c>
      <c r="I155" s="11">
        <f t="shared" ca="1" si="10"/>
        <v>46119</v>
      </c>
      <c r="J155" s="11">
        <f t="shared" ca="1" si="1"/>
        <v>46118</v>
      </c>
      <c r="K155" s="13"/>
    </row>
    <row r="156" spans="1:11" ht="18" hidden="1" x14ac:dyDescent="0.4">
      <c r="A156" s="7" t="s">
        <v>98</v>
      </c>
      <c r="B156" s="86" t="s">
        <v>703</v>
      </c>
      <c r="C156" s="8">
        <v>51658</v>
      </c>
      <c r="D156" s="9">
        <v>463485380</v>
      </c>
      <c r="E156" s="57">
        <v>400</v>
      </c>
      <c r="F156" s="10" t="s">
        <v>144</v>
      </c>
      <c r="G156" s="88">
        <v>0</v>
      </c>
      <c r="H156" s="70">
        <f t="shared" si="9"/>
        <v>0</v>
      </c>
      <c r="I156" s="11">
        <f ca="1">I129</f>
        <v>46119</v>
      </c>
      <c r="J156" s="11">
        <f t="shared" ca="1" si="1"/>
        <v>46118</v>
      </c>
      <c r="K156" s="13"/>
    </row>
    <row r="157" spans="1:11" ht="18" hidden="1" x14ac:dyDescent="0.4">
      <c r="A157" s="7" t="s">
        <v>98</v>
      </c>
      <c r="B157" s="86" t="s">
        <v>703</v>
      </c>
      <c r="C157" s="8">
        <v>51658</v>
      </c>
      <c r="D157" s="9">
        <v>463485390</v>
      </c>
      <c r="E157" s="57">
        <v>400</v>
      </c>
      <c r="F157" s="10" t="s">
        <v>145</v>
      </c>
      <c r="G157" s="88">
        <v>0</v>
      </c>
      <c r="H157" s="70">
        <f t="shared" si="9"/>
        <v>0</v>
      </c>
      <c r="I157" s="11">
        <f ca="1">I130</f>
        <v>46119</v>
      </c>
      <c r="J157" s="11">
        <f t="shared" ca="1" si="1"/>
        <v>46118</v>
      </c>
      <c r="K157" s="13"/>
    </row>
    <row r="158" spans="1:11" ht="18" hidden="1" x14ac:dyDescent="0.4">
      <c r="A158" s="7" t="s">
        <v>98</v>
      </c>
      <c r="B158" s="86" t="s">
        <v>703</v>
      </c>
      <c r="C158" s="8">
        <v>51658</v>
      </c>
      <c r="D158" s="9">
        <v>463485400</v>
      </c>
      <c r="E158" s="57">
        <v>400</v>
      </c>
      <c r="F158" s="10" t="s">
        <v>146</v>
      </c>
      <c r="G158" s="88">
        <v>0</v>
      </c>
      <c r="H158" s="70">
        <f t="shared" si="9"/>
        <v>0</v>
      </c>
      <c r="I158" s="11">
        <f ca="1">I149</f>
        <v>46119</v>
      </c>
      <c r="J158" s="11">
        <f t="shared" ca="1" si="1"/>
        <v>46118</v>
      </c>
      <c r="K158" s="13"/>
    </row>
    <row r="159" spans="1:11" ht="18" hidden="1" x14ac:dyDescent="0.4">
      <c r="A159" s="7" t="s">
        <v>98</v>
      </c>
      <c r="B159" s="86" t="s">
        <v>703</v>
      </c>
      <c r="C159" s="8">
        <v>51658</v>
      </c>
      <c r="D159" s="9">
        <v>463485440</v>
      </c>
      <c r="E159" s="57">
        <v>400</v>
      </c>
      <c r="F159" s="10" t="s">
        <v>147</v>
      </c>
      <c r="G159" s="88">
        <v>0</v>
      </c>
      <c r="H159" s="70">
        <f t="shared" si="9"/>
        <v>0</v>
      </c>
      <c r="I159" s="11">
        <f t="shared" ca="1" si="5"/>
        <v>46119</v>
      </c>
      <c r="J159" s="11">
        <f t="shared" ca="1" si="1"/>
        <v>46118</v>
      </c>
      <c r="K159" s="13"/>
    </row>
    <row r="160" spans="1:11" ht="18" hidden="1" x14ac:dyDescent="0.4">
      <c r="A160" s="7" t="s">
        <v>98</v>
      </c>
      <c r="B160" s="86" t="s">
        <v>703</v>
      </c>
      <c r="C160" s="8">
        <v>51658</v>
      </c>
      <c r="D160" s="9">
        <v>463485450</v>
      </c>
      <c r="E160" s="57">
        <v>400</v>
      </c>
      <c r="F160" s="10" t="s">
        <v>148</v>
      </c>
      <c r="G160" s="88">
        <v>0</v>
      </c>
      <c r="H160" s="70">
        <f t="shared" si="9"/>
        <v>0</v>
      </c>
      <c r="I160" s="11">
        <f t="shared" ca="1" si="5"/>
        <v>46119</v>
      </c>
      <c r="J160" s="11">
        <f t="shared" ca="1" si="1"/>
        <v>46118</v>
      </c>
      <c r="K160" s="13"/>
    </row>
    <row r="161" spans="1:11" ht="18" hidden="1" x14ac:dyDescent="0.4">
      <c r="A161" s="7" t="s">
        <v>98</v>
      </c>
      <c r="B161" s="86" t="s">
        <v>703</v>
      </c>
      <c r="C161" s="8">
        <v>51658</v>
      </c>
      <c r="D161" s="9">
        <v>463485460</v>
      </c>
      <c r="E161" s="57">
        <v>400</v>
      </c>
      <c r="F161" s="10" t="s">
        <v>149</v>
      </c>
      <c r="G161" s="88">
        <v>0</v>
      </c>
      <c r="H161" s="70">
        <f t="shared" si="9"/>
        <v>0</v>
      </c>
      <c r="I161" s="11">
        <f t="shared" ca="1" si="5"/>
        <v>46119</v>
      </c>
      <c r="J161" s="11">
        <f t="shared" ca="1" si="1"/>
        <v>46118</v>
      </c>
      <c r="K161" s="13"/>
    </row>
    <row r="162" spans="1:11" ht="18" hidden="1" x14ac:dyDescent="0.4">
      <c r="A162" s="7" t="s">
        <v>98</v>
      </c>
      <c r="B162" s="86" t="s">
        <v>703</v>
      </c>
      <c r="C162" s="8">
        <v>51658</v>
      </c>
      <c r="D162" s="9">
        <v>463563890</v>
      </c>
      <c r="E162" s="57">
        <v>400</v>
      </c>
      <c r="F162" s="10" t="s">
        <v>149</v>
      </c>
      <c r="G162" s="88">
        <v>0</v>
      </c>
      <c r="H162" s="70">
        <f t="shared" si="9"/>
        <v>0</v>
      </c>
      <c r="I162" s="11">
        <f t="shared" ca="1" si="5"/>
        <v>46119</v>
      </c>
      <c r="J162" s="11">
        <f t="shared" ca="1" si="1"/>
        <v>46118</v>
      </c>
      <c r="K162" s="13"/>
    </row>
    <row r="163" spans="1:11" ht="18" hidden="1" x14ac:dyDescent="0.4">
      <c r="A163" s="7" t="s">
        <v>98</v>
      </c>
      <c r="B163" s="86" t="s">
        <v>703</v>
      </c>
      <c r="C163" s="8">
        <v>51658</v>
      </c>
      <c r="D163" s="9">
        <v>463563900</v>
      </c>
      <c r="E163" s="57">
        <v>400</v>
      </c>
      <c r="F163" s="10" t="s">
        <v>149</v>
      </c>
      <c r="G163" s="88">
        <v>0</v>
      </c>
      <c r="H163" s="70">
        <f t="shared" si="9"/>
        <v>0</v>
      </c>
      <c r="I163" s="11">
        <f t="shared" ca="1" si="5"/>
        <v>46119</v>
      </c>
      <c r="J163" s="11">
        <f t="shared" ca="1" si="1"/>
        <v>46118</v>
      </c>
      <c r="K163" s="13"/>
    </row>
    <row r="164" spans="1:11" ht="18" hidden="1" x14ac:dyDescent="0.4">
      <c r="A164" s="7" t="s">
        <v>98</v>
      </c>
      <c r="B164" s="86" t="s">
        <v>703</v>
      </c>
      <c r="C164" s="8">
        <v>51658</v>
      </c>
      <c r="D164" s="9">
        <v>463563910</v>
      </c>
      <c r="E164" s="57">
        <v>400</v>
      </c>
      <c r="F164" s="10" t="s">
        <v>149</v>
      </c>
      <c r="G164" s="88">
        <v>0</v>
      </c>
      <c r="H164" s="70">
        <f t="shared" si="9"/>
        <v>0</v>
      </c>
      <c r="I164" s="11">
        <f t="shared" ca="1" si="5"/>
        <v>46119</v>
      </c>
      <c r="J164" s="11">
        <f t="shared" ca="1" si="1"/>
        <v>46118</v>
      </c>
      <c r="K164" s="13"/>
    </row>
    <row r="165" spans="1:11" ht="18" hidden="1" x14ac:dyDescent="0.4">
      <c r="A165" s="7" t="s">
        <v>98</v>
      </c>
      <c r="B165" s="85" t="s">
        <v>703</v>
      </c>
      <c r="C165" s="8">
        <v>51658</v>
      </c>
      <c r="D165" s="9">
        <v>463563950</v>
      </c>
      <c r="E165" s="57">
        <v>400</v>
      </c>
      <c r="F165" s="10" t="s">
        <v>149</v>
      </c>
      <c r="G165" s="88">
        <v>0</v>
      </c>
      <c r="H165" s="70">
        <f t="shared" si="9"/>
        <v>0</v>
      </c>
      <c r="I165" s="11">
        <f t="shared" ca="1" si="5"/>
        <v>46119</v>
      </c>
      <c r="J165" s="11">
        <f t="shared" ca="1" si="1"/>
        <v>46118</v>
      </c>
      <c r="K165" s="13"/>
    </row>
    <row r="166" spans="1:11" ht="18" hidden="1" x14ac:dyDescent="0.4">
      <c r="A166" s="7" t="s">
        <v>98</v>
      </c>
      <c r="B166" s="85" t="s">
        <v>703</v>
      </c>
      <c r="C166" s="8">
        <v>51658</v>
      </c>
      <c r="D166" s="9">
        <v>463563960</v>
      </c>
      <c r="E166" s="57">
        <v>400</v>
      </c>
      <c r="F166" s="10" t="s">
        <v>149</v>
      </c>
      <c r="G166" s="88">
        <v>0</v>
      </c>
      <c r="H166" s="70">
        <f t="shared" si="9"/>
        <v>0</v>
      </c>
      <c r="I166" s="11">
        <f t="shared" ca="1" si="5"/>
        <v>46119</v>
      </c>
      <c r="J166" s="11">
        <f t="shared" ca="1" si="1"/>
        <v>46118</v>
      </c>
      <c r="K166" s="13"/>
    </row>
    <row r="167" spans="1:11" ht="18" hidden="1" x14ac:dyDescent="0.4">
      <c r="A167" s="7" t="s">
        <v>98</v>
      </c>
      <c r="B167" s="85" t="s">
        <v>703</v>
      </c>
      <c r="C167" s="8">
        <v>51658</v>
      </c>
      <c r="D167" s="9">
        <v>463563970</v>
      </c>
      <c r="E167" s="57">
        <v>400</v>
      </c>
      <c r="F167" s="10" t="s">
        <v>149</v>
      </c>
      <c r="G167" s="88">
        <v>0</v>
      </c>
      <c r="H167" s="70">
        <f t="shared" si="9"/>
        <v>0</v>
      </c>
      <c r="I167" s="11">
        <f t="shared" ca="1" si="5"/>
        <v>46119</v>
      </c>
      <c r="J167" s="11">
        <f t="shared" ca="1" si="1"/>
        <v>46118</v>
      </c>
      <c r="K167" s="13"/>
    </row>
    <row r="168" spans="1:11" ht="18" hidden="1" x14ac:dyDescent="0.4">
      <c r="A168" s="7" t="s">
        <v>98</v>
      </c>
      <c r="B168" s="85" t="s">
        <v>703</v>
      </c>
      <c r="C168" s="8">
        <v>51620</v>
      </c>
      <c r="D168" s="9">
        <v>463485280</v>
      </c>
      <c r="E168" s="57">
        <v>840</v>
      </c>
      <c r="F168" s="10" t="s">
        <v>150</v>
      </c>
      <c r="G168" s="88">
        <v>1680</v>
      </c>
      <c r="H168" s="70">
        <f t="shared" si="9"/>
        <v>2</v>
      </c>
      <c r="I168" s="11">
        <f t="shared" ca="1" si="5"/>
        <v>46119</v>
      </c>
      <c r="J168" s="11">
        <f t="shared" ca="1" si="1"/>
        <v>46118</v>
      </c>
      <c r="K168" s="13"/>
    </row>
    <row r="169" spans="1:11" ht="18" hidden="1" x14ac:dyDescent="0.4">
      <c r="A169" s="7" t="s">
        <v>98</v>
      </c>
      <c r="B169" s="85" t="s">
        <v>703</v>
      </c>
      <c r="C169" s="8">
        <v>51620</v>
      </c>
      <c r="D169" s="9">
        <v>463485300</v>
      </c>
      <c r="E169" s="57">
        <v>840</v>
      </c>
      <c r="F169" s="10" t="s">
        <v>151</v>
      </c>
      <c r="G169" s="88">
        <v>8400</v>
      </c>
      <c r="H169" s="70">
        <f t="shared" si="9"/>
        <v>10</v>
      </c>
      <c r="I169" s="11">
        <f t="shared" ca="1" si="5"/>
        <v>46119</v>
      </c>
      <c r="J169" s="11">
        <f t="shared" ca="1" si="1"/>
        <v>46118</v>
      </c>
      <c r="K169" s="13"/>
    </row>
    <row r="170" spans="1:11" ht="18" hidden="1" x14ac:dyDescent="0.4">
      <c r="A170" s="7" t="s">
        <v>98</v>
      </c>
      <c r="B170" s="85" t="s">
        <v>703</v>
      </c>
      <c r="C170" s="8">
        <v>51620</v>
      </c>
      <c r="D170" s="9">
        <v>463485320</v>
      </c>
      <c r="E170" s="57">
        <v>840</v>
      </c>
      <c r="F170" s="10" t="s">
        <v>152</v>
      </c>
      <c r="G170" s="88">
        <v>3360</v>
      </c>
      <c r="H170" s="70">
        <f t="shared" si="9"/>
        <v>4</v>
      </c>
      <c r="I170" s="11">
        <f t="shared" ca="1" si="5"/>
        <v>46119</v>
      </c>
      <c r="J170" s="11">
        <f t="shared" ca="1" si="1"/>
        <v>46118</v>
      </c>
      <c r="K170" s="13"/>
    </row>
    <row r="171" spans="1:11" ht="18" hidden="1" x14ac:dyDescent="0.4">
      <c r="A171" s="7" t="s">
        <v>98</v>
      </c>
      <c r="B171" s="85" t="s">
        <v>705</v>
      </c>
      <c r="C171" s="8">
        <v>73860</v>
      </c>
      <c r="D171" s="9">
        <v>463592990</v>
      </c>
      <c r="E171" s="57">
        <v>500</v>
      </c>
      <c r="F171" s="10" t="s">
        <v>706</v>
      </c>
      <c r="G171" s="88">
        <v>0</v>
      </c>
      <c r="H171" s="70">
        <f t="shared" si="9"/>
        <v>0</v>
      </c>
      <c r="I171" s="11">
        <f t="shared" ref="I171:I208" ca="1" si="11">I163</f>
        <v>46119</v>
      </c>
      <c r="J171" s="11">
        <f t="shared" ca="1" si="1"/>
        <v>46118</v>
      </c>
      <c r="K171" s="13"/>
    </row>
    <row r="172" spans="1:11" ht="18" hidden="1" x14ac:dyDescent="0.4">
      <c r="A172" s="7" t="s">
        <v>98</v>
      </c>
      <c r="B172" s="85" t="s">
        <v>705</v>
      </c>
      <c r="C172" s="8">
        <v>73860</v>
      </c>
      <c r="D172" s="9">
        <v>463593000</v>
      </c>
      <c r="E172" s="57">
        <v>500</v>
      </c>
      <c r="F172" s="10" t="s">
        <v>706</v>
      </c>
      <c r="G172" s="88">
        <v>0</v>
      </c>
      <c r="H172" s="70">
        <f t="shared" si="9"/>
        <v>0</v>
      </c>
      <c r="I172" s="11">
        <f t="shared" ca="1" si="11"/>
        <v>46119</v>
      </c>
      <c r="J172" s="11">
        <f t="shared" ca="1" si="1"/>
        <v>46118</v>
      </c>
      <c r="K172" s="13"/>
    </row>
    <row r="173" spans="1:11" ht="18" hidden="1" x14ac:dyDescent="0.4">
      <c r="A173" s="7" t="s">
        <v>98</v>
      </c>
      <c r="B173" s="85" t="s">
        <v>707</v>
      </c>
      <c r="C173" s="8">
        <v>49630</v>
      </c>
      <c r="D173" s="9">
        <v>463476050</v>
      </c>
      <c r="E173" s="57">
        <v>720</v>
      </c>
      <c r="F173" s="10" t="s">
        <v>157</v>
      </c>
      <c r="G173" s="88">
        <v>0</v>
      </c>
      <c r="H173" s="70">
        <f t="shared" si="9"/>
        <v>0</v>
      </c>
      <c r="I173" s="11">
        <f t="shared" ca="1" si="11"/>
        <v>46119</v>
      </c>
      <c r="J173" s="11">
        <f t="shared" ca="1" si="1"/>
        <v>46118</v>
      </c>
      <c r="K173" s="13"/>
    </row>
    <row r="174" spans="1:11" ht="18" hidden="1" x14ac:dyDescent="0.4">
      <c r="A174" s="7" t="s">
        <v>98</v>
      </c>
      <c r="B174" s="85" t="s">
        <v>708</v>
      </c>
      <c r="C174" s="8">
        <v>73850</v>
      </c>
      <c r="D174" s="9">
        <v>463491430</v>
      </c>
      <c r="E174" s="57">
        <v>600</v>
      </c>
      <c r="F174" s="10" t="s">
        <v>159</v>
      </c>
      <c r="G174" s="88">
        <v>0</v>
      </c>
      <c r="H174" s="70">
        <f t="shared" si="9"/>
        <v>0</v>
      </c>
      <c r="I174" s="11">
        <f t="shared" ca="1" si="11"/>
        <v>46119</v>
      </c>
      <c r="J174" s="11">
        <f t="shared" ca="1" si="1"/>
        <v>46118</v>
      </c>
      <c r="K174" s="8"/>
    </row>
    <row r="175" spans="1:11" ht="18" hidden="1" x14ac:dyDescent="0.4">
      <c r="A175" s="7" t="s">
        <v>98</v>
      </c>
      <c r="B175" s="85" t="s">
        <v>708</v>
      </c>
      <c r="C175" s="8">
        <v>73850</v>
      </c>
      <c r="D175" s="9">
        <v>552822510</v>
      </c>
      <c r="E175" s="57">
        <v>1500</v>
      </c>
      <c r="F175" s="10" t="s">
        <v>709</v>
      </c>
      <c r="G175" s="88">
        <v>0</v>
      </c>
      <c r="H175" s="70">
        <f t="shared" si="9"/>
        <v>0</v>
      </c>
      <c r="I175" s="11">
        <f t="shared" ca="1" si="11"/>
        <v>46119</v>
      </c>
      <c r="J175" s="11">
        <f t="shared" ca="1" si="1"/>
        <v>46118</v>
      </c>
      <c r="K175" s="8"/>
    </row>
    <row r="176" spans="1:11" ht="18" hidden="1" x14ac:dyDescent="0.4">
      <c r="A176" s="7" t="s">
        <v>98</v>
      </c>
      <c r="B176" s="85" t="s">
        <v>708</v>
      </c>
      <c r="C176" s="8">
        <v>73850</v>
      </c>
      <c r="D176" s="9">
        <v>552823610</v>
      </c>
      <c r="E176" s="57">
        <v>1500</v>
      </c>
      <c r="F176" s="10" t="s">
        <v>710</v>
      </c>
      <c r="G176" s="88">
        <v>0</v>
      </c>
      <c r="H176" s="70">
        <f t="shared" si="9"/>
        <v>0</v>
      </c>
      <c r="I176" s="11">
        <f t="shared" ca="1" si="11"/>
        <v>46119</v>
      </c>
      <c r="J176" s="11">
        <f t="shared" ca="1" si="1"/>
        <v>46118</v>
      </c>
      <c r="K176" s="8"/>
    </row>
    <row r="177" spans="1:11" ht="18" hidden="1" x14ac:dyDescent="0.4">
      <c r="A177" s="7" t="s">
        <v>98</v>
      </c>
      <c r="B177" s="85" t="s">
        <v>233</v>
      </c>
      <c r="C177" s="8">
        <v>33132</v>
      </c>
      <c r="D177" s="9">
        <v>552823610</v>
      </c>
      <c r="E177" s="57">
        <v>900</v>
      </c>
      <c r="F177" s="10" t="s">
        <v>234</v>
      </c>
      <c r="G177" s="88">
        <v>0</v>
      </c>
      <c r="H177" s="70">
        <f t="shared" si="9"/>
        <v>0</v>
      </c>
      <c r="I177" s="11">
        <f t="shared" ca="1" si="11"/>
        <v>46119</v>
      </c>
      <c r="J177" s="11">
        <f t="shared" ca="1" si="1"/>
        <v>46118</v>
      </c>
      <c r="K177" s="8"/>
    </row>
    <row r="178" spans="1:11" ht="18" hidden="1" x14ac:dyDescent="0.4">
      <c r="A178" s="7" t="s">
        <v>98</v>
      </c>
      <c r="B178" s="85" t="s">
        <v>160</v>
      </c>
      <c r="C178" s="8">
        <v>40870</v>
      </c>
      <c r="D178" s="9">
        <v>463479340</v>
      </c>
      <c r="E178" s="57">
        <v>100</v>
      </c>
      <c r="F178" s="10" t="s">
        <v>161</v>
      </c>
      <c r="G178" s="88">
        <v>0</v>
      </c>
      <c r="H178" s="70">
        <f t="shared" si="9"/>
        <v>0</v>
      </c>
      <c r="I178" s="11">
        <f t="shared" ca="1" si="11"/>
        <v>46119</v>
      </c>
      <c r="J178" s="11">
        <f t="shared" ca="1" si="1"/>
        <v>46118</v>
      </c>
      <c r="K178" s="8"/>
    </row>
    <row r="179" spans="1:11" ht="18" hidden="1" x14ac:dyDescent="0.4">
      <c r="A179" s="7" t="s">
        <v>98</v>
      </c>
      <c r="B179" s="85" t="s">
        <v>160</v>
      </c>
      <c r="C179" s="8">
        <v>40870</v>
      </c>
      <c r="D179" s="9">
        <v>463479350</v>
      </c>
      <c r="E179" s="57">
        <v>100</v>
      </c>
      <c r="F179" s="10" t="s">
        <v>162</v>
      </c>
      <c r="G179" s="88">
        <v>0</v>
      </c>
      <c r="H179" s="70">
        <f t="shared" si="9"/>
        <v>0</v>
      </c>
      <c r="I179" s="11">
        <f t="shared" ca="1" si="11"/>
        <v>46119</v>
      </c>
      <c r="J179" s="11">
        <f t="shared" ca="1" si="1"/>
        <v>46118</v>
      </c>
      <c r="K179" s="8"/>
    </row>
    <row r="180" spans="1:11" ht="18" hidden="1" x14ac:dyDescent="0.4">
      <c r="A180" s="7" t="s">
        <v>98</v>
      </c>
      <c r="B180" s="85" t="s">
        <v>163</v>
      </c>
      <c r="C180" s="8">
        <v>10675</v>
      </c>
      <c r="D180" s="9">
        <v>552822300</v>
      </c>
      <c r="E180" s="57">
        <v>7200</v>
      </c>
      <c r="F180" s="10" t="s">
        <v>164</v>
      </c>
      <c r="G180" s="88">
        <v>0</v>
      </c>
      <c r="H180" s="70">
        <f t="shared" si="9"/>
        <v>0</v>
      </c>
      <c r="I180" s="11">
        <f t="shared" ca="1" si="11"/>
        <v>46119</v>
      </c>
      <c r="J180" s="11">
        <f t="shared" ca="1" si="1"/>
        <v>46118</v>
      </c>
      <c r="K180" s="8"/>
    </row>
    <row r="181" spans="1:11" ht="18" hidden="1" x14ac:dyDescent="0.4">
      <c r="A181" s="7" t="s">
        <v>98</v>
      </c>
      <c r="B181" s="85" t="s">
        <v>163</v>
      </c>
      <c r="C181" s="8">
        <v>10675</v>
      </c>
      <c r="D181" s="9">
        <v>552822310</v>
      </c>
      <c r="E181" s="57">
        <v>7200</v>
      </c>
      <c r="F181" s="10" t="s">
        <v>165</v>
      </c>
      <c r="G181" s="88">
        <v>0</v>
      </c>
      <c r="H181" s="70">
        <f t="shared" si="9"/>
        <v>0</v>
      </c>
      <c r="I181" s="11">
        <f t="shared" ca="1" si="11"/>
        <v>46119</v>
      </c>
      <c r="J181" s="11">
        <f t="shared" ca="1" si="1"/>
        <v>46118</v>
      </c>
      <c r="K181" s="8"/>
    </row>
    <row r="182" spans="1:11" ht="18" hidden="1" x14ac:dyDescent="0.4">
      <c r="A182" s="7" t="s">
        <v>98</v>
      </c>
      <c r="B182" s="85" t="s">
        <v>167</v>
      </c>
      <c r="C182" s="8">
        <v>64641</v>
      </c>
      <c r="D182" s="9">
        <v>463543900</v>
      </c>
      <c r="E182" s="57">
        <v>20000</v>
      </c>
      <c r="F182" s="10" t="s">
        <v>168</v>
      </c>
      <c r="G182" s="88">
        <v>0</v>
      </c>
      <c r="H182" s="70">
        <f t="shared" si="9"/>
        <v>0</v>
      </c>
      <c r="I182" s="11">
        <f t="shared" ca="1" si="11"/>
        <v>46119</v>
      </c>
      <c r="J182" s="11">
        <f t="shared" ca="1" si="1"/>
        <v>46118</v>
      </c>
      <c r="K182" s="13"/>
    </row>
    <row r="183" spans="1:11" ht="18" hidden="1" x14ac:dyDescent="0.4">
      <c r="A183" s="7" t="s">
        <v>98</v>
      </c>
      <c r="B183" s="85" t="s">
        <v>703</v>
      </c>
      <c r="C183" s="8">
        <v>15565</v>
      </c>
      <c r="D183" s="9">
        <v>463526200</v>
      </c>
      <c r="E183" s="57">
        <v>30</v>
      </c>
      <c r="F183" s="10" t="s">
        <v>155</v>
      </c>
      <c r="G183" s="88">
        <v>690</v>
      </c>
      <c r="H183" s="70">
        <f t="shared" si="9"/>
        <v>23</v>
      </c>
      <c r="I183" s="11">
        <f t="shared" ca="1" si="11"/>
        <v>46119</v>
      </c>
      <c r="J183" s="11">
        <f t="shared" ca="1" si="1"/>
        <v>46118</v>
      </c>
      <c r="K183" s="13"/>
    </row>
    <row r="184" spans="1:11" ht="18" hidden="1" x14ac:dyDescent="0.4">
      <c r="A184" s="7" t="s">
        <v>98</v>
      </c>
      <c r="B184" s="85" t="s">
        <v>703</v>
      </c>
      <c r="C184" s="8">
        <v>15565</v>
      </c>
      <c r="D184" s="9">
        <v>463548380</v>
      </c>
      <c r="E184" s="57">
        <v>30</v>
      </c>
      <c r="F184" s="10" t="s">
        <v>155</v>
      </c>
      <c r="G184" s="88">
        <v>1200</v>
      </c>
      <c r="H184" s="70">
        <f t="shared" si="9"/>
        <v>40</v>
      </c>
      <c r="I184" s="11">
        <f t="shared" ca="1" si="11"/>
        <v>46119</v>
      </c>
      <c r="J184" s="11">
        <f t="shared" ca="1" si="1"/>
        <v>46118</v>
      </c>
      <c r="K184" s="13"/>
    </row>
    <row r="185" spans="1:11" ht="18" hidden="1" x14ac:dyDescent="0.4">
      <c r="A185" s="7" t="s">
        <v>98</v>
      </c>
      <c r="B185" s="85" t="s">
        <v>703</v>
      </c>
      <c r="C185" s="8">
        <v>15565</v>
      </c>
      <c r="D185" s="9">
        <v>463496640</v>
      </c>
      <c r="E185" s="57">
        <v>30</v>
      </c>
      <c r="F185" s="10" t="s">
        <v>155</v>
      </c>
      <c r="G185" s="88">
        <v>0</v>
      </c>
      <c r="H185" s="70">
        <f t="shared" si="9"/>
        <v>0</v>
      </c>
      <c r="I185" s="11">
        <f t="shared" ca="1" si="11"/>
        <v>46119</v>
      </c>
      <c r="J185" s="11">
        <f t="shared" ca="1" si="1"/>
        <v>46118</v>
      </c>
      <c r="K185" s="13"/>
    </row>
    <row r="186" spans="1:11" ht="18" hidden="1" x14ac:dyDescent="0.4">
      <c r="A186" s="7" t="s">
        <v>98</v>
      </c>
      <c r="B186" s="85" t="s">
        <v>169</v>
      </c>
      <c r="C186" s="8">
        <v>31610</v>
      </c>
      <c r="D186" s="9">
        <v>463595330</v>
      </c>
      <c r="E186" s="57">
        <v>40</v>
      </c>
      <c r="F186" s="10" t="s">
        <v>711</v>
      </c>
      <c r="G186" s="88">
        <v>400</v>
      </c>
      <c r="H186" s="70">
        <f t="shared" si="9"/>
        <v>10</v>
      </c>
      <c r="I186" s="11">
        <f t="shared" ca="1" si="11"/>
        <v>46119</v>
      </c>
      <c r="J186" s="11">
        <f t="shared" ca="1" si="1"/>
        <v>46118</v>
      </c>
      <c r="K186" s="13"/>
    </row>
    <row r="187" spans="1:11" ht="18" hidden="1" x14ac:dyDescent="0.4">
      <c r="A187" s="7" t="s">
        <v>98</v>
      </c>
      <c r="B187" s="85" t="s">
        <v>169</v>
      </c>
      <c r="C187" s="8">
        <v>31610</v>
      </c>
      <c r="D187" s="9">
        <v>552822380</v>
      </c>
      <c r="E187" s="57">
        <v>600</v>
      </c>
      <c r="F187" s="10" t="s">
        <v>170</v>
      </c>
      <c r="G187" s="88">
        <v>600</v>
      </c>
      <c r="H187" s="70">
        <f t="shared" si="9"/>
        <v>1</v>
      </c>
      <c r="I187" s="11">
        <f t="shared" ca="1" si="11"/>
        <v>46119</v>
      </c>
      <c r="J187" s="11">
        <f t="shared" ca="1" si="1"/>
        <v>46118</v>
      </c>
      <c r="K187" s="13"/>
    </row>
    <row r="188" spans="1:11" ht="18" hidden="1" x14ac:dyDescent="0.4">
      <c r="A188" s="7" t="s">
        <v>98</v>
      </c>
      <c r="B188" s="85" t="s">
        <v>169</v>
      </c>
      <c r="C188" s="8">
        <v>31610</v>
      </c>
      <c r="D188" s="9">
        <v>463572030</v>
      </c>
      <c r="E188" s="57">
        <v>600</v>
      </c>
      <c r="F188" s="10" t="s">
        <v>171</v>
      </c>
      <c r="G188" s="88">
        <v>600</v>
      </c>
      <c r="H188" s="70">
        <f t="shared" si="9"/>
        <v>1</v>
      </c>
      <c r="I188" s="11">
        <f t="shared" ca="1" si="11"/>
        <v>46119</v>
      </c>
      <c r="J188" s="11">
        <f t="shared" ca="1" si="1"/>
        <v>46118</v>
      </c>
      <c r="K188" s="13"/>
    </row>
    <row r="189" spans="1:11" ht="18" hidden="1" x14ac:dyDescent="0.4">
      <c r="A189" s="7" t="s">
        <v>98</v>
      </c>
      <c r="B189" s="85" t="s">
        <v>169</v>
      </c>
      <c r="C189" s="8">
        <v>31610</v>
      </c>
      <c r="D189" s="9">
        <v>463572050</v>
      </c>
      <c r="E189" s="57">
        <v>600</v>
      </c>
      <c r="F189" s="10" t="s">
        <v>172</v>
      </c>
      <c r="G189" s="88">
        <v>600</v>
      </c>
      <c r="H189" s="70">
        <f t="shared" si="9"/>
        <v>1</v>
      </c>
      <c r="I189" s="11">
        <f t="shared" ca="1" si="11"/>
        <v>46119</v>
      </c>
      <c r="J189" s="11">
        <f t="shared" ca="1" si="1"/>
        <v>46118</v>
      </c>
      <c r="K189" s="13"/>
    </row>
    <row r="190" spans="1:11" ht="18" hidden="1" x14ac:dyDescent="0.4">
      <c r="A190" s="7" t="s">
        <v>98</v>
      </c>
      <c r="B190" s="85" t="s">
        <v>169</v>
      </c>
      <c r="C190" s="8">
        <v>31610</v>
      </c>
      <c r="D190" s="9">
        <v>552823560</v>
      </c>
      <c r="E190" s="57">
        <v>600</v>
      </c>
      <c r="F190" s="10" t="s">
        <v>173</v>
      </c>
      <c r="G190" s="88">
        <v>600</v>
      </c>
      <c r="H190" s="70">
        <f t="shared" si="9"/>
        <v>1</v>
      </c>
      <c r="I190" s="11">
        <f t="shared" ca="1" si="11"/>
        <v>46119</v>
      </c>
      <c r="J190" s="11">
        <f t="shared" ca="1" si="1"/>
        <v>46118</v>
      </c>
      <c r="K190" s="13"/>
    </row>
    <row r="191" spans="1:11" ht="18" hidden="1" x14ac:dyDescent="0.4">
      <c r="A191" s="7" t="s">
        <v>98</v>
      </c>
      <c r="B191" s="85" t="s">
        <v>169</v>
      </c>
      <c r="C191" s="8">
        <v>31610</v>
      </c>
      <c r="D191" s="9">
        <v>463572040</v>
      </c>
      <c r="E191" s="57">
        <v>600</v>
      </c>
      <c r="F191" s="10" t="s">
        <v>174</v>
      </c>
      <c r="G191" s="88">
        <v>1680</v>
      </c>
      <c r="H191" s="70">
        <f t="shared" si="9"/>
        <v>2.8</v>
      </c>
      <c r="I191" s="11">
        <f t="shared" ca="1" si="11"/>
        <v>46119</v>
      </c>
      <c r="J191" s="11">
        <f t="shared" ca="1" si="1"/>
        <v>46118</v>
      </c>
      <c r="K191" s="13"/>
    </row>
    <row r="192" spans="1:11" ht="18" hidden="1" x14ac:dyDescent="0.4">
      <c r="A192" s="7" t="s">
        <v>98</v>
      </c>
      <c r="B192" s="85" t="s">
        <v>169</v>
      </c>
      <c r="C192" s="8">
        <v>31610</v>
      </c>
      <c r="D192" s="9">
        <v>463595330</v>
      </c>
      <c r="E192" s="57">
        <v>600</v>
      </c>
      <c r="F192" s="10" t="s">
        <v>175</v>
      </c>
      <c r="G192" s="88">
        <v>0</v>
      </c>
      <c r="H192" s="70">
        <f t="shared" si="9"/>
        <v>0</v>
      </c>
      <c r="I192" s="11">
        <f ca="1">I191</f>
        <v>46119</v>
      </c>
      <c r="J192" s="11">
        <v>45868</v>
      </c>
      <c r="K192" s="13"/>
    </row>
    <row r="193" spans="1:11" ht="18" hidden="1" x14ac:dyDescent="0.4">
      <c r="A193" s="7" t="s">
        <v>98</v>
      </c>
      <c r="B193" s="85" t="s">
        <v>176</v>
      </c>
      <c r="C193" s="8">
        <v>50111</v>
      </c>
      <c r="D193" s="9">
        <v>552833910</v>
      </c>
      <c r="E193" s="57">
        <v>9000</v>
      </c>
      <c r="F193" s="10" t="s">
        <v>177</v>
      </c>
      <c r="G193" s="88">
        <v>0</v>
      </c>
      <c r="H193" s="70">
        <v>0</v>
      </c>
      <c r="I193" s="11">
        <f ca="1">I192</f>
        <v>46119</v>
      </c>
      <c r="J193" s="11">
        <v>45868</v>
      </c>
      <c r="K193" s="13"/>
    </row>
    <row r="194" spans="1:11" ht="18" hidden="1" x14ac:dyDescent="0.4">
      <c r="A194" s="7" t="s">
        <v>98</v>
      </c>
      <c r="B194" s="85" t="s">
        <v>178</v>
      </c>
      <c r="C194" s="8">
        <v>56589</v>
      </c>
      <c r="D194" s="9">
        <v>463384907</v>
      </c>
      <c r="E194" s="57">
        <v>30</v>
      </c>
      <c r="F194" s="10" t="s">
        <v>179</v>
      </c>
      <c r="G194" s="88">
        <v>900</v>
      </c>
      <c r="H194" s="70">
        <f t="shared" si="9"/>
        <v>30</v>
      </c>
      <c r="I194" s="11">
        <f t="shared" ref="I194:I201" ca="1" si="12">I184</f>
        <v>46119</v>
      </c>
      <c r="J194" s="11">
        <f t="shared" ca="1" si="1"/>
        <v>46118</v>
      </c>
      <c r="K194" s="13"/>
    </row>
    <row r="195" spans="1:11" ht="18" hidden="1" x14ac:dyDescent="0.4">
      <c r="A195" s="7" t="s">
        <v>98</v>
      </c>
      <c r="B195" s="85" t="s">
        <v>178</v>
      </c>
      <c r="C195" s="8">
        <v>56589</v>
      </c>
      <c r="D195" s="9">
        <v>463384997</v>
      </c>
      <c r="E195" s="57">
        <v>30</v>
      </c>
      <c r="F195" s="10" t="s">
        <v>180</v>
      </c>
      <c r="G195" s="88">
        <v>900</v>
      </c>
      <c r="H195" s="70">
        <f t="shared" si="9"/>
        <v>30</v>
      </c>
      <c r="I195" s="11">
        <f t="shared" ca="1" si="12"/>
        <v>46119</v>
      </c>
      <c r="J195" s="11">
        <f t="shared" ca="1" si="1"/>
        <v>46118</v>
      </c>
      <c r="K195" s="13"/>
    </row>
    <row r="196" spans="1:11" ht="18" hidden="1" x14ac:dyDescent="0.4">
      <c r="A196" s="7" t="s">
        <v>98</v>
      </c>
      <c r="B196" s="85" t="s">
        <v>181</v>
      </c>
      <c r="C196" s="8">
        <v>50050</v>
      </c>
      <c r="D196" s="9">
        <v>463529270</v>
      </c>
      <c r="E196" s="57">
        <v>432</v>
      </c>
      <c r="F196" s="10" t="s">
        <v>182</v>
      </c>
      <c r="G196" s="88">
        <v>0</v>
      </c>
      <c r="H196" s="70">
        <f t="shared" si="9"/>
        <v>0</v>
      </c>
      <c r="I196" s="11">
        <f t="shared" ca="1" si="12"/>
        <v>46119</v>
      </c>
      <c r="J196" s="11">
        <f t="shared" ca="1" si="1"/>
        <v>46118</v>
      </c>
      <c r="K196" s="13"/>
    </row>
    <row r="197" spans="1:11" ht="18" hidden="1" x14ac:dyDescent="0.4">
      <c r="A197" s="7" t="s">
        <v>98</v>
      </c>
      <c r="B197" s="85" t="s">
        <v>183</v>
      </c>
      <c r="C197" s="8">
        <v>30467</v>
      </c>
      <c r="D197" s="9">
        <v>552806540</v>
      </c>
      <c r="E197" s="57">
        <v>1200</v>
      </c>
      <c r="F197" s="10" t="s">
        <v>184</v>
      </c>
      <c r="G197" s="88">
        <v>0</v>
      </c>
      <c r="H197" s="70">
        <f t="shared" si="9"/>
        <v>0</v>
      </c>
      <c r="I197" s="11">
        <f t="shared" ca="1" si="12"/>
        <v>46119</v>
      </c>
      <c r="J197" s="11">
        <f t="shared" ca="1" si="1"/>
        <v>46118</v>
      </c>
      <c r="K197" s="13"/>
    </row>
    <row r="198" spans="1:11" ht="18" hidden="1" x14ac:dyDescent="0.4">
      <c r="A198" s="7" t="s">
        <v>98</v>
      </c>
      <c r="B198" s="85" t="s">
        <v>183</v>
      </c>
      <c r="C198" s="8">
        <v>30467</v>
      </c>
      <c r="D198" s="9">
        <v>463389730</v>
      </c>
      <c r="E198" s="57">
        <v>400</v>
      </c>
      <c r="F198" s="10" t="s">
        <v>185</v>
      </c>
      <c r="G198" s="88">
        <v>0</v>
      </c>
      <c r="H198" s="70">
        <f t="shared" si="9"/>
        <v>0</v>
      </c>
      <c r="I198" s="11">
        <f t="shared" ca="1" si="12"/>
        <v>46119</v>
      </c>
      <c r="J198" s="11">
        <f t="shared" ca="1" si="1"/>
        <v>46118</v>
      </c>
      <c r="K198" s="13"/>
    </row>
    <row r="199" spans="1:11" ht="18" hidden="1" x14ac:dyDescent="0.4">
      <c r="A199" s="7" t="s">
        <v>98</v>
      </c>
      <c r="B199" s="85" t="s">
        <v>183</v>
      </c>
      <c r="C199" s="8">
        <v>30467</v>
      </c>
      <c r="D199" s="9">
        <v>463532630</v>
      </c>
      <c r="E199" s="57">
        <v>250</v>
      </c>
      <c r="F199" s="10" t="s">
        <v>187</v>
      </c>
      <c r="G199" s="88">
        <v>0</v>
      </c>
      <c r="H199" s="70">
        <f t="shared" ref="H199:H264" si="13">+G199/E199</f>
        <v>0</v>
      </c>
      <c r="I199" s="11">
        <f t="shared" ca="1" si="12"/>
        <v>46119</v>
      </c>
      <c r="J199" s="11">
        <f t="shared" ca="1" si="1"/>
        <v>46118</v>
      </c>
      <c r="K199" s="13"/>
    </row>
    <row r="200" spans="1:11" ht="18" hidden="1" x14ac:dyDescent="0.4">
      <c r="A200" s="7" t="s">
        <v>98</v>
      </c>
      <c r="B200" s="85" t="s">
        <v>183</v>
      </c>
      <c r="C200" s="8">
        <v>30467</v>
      </c>
      <c r="D200" s="9">
        <v>552821810</v>
      </c>
      <c r="E200" s="57">
        <v>350</v>
      </c>
      <c r="F200" s="10" t="s">
        <v>188</v>
      </c>
      <c r="G200" s="88">
        <v>0</v>
      </c>
      <c r="H200" s="70">
        <f t="shared" si="13"/>
        <v>0</v>
      </c>
      <c r="I200" s="11">
        <f t="shared" ca="1" si="12"/>
        <v>46119</v>
      </c>
      <c r="J200" s="11">
        <f t="shared" ca="1" si="1"/>
        <v>46118</v>
      </c>
      <c r="K200" s="13"/>
    </row>
    <row r="201" spans="1:11" ht="18" hidden="1" x14ac:dyDescent="0.4">
      <c r="A201" s="7" t="s">
        <v>98</v>
      </c>
      <c r="B201" s="52" t="s">
        <v>189</v>
      </c>
      <c r="C201" s="49">
        <v>5934</v>
      </c>
      <c r="D201" s="50">
        <v>463384870</v>
      </c>
      <c r="E201" s="49">
        <v>1000</v>
      </c>
      <c r="F201" s="51" t="s">
        <v>190</v>
      </c>
      <c r="G201" s="88">
        <v>0</v>
      </c>
      <c r="H201" s="70">
        <f t="shared" si="13"/>
        <v>0</v>
      </c>
      <c r="I201" s="11">
        <f t="shared" ca="1" si="12"/>
        <v>46119</v>
      </c>
      <c r="J201" s="11">
        <f t="shared" ca="1" si="1"/>
        <v>46118</v>
      </c>
      <c r="K201" s="13"/>
    </row>
    <row r="202" spans="1:11" ht="18" hidden="1" x14ac:dyDescent="0.4">
      <c r="A202" s="7" t="s">
        <v>98</v>
      </c>
      <c r="B202" s="52" t="s">
        <v>189</v>
      </c>
      <c r="C202" s="49">
        <v>5934</v>
      </c>
      <c r="D202" s="50">
        <v>463516230</v>
      </c>
      <c r="E202" s="49">
        <v>80</v>
      </c>
      <c r="F202" s="51" t="s">
        <v>191</v>
      </c>
      <c r="G202" s="88">
        <v>0</v>
      </c>
      <c r="H202" s="70">
        <f t="shared" si="13"/>
        <v>0</v>
      </c>
      <c r="I202" s="11">
        <f t="shared" ca="1" si="11"/>
        <v>46119</v>
      </c>
      <c r="J202" s="11">
        <f t="shared" ca="1" si="1"/>
        <v>46118</v>
      </c>
      <c r="K202" s="13"/>
    </row>
    <row r="203" spans="1:11" ht="18" hidden="1" x14ac:dyDescent="0.4">
      <c r="A203" s="7" t="s">
        <v>98</v>
      </c>
      <c r="B203" s="85" t="s">
        <v>189</v>
      </c>
      <c r="C203" s="8">
        <v>5934</v>
      </c>
      <c r="D203" s="9">
        <v>552841160</v>
      </c>
      <c r="E203" s="57">
        <v>1000</v>
      </c>
      <c r="F203" s="10" t="s">
        <v>192</v>
      </c>
      <c r="G203" s="88">
        <v>0</v>
      </c>
      <c r="H203" s="70">
        <f t="shared" si="13"/>
        <v>0</v>
      </c>
      <c r="I203" s="11">
        <f t="shared" ca="1" si="11"/>
        <v>46119</v>
      </c>
      <c r="J203" s="11">
        <f t="shared" ca="1" si="1"/>
        <v>46118</v>
      </c>
      <c r="K203" s="13"/>
    </row>
    <row r="204" spans="1:11" ht="18" hidden="1" x14ac:dyDescent="0.4">
      <c r="A204" s="7" t="s">
        <v>98</v>
      </c>
      <c r="B204" s="85" t="s">
        <v>193</v>
      </c>
      <c r="C204" s="8">
        <v>19414</v>
      </c>
      <c r="D204" s="9">
        <v>463532640</v>
      </c>
      <c r="E204" s="57">
        <v>1100</v>
      </c>
      <c r="F204" s="10" t="s">
        <v>194</v>
      </c>
      <c r="G204" s="88">
        <v>0</v>
      </c>
      <c r="H204" s="70">
        <f t="shared" si="13"/>
        <v>0</v>
      </c>
      <c r="I204" s="11">
        <f t="shared" ca="1" si="11"/>
        <v>46119</v>
      </c>
      <c r="J204" s="11">
        <f t="shared" ca="1" si="1"/>
        <v>46118</v>
      </c>
      <c r="K204" s="13"/>
    </row>
    <row r="205" spans="1:11" ht="18" hidden="1" x14ac:dyDescent="0.4">
      <c r="A205" s="7" t="s">
        <v>98</v>
      </c>
      <c r="B205" s="85" t="s">
        <v>193</v>
      </c>
      <c r="C205" s="8">
        <v>19414</v>
      </c>
      <c r="D205" s="9">
        <v>463532650</v>
      </c>
      <c r="E205" s="57">
        <v>800</v>
      </c>
      <c r="F205" s="10" t="s">
        <v>195</v>
      </c>
      <c r="G205" s="88">
        <v>0</v>
      </c>
      <c r="H205" s="70">
        <f t="shared" si="13"/>
        <v>0</v>
      </c>
      <c r="I205" s="11">
        <f t="shared" ca="1" si="11"/>
        <v>46119</v>
      </c>
      <c r="J205" s="11">
        <f t="shared" ca="1" si="1"/>
        <v>46118</v>
      </c>
      <c r="K205" s="13"/>
    </row>
    <row r="206" spans="1:11" ht="18" hidden="1" x14ac:dyDescent="0.4">
      <c r="A206" s="7" t="s">
        <v>98</v>
      </c>
      <c r="B206" s="85" t="s">
        <v>193</v>
      </c>
      <c r="C206" s="8">
        <v>19414</v>
      </c>
      <c r="D206" s="9">
        <v>162970240</v>
      </c>
      <c r="E206" s="57">
        <v>500</v>
      </c>
      <c r="F206" s="10" t="s">
        <v>196</v>
      </c>
      <c r="G206" s="88">
        <v>0</v>
      </c>
      <c r="H206" s="70">
        <f t="shared" si="13"/>
        <v>0</v>
      </c>
      <c r="I206" s="11">
        <f t="shared" ca="1" si="11"/>
        <v>46119</v>
      </c>
      <c r="J206" s="11">
        <f t="shared" ca="1" si="1"/>
        <v>46118</v>
      </c>
      <c r="K206" s="13"/>
    </row>
    <row r="207" spans="1:11" ht="18" hidden="1" x14ac:dyDescent="0.4">
      <c r="A207" s="7" t="s">
        <v>98</v>
      </c>
      <c r="B207" s="85" t="s">
        <v>197</v>
      </c>
      <c r="C207" s="8">
        <v>1020</v>
      </c>
      <c r="D207" s="9">
        <v>463379748</v>
      </c>
      <c r="E207" s="57">
        <v>18</v>
      </c>
      <c r="F207" s="10" t="s">
        <v>198</v>
      </c>
      <c r="G207" s="88">
        <v>360</v>
      </c>
      <c r="H207" s="70">
        <f t="shared" si="13"/>
        <v>20</v>
      </c>
      <c r="I207" s="11">
        <f t="shared" ca="1" si="11"/>
        <v>46119</v>
      </c>
      <c r="J207" s="11">
        <f t="shared" ca="1" si="1"/>
        <v>46118</v>
      </c>
      <c r="K207" s="13"/>
    </row>
    <row r="208" spans="1:11" ht="18" hidden="1" x14ac:dyDescent="0.4">
      <c r="A208" s="7" t="s">
        <v>98</v>
      </c>
      <c r="B208" s="85" t="s">
        <v>197</v>
      </c>
      <c r="C208" s="8">
        <v>1020</v>
      </c>
      <c r="D208" s="9">
        <v>463379778</v>
      </c>
      <c r="E208" s="57">
        <v>18</v>
      </c>
      <c r="F208" s="10" t="s">
        <v>199</v>
      </c>
      <c r="G208" s="88">
        <v>360</v>
      </c>
      <c r="H208" s="70">
        <f t="shared" si="13"/>
        <v>20</v>
      </c>
      <c r="I208" s="11">
        <f t="shared" ca="1" si="11"/>
        <v>46119</v>
      </c>
      <c r="J208" s="11">
        <f t="shared" ca="1" si="1"/>
        <v>46118</v>
      </c>
      <c r="K208" s="13"/>
    </row>
    <row r="209" spans="1:11" ht="18" hidden="1" x14ac:dyDescent="0.4">
      <c r="A209" s="7" t="s">
        <v>98</v>
      </c>
      <c r="B209" s="85" t="s">
        <v>200</v>
      </c>
      <c r="C209" s="8">
        <v>1073</v>
      </c>
      <c r="D209" s="9">
        <v>463576288</v>
      </c>
      <c r="E209" s="57">
        <v>27</v>
      </c>
      <c r="F209" s="10" t="s">
        <v>201</v>
      </c>
      <c r="G209" s="88">
        <v>540</v>
      </c>
      <c r="H209" s="70">
        <f t="shared" si="13"/>
        <v>20</v>
      </c>
      <c r="I209" s="11">
        <f t="shared" ref="I209:I250" ca="1" si="14">I208</f>
        <v>46119</v>
      </c>
      <c r="J209" s="11">
        <f t="shared" ca="1" si="1"/>
        <v>46118</v>
      </c>
      <c r="K209" s="13"/>
    </row>
    <row r="210" spans="1:11" ht="18" hidden="1" x14ac:dyDescent="0.4">
      <c r="A210" s="7" t="s">
        <v>98</v>
      </c>
      <c r="B210" s="85" t="s">
        <v>200</v>
      </c>
      <c r="C210" s="8">
        <v>1073</v>
      </c>
      <c r="D210" s="9">
        <v>463576277</v>
      </c>
      <c r="E210" s="57">
        <v>36</v>
      </c>
      <c r="F210" s="10" t="s">
        <v>202</v>
      </c>
      <c r="G210" s="88">
        <v>720</v>
      </c>
      <c r="H210" s="70">
        <f t="shared" si="13"/>
        <v>20</v>
      </c>
      <c r="I210" s="11">
        <f t="shared" ca="1" si="14"/>
        <v>46119</v>
      </c>
      <c r="J210" s="11">
        <f t="shared" ca="1" si="1"/>
        <v>46118</v>
      </c>
      <c r="K210" s="13"/>
    </row>
    <row r="211" spans="1:11" ht="18" hidden="1" x14ac:dyDescent="0.4">
      <c r="A211" s="7" t="s">
        <v>98</v>
      </c>
      <c r="B211" s="85" t="s">
        <v>197</v>
      </c>
      <c r="C211" s="8">
        <v>1020</v>
      </c>
      <c r="D211" s="9">
        <v>463384927</v>
      </c>
      <c r="E211" s="57">
        <v>32</v>
      </c>
      <c r="F211" s="10" t="s">
        <v>203</v>
      </c>
      <c r="G211" s="88">
        <v>640</v>
      </c>
      <c r="H211" s="70">
        <f t="shared" si="13"/>
        <v>20</v>
      </c>
      <c r="I211" s="11">
        <f t="shared" ca="1" si="14"/>
        <v>46119</v>
      </c>
      <c r="J211" s="11">
        <f t="shared" ca="1" si="1"/>
        <v>46118</v>
      </c>
      <c r="K211" s="13"/>
    </row>
    <row r="212" spans="1:11" ht="18" hidden="1" x14ac:dyDescent="0.4">
      <c r="A212" s="7" t="s">
        <v>98</v>
      </c>
      <c r="B212" s="85" t="s">
        <v>197</v>
      </c>
      <c r="C212" s="8">
        <v>1020</v>
      </c>
      <c r="D212" s="9">
        <v>463489077</v>
      </c>
      <c r="E212" s="57">
        <v>32</v>
      </c>
      <c r="F212" s="10" t="s">
        <v>204</v>
      </c>
      <c r="G212" s="88">
        <v>640</v>
      </c>
      <c r="H212" s="70">
        <f t="shared" si="13"/>
        <v>20</v>
      </c>
      <c r="I212" s="11">
        <f t="shared" ca="1" si="14"/>
        <v>46119</v>
      </c>
      <c r="J212" s="11">
        <f t="shared" ca="1" si="1"/>
        <v>46118</v>
      </c>
      <c r="K212" s="13"/>
    </row>
    <row r="213" spans="1:11" ht="18" hidden="1" x14ac:dyDescent="0.4">
      <c r="A213" s="7" t="s">
        <v>98</v>
      </c>
      <c r="B213" s="85" t="s">
        <v>205</v>
      </c>
      <c r="C213" s="8">
        <v>11431</v>
      </c>
      <c r="D213" s="9">
        <v>463526240</v>
      </c>
      <c r="E213" s="57">
        <v>800</v>
      </c>
      <c r="F213" s="10" t="s">
        <v>206</v>
      </c>
      <c r="G213" s="88">
        <v>0</v>
      </c>
      <c r="H213" s="70">
        <f t="shared" si="13"/>
        <v>0</v>
      </c>
      <c r="I213" s="11">
        <f t="shared" ca="1" si="14"/>
        <v>46119</v>
      </c>
      <c r="J213" s="11">
        <f t="shared" ca="1" si="1"/>
        <v>46118</v>
      </c>
      <c r="K213" s="13"/>
    </row>
    <row r="214" spans="1:11" ht="18" hidden="1" x14ac:dyDescent="0.4">
      <c r="A214" s="7" t="s">
        <v>98</v>
      </c>
      <c r="B214" s="85" t="s">
        <v>205</v>
      </c>
      <c r="C214" s="8">
        <v>11431</v>
      </c>
      <c r="D214" s="9">
        <v>463496660</v>
      </c>
      <c r="E214" s="57">
        <v>800</v>
      </c>
      <c r="F214" s="10" t="s">
        <v>206</v>
      </c>
      <c r="G214" s="88">
        <v>0</v>
      </c>
      <c r="H214" s="70">
        <f t="shared" si="13"/>
        <v>0</v>
      </c>
      <c r="I214" s="11">
        <f t="shared" ca="1" si="14"/>
        <v>46119</v>
      </c>
      <c r="J214" s="11">
        <f t="shared" ca="1" si="1"/>
        <v>46118</v>
      </c>
      <c r="K214" s="13"/>
    </row>
    <row r="215" spans="1:11" ht="18" hidden="1" x14ac:dyDescent="0.4">
      <c r="A215" s="7" t="s">
        <v>98</v>
      </c>
      <c r="B215" s="85" t="s">
        <v>205</v>
      </c>
      <c r="C215" s="8">
        <v>11431</v>
      </c>
      <c r="D215" s="9">
        <v>463492670</v>
      </c>
      <c r="E215" s="57">
        <v>800</v>
      </c>
      <c r="F215" s="10" t="s">
        <v>206</v>
      </c>
      <c r="G215" s="88">
        <v>0</v>
      </c>
      <c r="H215" s="70">
        <f t="shared" si="13"/>
        <v>0</v>
      </c>
      <c r="I215" s="11">
        <f t="shared" ca="1" si="14"/>
        <v>46119</v>
      </c>
      <c r="J215" s="11">
        <f t="shared" ca="1" si="1"/>
        <v>46118</v>
      </c>
      <c r="K215" s="13"/>
    </row>
    <row r="216" spans="1:11" ht="18" hidden="1" x14ac:dyDescent="0.4">
      <c r="A216" s="7" t="s">
        <v>98</v>
      </c>
      <c r="B216" s="85" t="s">
        <v>207</v>
      </c>
      <c r="C216" s="8">
        <v>14928</v>
      </c>
      <c r="D216" s="9">
        <v>463556950</v>
      </c>
      <c r="E216" s="57">
        <v>40</v>
      </c>
      <c r="F216" s="10" t="s">
        <v>208</v>
      </c>
      <c r="G216" s="88">
        <v>0</v>
      </c>
      <c r="H216" s="70">
        <f t="shared" si="13"/>
        <v>0</v>
      </c>
      <c r="I216" s="11">
        <f t="shared" ca="1" si="14"/>
        <v>46119</v>
      </c>
      <c r="J216" s="11">
        <f t="shared" ca="1" si="1"/>
        <v>46118</v>
      </c>
      <c r="K216" s="13"/>
    </row>
    <row r="217" spans="1:11" ht="18" hidden="1" x14ac:dyDescent="0.4">
      <c r="A217" s="7" t="s">
        <v>98</v>
      </c>
      <c r="B217" s="85" t="s">
        <v>207</v>
      </c>
      <c r="C217" s="8">
        <v>14928</v>
      </c>
      <c r="D217" s="9">
        <v>463526220</v>
      </c>
      <c r="E217" s="57">
        <v>40</v>
      </c>
      <c r="F217" s="10" t="s">
        <v>209</v>
      </c>
      <c r="G217" s="88">
        <v>0</v>
      </c>
      <c r="H217" s="70">
        <f t="shared" si="13"/>
        <v>0</v>
      </c>
      <c r="I217" s="11">
        <f t="shared" ca="1" si="14"/>
        <v>46119</v>
      </c>
      <c r="J217" s="11">
        <f t="shared" ca="1" si="1"/>
        <v>46118</v>
      </c>
      <c r="K217" s="13"/>
    </row>
    <row r="218" spans="1:11" ht="18" hidden="1" x14ac:dyDescent="0.4">
      <c r="A218" s="7" t="s">
        <v>98</v>
      </c>
      <c r="B218" s="85" t="s">
        <v>207</v>
      </c>
      <c r="C218" s="8">
        <v>14928</v>
      </c>
      <c r="D218" s="9">
        <v>463496630</v>
      </c>
      <c r="E218" s="57">
        <v>40</v>
      </c>
      <c r="F218" s="10" t="s">
        <v>210</v>
      </c>
      <c r="G218" s="88">
        <v>0</v>
      </c>
      <c r="H218" s="70">
        <f t="shared" si="13"/>
        <v>0</v>
      </c>
      <c r="I218" s="11">
        <f t="shared" ca="1" si="14"/>
        <v>46119</v>
      </c>
      <c r="J218" s="11">
        <f t="shared" ca="1" si="1"/>
        <v>46118</v>
      </c>
      <c r="K218" s="13"/>
    </row>
    <row r="219" spans="1:11" ht="18" hidden="1" x14ac:dyDescent="0.4">
      <c r="A219" s="7" t="s">
        <v>98</v>
      </c>
      <c r="B219" s="85" t="s">
        <v>207</v>
      </c>
      <c r="C219" s="8">
        <v>14928</v>
      </c>
      <c r="D219" s="9">
        <v>463358702</v>
      </c>
      <c r="E219" s="57">
        <v>100</v>
      </c>
      <c r="F219" s="10" t="s">
        <v>211</v>
      </c>
      <c r="G219" s="88">
        <v>600</v>
      </c>
      <c r="H219" s="70">
        <f t="shared" si="13"/>
        <v>6</v>
      </c>
      <c r="I219" s="11">
        <f t="shared" ca="1" si="14"/>
        <v>46119</v>
      </c>
      <c r="J219" s="11">
        <f t="shared" ca="1" si="1"/>
        <v>46118</v>
      </c>
      <c r="K219" s="13"/>
    </row>
    <row r="220" spans="1:11" ht="18" hidden="1" x14ac:dyDescent="0.4">
      <c r="A220" s="7" t="s">
        <v>98</v>
      </c>
      <c r="B220" s="85" t="s">
        <v>207</v>
      </c>
      <c r="C220" s="8">
        <v>14928</v>
      </c>
      <c r="D220" s="9">
        <v>463564010</v>
      </c>
      <c r="E220" s="57">
        <v>100</v>
      </c>
      <c r="F220" s="10" t="s">
        <v>212</v>
      </c>
      <c r="G220" s="88">
        <v>200</v>
      </c>
      <c r="H220" s="70">
        <f t="shared" si="13"/>
        <v>2</v>
      </c>
      <c r="I220" s="11">
        <f t="shared" ca="1" si="14"/>
        <v>46119</v>
      </c>
      <c r="J220" s="11">
        <f t="shared" ca="1" si="1"/>
        <v>46118</v>
      </c>
      <c r="K220" s="13"/>
    </row>
    <row r="221" spans="1:11" ht="18" hidden="1" x14ac:dyDescent="0.4">
      <c r="A221" s="7" t="s">
        <v>98</v>
      </c>
      <c r="B221" s="85" t="s">
        <v>207</v>
      </c>
      <c r="C221" s="8">
        <v>14928</v>
      </c>
      <c r="D221" s="9">
        <v>463383610</v>
      </c>
      <c r="E221" s="57">
        <v>40</v>
      </c>
      <c r="F221" s="10" t="s">
        <v>213</v>
      </c>
      <c r="G221" s="88">
        <v>600</v>
      </c>
      <c r="H221" s="70">
        <f t="shared" si="13"/>
        <v>15</v>
      </c>
      <c r="I221" s="11">
        <f t="shared" ca="1" si="14"/>
        <v>46119</v>
      </c>
      <c r="J221" s="11">
        <f t="shared" ca="1" si="1"/>
        <v>46118</v>
      </c>
      <c r="K221" s="13"/>
    </row>
    <row r="222" spans="1:11" ht="18" hidden="1" x14ac:dyDescent="0.4">
      <c r="A222" s="7" t="s">
        <v>98</v>
      </c>
      <c r="B222" s="85" t="s">
        <v>214</v>
      </c>
      <c r="C222" s="8">
        <v>21342</v>
      </c>
      <c r="D222" s="9">
        <v>463485520</v>
      </c>
      <c r="E222" s="57">
        <v>480</v>
      </c>
      <c r="F222" s="10" t="s">
        <v>215</v>
      </c>
      <c r="G222" s="88">
        <v>2880</v>
      </c>
      <c r="H222" s="70">
        <f t="shared" si="13"/>
        <v>6</v>
      </c>
      <c r="I222" s="11">
        <f t="shared" ca="1" si="14"/>
        <v>46119</v>
      </c>
      <c r="J222" s="11">
        <f t="shared" ca="1" si="1"/>
        <v>46118</v>
      </c>
      <c r="K222" s="13"/>
    </row>
    <row r="223" spans="1:11" ht="18" hidden="1" x14ac:dyDescent="0.4">
      <c r="A223" s="7" t="s">
        <v>98</v>
      </c>
      <c r="B223" s="85" t="s">
        <v>214</v>
      </c>
      <c r="C223" s="8">
        <v>21342</v>
      </c>
      <c r="D223" s="9">
        <v>463496650</v>
      </c>
      <c r="E223" s="57">
        <v>25</v>
      </c>
      <c r="F223" s="10" t="s">
        <v>216</v>
      </c>
      <c r="G223" s="88">
        <v>0</v>
      </c>
      <c r="H223" s="70">
        <f t="shared" si="13"/>
        <v>0</v>
      </c>
      <c r="I223" s="11">
        <f t="shared" ca="1" si="14"/>
        <v>46119</v>
      </c>
      <c r="J223" s="11">
        <f t="shared" ca="1" si="1"/>
        <v>46118</v>
      </c>
      <c r="K223" s="13"/>
    </row>
    <row r="224" spans="1:11" ht="18" hidden="1" x14ac:dyDescent="0.4">
      <c r="A224" s="7" t="s">
        <v>98</v>
      </c>
      <c r="B224" s="85" t="s">
        <v>214</v>
      </c>
      <c r="C224" s="8">
        <v>21342</v>
      </c>
      <c r="D224" s="9">
        <v>463581750</v>
      </c>
      <c r="E224" s="57">
        <v>25</v>
      </c>
      <c r="F224" s="10" t="s">
        <v>216</v>
      </c>
      <c r="G224" s="88">
        <v>1300</v>
      </c>
      <c r="H224" s="70">
        <f t="shared" si="13"/>
        <v>52</v>
      </c>
      <c r="I224" s="11">
        <f t="shared" ca="1" si="14"/>
        <v>46119</v>
      </c>
      <c r="J224" s="11">
        <f t="shared" ca="1" si="1"/>
        <v>46118</v>
      </c>
      <c r="K224" s="13"/>
    </row>
    <row r="225" spans="1:11" ht="18" hidden="1" x14ac:dyDescent="0.4">
      <c r="A225" s="7" t="s">
        <v>98</v>
      </c>
      <c r="B225" s="85" t="s">
        <v>214</v>
      </c>
      <c r="C225" s="8">
        <v>21342</v>
      </c>
      <c r="D225" s="9">
        <v>463491660</v>
      </c>
      <c r="E225" s="57">
        <v>300</v>
      </c>
      <c r="F225" s="10" t="s">
        <v>217</v>
      </c>
      <c r="G225" s="88">
        <v>0</v>
      </c>
      <c r="H225" s="70">
        <f t="shared" si="13"/>
        <v>0</v>
      </c>
      <c r="I225" s="11">
        <f t="shared" ca="1" si="14"/>
        <v>46119</v>
      </c>
      <c r="J225" s="11">
        <f t="shared" ca="1" si="1"/>
        <v>46118</v>
      </c>
      <c r="K225" s="13"/>
    </row>
    <row r="226" spans="1:11" ht="18" hidden="1" x14ac:dyDescent="0.4">
      <c r="A226" s="7" t="s">
        <v>98</v>
      </c>
      <c r="B226" s="85" t="s">
        <v>218</v>
      </c>
      <c r="C226" s="8">
        <v>23480</v>
      </c>
      <c r="D226" s="9">
        <v>552849890</v>
      </c>
      <c r="E226" s="57">
        <v>180</v>
      </c>
      <c r="F226" s="10" t="s">
        <v>219</v>
      </c>
      <c r="G226" s="88">
        <v>0</v>
      </c>
      <c r="H226" s="70">
        <f t="shared" si="13"/>
        <v>0</v>
      </c>
      <c r="I226" s="11">
        <f t="shared" ca="1" si="14"/>
        <v>46119</v>
      </c>
      <c r="J226" s="11">
        <f t="shared" ca="1" si="1"/>
        <v>46118</v>
      </c>
      <c r="K226" s="13"/>
    </row>
    <row r="227" spans="1:11" ht="18" hidden="1" x14ac:dyDescent="0.4">
      <c r="A227" s="7" t="s">
        <v>98</v>
      </c>
      <c r="B227" s="85" t="s">
        <v>218</v>
      </c>
      <c r="C227" s="8">
        <v>23480</v>
      </c>
      <c r="D227" s="9">
        <v>463357980</v>
      </c>
      <c r="E227" s="57">
        <v>1000</v>
      </c>
      <c r="F227" s="10" t="s">
        <v>712</v>
      </c>
      <c r="G227" s="88">
        <v>0</v>
      </c>
      <c r="H227" s="70">
        <f t="shared" si="13"/>
        <v>0</v>
      </c>
      <c r="I227" s="11">
        <f t="shared" ca="1" si="14"/>
        <v>46119</v>
      </c>
      <c r="J227" s="11">
        <f t="shared" ca="1" si="1"/>
        <v>46118</v>
      </c>
      <c r="K227" s="13"/>
    </row>
    <row r="228" spans="1:11" ht="18" hidden="1" x14ac:dyDescent="0.4">
      <c r="A228" s="7" t="s">
        <v>98</v>
      </c>
      <c r="B228" s="85" t="s">
        <v>218</v>
      </c>
      <c r="C228" s="8">
        <v>23480</v>
      </c>
      <c r="D228" s="9">
        <v>463482030</v>
      </c>
      <c r="E228" s="57">
        <v>200</v>
      </c>
      <c r="F228" s="10" t="s">
        <v>221</v>
      </c>
      <c r="G228" s="88">
        <v>0</v>
      </c>
      <c r="H228" s="70">
        <f t="shared" si="13"/>
        <v>0</v>
      </c>
      <c r="I228" s="11">
        <f t="shared" ca="1" si="14"/>
        <v>46119</v>
      </c>
      <c r="J228" s="11">
        <f t="shared" ca="1" si="1"/>
        <v>46118</v>
      </c>
      <c r="K228" s="13"/>
    </row>
    <row r="229" spans="1:11" ht="18" hidden="1" x14ac:dyDescent="0.4">
      <c r="A229" s="7" t="s">
        <v>98</v>
      </c>
      <c r="B229" s="85" t="s">
        <v>218</v>
      </c>
      <c r="C229" s="8">
        <v>23480</v>
      </c>
      <c r="D229" s="9">
        <v>144576860</v>
      </c>
      <c r="E229" s="57">
        <v>1500</v>
      </c>
      <c r="F229" s="10" t="s">
        <v>713</v>
      </c>
      <c r="G229" s="88">
        <v>0</v>
      </c>
      <c r="H229" s="70">
        <f t="shared" si="13"/>
        <v>0</v>
      </c>
      <c r="I229" s="11">
        <f t="shared" ca="1" si="14"/>
        <v>46119</v>
      </c>
      <c r="J229" s="11">
        <f t="shared" ca="1" si="1"/>
        <v>46118</v>
      </c>
      <c r="K229" s="13"/>
    </row>
    <row r="230" spans="1:11" ht="18" x14ac:dyDescent="0.4">
      <c r="A230" s="7" t="s">
        <v>98</v>
      </c>
      <c r="B230" s="85" t="s">
        <v>218</v>
      </c>
      <c r="C230" s="8">
        <v>23481</v>
      </c>
      <c r="D230" s="9">
        <v>463526250</v>
      </c>
      <c r="E230" s="57">
        <v>500</v>
      </c>
      <c r="F230" s="10" t="s">
        <v>224</v>
      </c>
      <c r="G230" s="88">
        <v>1500</v>
      </c>
      <c r="H230" s="70">
        <f t="shared" si="13"/>
        <v>3</v>
      </c>
      <c r="I230" s="11">
        <f t="shared" ca="1" si="14"/>
        <v>46119</v>
      </c>
      <c r="J230" s="11">
        <f t="shared" ca="1" si="1"/>
        <v>46118</v>
      </c>
      <c r="K230" s="13"/>
    </row>
    <row r="231" spans="1:11" ht="18" x14ac:dyDescent="0.4">
      <c r="A231" s="7" t="s">
        <v>98</v>
      </c>
      <c r="B231" s="85" t="s">
        <v>218</v>
      </c>
      <c r="C231" s="8">
        <v>23481</v>
      </c>
      <c r="D231" s="9">
        <v>463399250</v>
      </c>
      <c r="E231" s="57">
        <v>500</v>
      </c>
      <c r="F231" s="10" t="s">
        <v>224</v>
      </c>
      <c r="G231" s="88">
        <v>1500</v>
      </c>
      <c r="H231" s="70">
        <f t="shared" si="13"/>
        <v>3</v>
      </c>
      <c r="I231" s="11">
        <f t="shared" ca="1" si="14"/>
        <v>46119</v>
      </c>
      <c r="J231" s="11">
        <f t="shared" ca="1" si="1"/>
        <v>46118</v>
      </c>
      <c r="K231" s="13"/>
    </row>
    <row r="232" spans="1:11" ht="18" hidden="1" x14ac:dyDescent="0.4">
      <c r="A232" s="7" t="s">
        <v>98</v>
      </c>
      <c r="B232" s="85" t="s">
        <v>225</v>
      </c>
      <c r="C232" s="8">
        <v>27986</v>
      </c>
      <c r="D232" s="9">
        <v>463526190</v>
      </c>
      <c r="E232" s="57">
        <v>400</v>
      </c>
      <c r="F232" s="10" t="s">
        <v>226</v>
      </c>
      <c r="G232" s="88">
        <v>1500</v>
      </c>
      <c r="H232" s="70">
        <f t="shared" si="13"/>
        <v>3.75</v>
      </c>
      <c r="I232" s="11">
        <f t="shared" ca="1" si="14"/>
        <v>46119</v>
      </c>
      <c r="J232" s="11">
        <f t="shared" ca="1" si="1"/>
        <v>46118</v>
      </c>
      <c r="K232" s="13"/>
    </row>
    <row r="233" spans="1:11" ht="18" hidden="1" x14ac:dyDescent="0.4">
      <c r="A233" s="7" t="s">
        <v>98</v>
      </c>
      <c r="B233" s="85" t="s">
        <v>225</v>
      </c>
      <c r="C233" s="8">
        <v>27986</v>
      </c>
      <c r="D233" s="9">
        <v>463524600</v>
      </c>
      <c r="E233" s="57">
        <v>500</v>
      </c>
      <c r="F233" s="10" t="s">
        <v>227</v>
      </c>
      <c r="G233" s="88">
        <v>1500</v>
      </c>
      <c r="H233" s="70">
        <f t="shared" si="13"/>
        <v>3</v>
      </c>
      <c r="I233" s="11">
        <f t="shared" ca="1" si="14"/>
        <v>46119</v>
      </c>
      <c r="J233" s="11">
        <f t="shared" ca="1" si="1"/>
        <v>46118</v>
      </c>
      <c r="K233" s="13"/>
    </row>
    <row r="234" spans="1:11" ht="18" hidden="1" x14ac:dyDescent="0.4">
      <c r="A234" s="7" t="s">
        <v>98</v>
      </c>
      <c r="B234" s="85" t="s">
        <v>225</v>
      </c>
      <c r="C234" s="8">
        <v>27986</v>
      </c>
      <c r="D234" s="9">
        <v>552849810</v>
      </c>
      <c r="E234" s="57">
        <v>500</v>
      </c>
      <c r="F234" s="10" t="s">
        <v>228</v>
      </c>
      <c r="G234" s="88">
        <v>1500</v>
      </c>
      <c r="H234" s="70">
        <f t="shared" si="13"/>
        <v>3</v>
      </c>
      <c r="I234" s="11">
        <f t="shared" ca="1" si="14"/>
        <v>46119</v>
      </c>
      <c r="J234" s="11">
        <f t="shared" ca="1" si="1"/>
        <v>46118</v>
      </c>
      <c r="K234" s="13"/>
    </row>
    <row r="235" spans="1:11" ht="18" hidden="1" x14ac:dyDescent="0.4">
      <c r="A235" s="7" t="s">
        <v>98</v>
      </c>
      <c r="B235" s="85" t="s">
        <v>225</v>
      </c>
      <c r="C235" s="8">
        <v>27986</v>
      </c>
      <c r="D235" s="9">
        <v>463355140</v>
      </c>
      <c r="E235" s="57">
        <v>500</v>
      </c>
      <c r="F235" s="10" t="s">
        <v>228</v>
      </c>
      <c r="G235" s="88">
        <v>1500</v>
      </c>
      <c r="H235" s="70">
        <f t="shared" si="13"/>
        <v>3</v>
      </c>
      <c r="I235" s="11">
        <f t="shared" ca="1" si="14"/>
        <v>46119</v>
      </c>
      <c r="J235" s="11">
        <f t="shared" ca="1" si="1"/>
        <v>46118</v>
      </c>
      <c r="K235" s="13"/>
    </row>
    <row r="236" spans="1:11" ht="18" hidden="1" x14ac:dyDescent="0.4">
      <c r="A236" s="7" t="s">
        <v>98</v>
      </c>
      <c r="B236" s="85" t="s">
        <v>229</v>
      </c>
      <c r="C236" s="8">
        <v>32059</v>
      </c>
      <c r="D236" s="9">
        <v>552822590</v>
      </c>
      <c r="E236" s="57">
        <v>2800</v>
      </c>
      <c r="F236" s="10" t="s">
        <v>230</v>
      </c>
      <c r="G236" s="88">
        <v>0</v>
      </c>
      <c r="H236" s="70">
        <f t="shared" si="13"/>
        <v>0</v>
      </c>
      <c r="I236" s="11">
        <f t="shared" ca="1" si="14"/>
        <v>46119</v>
      </c>
      <c r="J236" s="11">
        <f t="shared" ca="1" si="1"/>
        <v>46118</v>
      </c>
      <c r="K236" s="13"/>
    </row>
    <row r="237" spans="1:11" ht="18" hidden="1" x14ac:dyDescent="0.4">
      <c r="A237" s="7" t="s">
        <v>98</v>
      </c>
      <c r="B237" s="85" t="s">
        <v>231</v>
      </c>
      <c r="C237" s="8">
        <v>32572</v>
      </c>
      <c r="D237" s="9">
        <v>552820870</v>
      </c>
      <c r="E237" s="57">
        <v>720</v>
      </c>
      <c r="F237" s="10" t="s">
        <v>232</v>
      </c>
      <c r="G237" s="88">
        <v>0</v>
      </c>
      <c r="H237" s="70">
        <f t="shared" si="13"/>
        <v>0</v>
      </c>
      <c r="I237" s="11">
        <f t="shared" ca="1" si="14"/>
        <v>46119</v>
      </c>
      <c r="J237" s="11">
        <f t="shared" ca="1" si="1"/>
        <v>46118</v>
      </c>
      <c r="K237" s="13"/>
    </row>
    <row r="238" spans="1:11" ht="18" hidden="1" x14ac:dyDescent="0.4">
      <c r="A238" s="7" t="s">
        <v>98</v>
      </c>
      <c r="B238" s="85" t="s">
        <v>714</v>
      </c>
      <c r="C238" s="8">
        <v>33518</v>
      </c>
      <c r="D238" s="9">
        <v>463496670</v>
      </c>
      <c r="E238" s="57">
        <v>48</v>
      </c>
      <c r="F238" s="10" t="s">
        <v>236</v>
      </c>
      <c r="G238" s="88">
        <v>0</v>
      </c>
      <c r="H238" s="70">
        <f t="shared" si="13"/>
        <v>0</v>
      </c>
      <c r="I238" s="11">
        <f t="shared" ca="1" si="14"/>
        <v>46119</v>
      </c>
      <c r="J238" s="11">
        <f t="shared" ca="1" si="1"/>
        <v>46118</v>
      </c>
      <c r="K238" s="13"/>
    </row>
    <row r="239" spans="1:11" ht="18" hidden="1" x14ac:dyDescent="0.4">
      <c r="A239" s="7" t="s">
        <v>98</v>
      </c>
      <c r="B239" s="85" t="s">
        <v>714</v>
      </c>
      <c r="C239" s="8">
        <v>33518</v>
      </c>
      <c r="D239" s="9">
        <v>463433880</v>
      </c>
      <c r="E239" s="57">
        <v>48</v>
      </c>
      <c r="F239" s="10" t="s">
        <v>237</v>
      </c>
      <c r="G239" s="88">
        <v>0</v>
      </c>
      <c r="H239" s="70">
        <f t="shared" si="13"/>
        <v>0</v>
      </c>
      <c r="I239" s="11">
        <f t="shared" ca="1" si="14"/>
        <v>46119</v>
      </c>
      <c r="J239" s="11">
        <f t="shared" ca="1" si="1"/>
        <v>46118</v>
      </c>
      <c r="K239" s="13"/>
    </row>
    <row r="240" spans="1:11" ht="18" hidden="1" x14ac:dyDescent="0.4">
      <c r="A240" s="7" t="s">
        <v>98</v>
      </c>
      <c r="B240" s="85" t="s">
        <v>715</v>
      </c>
      <c r="C240" s="8">
        <v>58696</v>
      </c>
      <c r="D240" s="9">
        <v>463495790</v>
      </c>
      <c r="E240" s="57">
        <v>1200</v>
      </c>
      <c r="F240" s="10" t="s">
        <v>239</v>
      </c>
      <c r="G240" s="88">
        <v>0</v>
      </c>
      <c r="H240" s="70">
        <f t="shared" si="13"/>
        <v>0</v>
      </c>
      <c r="I240" s="11">
        <f t="shared" ca="1" si="14"/>
        <v>46119</v>
      </c>
      <c r="J240" s="11">
        <f t="shared" ca="1" si="1"/>
        <v>46118</v>
      </c>
      <c r="K240" s="13"/>
    </row>
    <row r="241" spans="1:11" ht="18" hidden="1" x14ac:dyDescent="0.4">
      <c r="A241" s="7" t="s">
        <v>98</v>
      </c>
      <c r="B241" s="85" t="s">
        <v>697</v>
      </c>
      <c r="C241" s="8">
        <v>47104</v>
      </c>
      <c r="D241" s="9">
        <v>552840970</v>
      </c>
      <c r="E241" s="57">
        <v>240</v>
      </c>
      <c r="F241" s="10" t="s">
        <v>240</v>
      </c>
      <c r="G241" s="88">
        <v>0</v>
      </c>
      <c r="H241" s="70">
        <f t="shared" si="13"/>
        <v>0</v>
      </c>
      <c r="I241" s="11">
        <f t="shared" ca="1" si="14"/>
        <v>46119</v>
      </c>
      <c r="J241" s="11">
        <f t="shared" ca="1" si="1"/>
        <v>46118</v>
      </c>
      <c r="K241" s="13"/>
    </row>
    <row r="242" spans="1:11" ht="18" hidden="1" x14ac:dyDescent="0.4">
      <c r="A242" s="7" t="s">
        <v>98</v>
      </c>
      <c r="B242" s="85" t="s">
        <v>697</v>
      </c>
      <c r="C242" s="8">
        <v>47104</v>
      </c>
      <c r="D242" s="9">
        <v>552840960</v>
      </c>
      <c r="E242" s="57">
        <v>240</v>
      </c>
      <c r="F242" s="10" t="s">
        <v>241</v>
      </c>
      <c r="G242" s="88">
        <v>0</v>
      </c>
      <c r="H242" s="70">
        <f t="shared" si="13"/>
        <v>0</v>
      </c>
      <c r="I242" s="11">
        <f t="shared" ca="1" si="14"/>
        <v>46119</v>
      </c>
      <c r="J242" s="11">
        <f t="shared" ca="1" si="1"/>
        <v>46118</v>
      </c>
      <c r="K242" s="13"/>
    </row>
    <row r="243" spans="1:11" ht="18" hidden="1" x14ac:dyDescent="0.4">
      <c r="A243" s="7" t="s">
        <v>98</v>
      </c>
      <c r="B243" s="85" t="s">
        <v>722</v>
      </c>
      <c r="C243" s="8">
        <v>47850</v>
      </c>
      <c r="D243" s="61">
        <v>463603200</v>
      </c>
      <c r="E243" s="57">
        <v>80</v>
      </c>
      <c r="F243" s="10" t="s">
        <v>723</v>
      </c>
      <c r="G243" s="88">
        <v>0</v>
      </c>
      <c r="H243" s="70">
        <f t="shared" si="13"/>
        <v>0</v>
      </c>
      <c r="I243" s="11">
        <f t="shared" ca="1" si="14"/>
        <v>46119</v>
      </c>
      <c r="J243" s="11">
        <f t="shared" ca="1" si="1"/>
        <v>46118</v>
      </c>
      <c r="K243" s="13"/>
    </row>
    <row r="244" spans="1:11" ht="18" hidden="1" x14ac:dyDescent="0.4">
      <c r="A244" s="7" t="s">
        <v>98</v>
      </c>
      <c r="B244" s="85" t="s">
        <v>716</v>
      </c>
      <c r="C244" s="8">
        <v>35657</v>
      </c>
      <c r="D244" s="9">
        <v>463370940</v>
      </c>
      <c r="E244" s="57">
        <v>500</v>
      </c>
      <c r="F244" s="10" t="s">
        <v>243</v>
      </c>
      <c r="G244" s="88">
        <v>0</v>
      </c>
      <c r="H244" s="70">
        <f t="shared" si="13"/>
        <v>0</v>
      </c>
      <c r="I244" s="11">
        <f ca="1">I242</f>
        <v>46119</v>
      </c>
      <c r="J244" s="11">
        <f t="shared" ca="1" si="1"/>
        <v>46118</v>
      </c>
      <c r="K244" s="13"/>
    </row>
    <row r="245" spans="1:11" ht="18" hidden="1" x14ac:dyDescent="0.4">
      <c r="A245" s="7" t="s">
        <v>98</v>
      </c>
      <c r="B245" s="85" t="s">
        <v>716</v>
      </c>
      <c r="C245" s="8">
        <v>35657</v>
      </c>
      <c r="D245" s="9">
        <v>463488490</v>
      </c>
      <c r="E245" s="57">
        <v>500</v>
      </c>
      <c r="F245" s="10" t="s">
        <v>243</v>
      </c>
      <c r="G245" s="88">
        <v>0</v>
      </c>
      <c r="H245" s="70">
        <f t="shared" si="13"/>
        <v>0</v>
      </c>
      <c r="I245" s="11">
        <f t="shared" ca="1" si="14"/>
        <v>46119</v>
      </c>
      <c r="J245" s="11">
        <f t="shared" ca="1" si="1"/>
        <v>46118</v>
      </c>
      <c r="K245" s="13"/>
    </row>
    <row r="246" spans="1:11" ht="18" hidden="1" x14ac:dyDescent="0.4">
      <c r="A246" s="7" t="s">
        <v>98</v>
      </c>
      <c r="B246" s="85" t="s">
        <v>244</v>
      </c>
      <c r="C246" s="8">
        <v>40840</v>
      </c>
      <c r="D246" s="9">
        <v>552822730</v>
      </c>
      <c r="E246" s="57">
        <v>750</v>
      </c>
      <c r="F246" s="10" t="s">
        <v>245</v>
      </c>
      <c r="G246" s="88">
        <v>0</v>
      </c>
      <c r="H246" s="70">
        <f t="shared" ref="H246:H248" si="15">+G246/E246</f>
        <v>0</v>
      </c>
      <c r="I246" s="11">
        <f t="shared" ca="1" si="14"/>
        <v>46119</v>
      </c>
      <c r="J246" s="11">
        <f t="shared" ca="1" si="1"/>
        <v>46118</v>
      </c>
      <c r="K246" s="13"/>
    </row>
    <row r="247" spans="1:11" ht="18" hidden="1" x14ac:dyDescent="0.4">
      <c r="A247" s="7" t="s">
        <v>98</v>
      </c>
      <c r="B247" s="85" t="s">
        <v>244</v>
      </c>
      <c r="C247" s="8">
        <v>40840</v>
      </c>
      <c r="D247" s="9">
        <v>552822450</v>
      </c>
      <c r="E247" s="57">
        <v>700</v>
      </c>
      <c r="F247" s="10" t="s">
        <v>717</v>
      </c>
      <c r="G247" s="88">
        <v>0</v>
      </c>
      <c r="H247" s="70">
        <f t="shared" si="15"/>
        <v>0</v>
      </c>
      <c r="I247" s="11">
        <f t="shared" ca="1" si="14"/>
        <v>46119</v>
      </c>
      <c r="J247" s="11">
        <f t="shared" ref="J247:J250" ca="1" si="16">TODAY()</f>
        <v>46118</v>
      </c>
      <c r="K247" s="13"/>
    </row>
    <row r="248" spans="1:11" ht="18" hidden="1" x14ac:dyDescent="0.4">
      <c r="A248" s="7" t="s">
        <v>98</v>
      </c>
      <c r="B248" s="85" t="s">
        <v>244</v>
      </c>
      <c r="C248" s="8">
        <v>40840</v>
      </c>
      <c r="D248" s="9">
        <v>552822810</v>
      </c>
      <c r="E248" s="57">
        <v>400</v>
      </c>
      <c r="F248" s="10" t="s">
        <v>247</v>
      </c>
      <c r="G248" s="88">
        <v>0</v>
      </c>
      <c r="H248" s="70">
        <f t="shared" si="15"/>
        <v>0</v>
      </c>
      <c r="I248" s="11">
        <f t="shared" ca="1" si="14"/>
        <v>46119</v>
      </c>
      <c r="J248" s="11">
        <f t="shared" ca="1" si="16"/>
        <v>46118</v>
      </c>
      <c r="K248" s="13"/>
    </row>
    <row r="249" spans="1:11" ht="18" hidden="1" x14ac:dyDescent="0.4">
      <c r="A249" s="7" t="s">
        <v>98</v>
      </c>
      <c r="B249" s="85" t="s">
        <v>244</v>
      </c>
      <c r="C249" s="8">
        <v>40840</v>
      </c>
      <c r="D249" s="9">
        <v>463384870</v>
      </c>
      <c r="E249" s="57">
        <v>500</v>
      </c>
      <c r="F249" s="10" t="s">
        <v>718</v>
      </c>
      <c r="G249" s="88">
        <v>0</v>
      </c>
      <c r="H249" s="70">
        <f t="shared" ref="H249:H250" si="17">+G249/E249</f>
        <v>0</v>
      </c>
      <c r="I249" s="11">
        <f t="shared" ca="1" si="14"/>
        <v>46119</v>
      </c>
      <c r="J249" s="11">
        <f t="shared" ca="1" si="16"/>
        <v>46118</v>
      </c>
      <c r="K249" s="13"/>
    </row>
    <row r="250" spans="1:11" ht="18" hidden="1" x14ac:dyDescent="0.4">
      <c r="A250" s="32" t="s">
        <v>98</v>
      </c>
      <c r="B250" s="87" t="s">
        <v>244</v>
      </c>
      <c r="C250" s="33">
        <v>40840</v>
      </c>
      <c r="D250" s="34">
        <v>162970240</v>
      </c>
      <c r="E250" s="62">
        <v>250</v>
      </c>
      <c r="F250" s="35" t="s">
        <v>196</v>
      </c>
      <c r="G250" s="88">
        <v>0</v>
      </c>
      <c r="H250" s="70">
        <f t="shared" si="17"/>
        <v>0</v>
      </c>
      <c r="I250" s="11">
        <f t="shared" ca="1" si="14"/>
        <v>46119</v>
      </c>
      <c r="J250" s="11">
        <f t="shared" ca="1" si="16"/>
        <v>46118</v>
      </c>
      <c r="K250" s="13"/>
    </row>
    <row r="251" spans="1:11" ht="18" hidden="1" x14ac:dyDescent="0.4">
      <c r="A251" s="7" t="s">
        <v>0</v>
      </c>
      <c r="B251" s="60" t="s">
        <v>248</v>
      </c>
      <c r="C251" s="57">
        <v>72958</v>
      </c>
      <c r="D251" s="70">
        <v>463526030</v>
      </c>
      <c r="E251" s="57">
        <v>120</v>
      </c>
      <c r="F251" s="71" t="s">
        <v>249</v>
      </c>
      <c r="G251" s="91">
        <v>0</v>
      </c>
      <c r="H251" s="70">
        <f t="shared" si="13"/>
        <v>0</v>
      </c>
      <c r="I251" s="53">
        <f ca="1">I250</f>
        <v>46119</v>
      </c>
      <c r="J251" s="53">
        <f t="shared" ca="1" si="1"/>
        <v>46118</v>
      </c>
      <c r="K251" s="21"/>
    </row>
    <row r="252" spans="1:11" ht="18" hidden="1" x14ac:dyDescent="0.4">
      <c r="A252" s="7" t="s">
        <v>0</v>
      </c>
      <c r="B252" s="60" t="s">
        <v>248</v>
      </c>
      <c r="C252" s="57">
        <v>72958</v>
      </c>
      <c r="D252" s="70">
        <v>463523670</v>
      </c>
      <c r="E252" s="57">
        <v>120</v>
      </c>
      <c r="F252" s="71" t="s">
        <v>249</v>
      </c>
      <c r="G252" s="61">
        <v>0</v>
      </c>
      <c r="H252" s="70">
        <f t="shared" si="13"/>
        <v>0</v>
      </c>
      <c r="I252" s="53">
        <f t="shared" ref="I252:I315" ca="1" si="18">I251</f>
        <v>46119</v>
      </c>
      <c r="J252" s="53">
        <f t="shared" ca="1" si="1"/>
        <v>46118</v>
      </c>
      <c r="K252" s="21"/>
    </row>
    <row r="253" spans="1:11" ht="18" hidden="1" x14ac:dyDescent="0.4">
      <c r="A253" s="7" t="s">
        <v>0</v>
      </c>
      <c r="B253" s="60" t="s">
        <v>248</v>
      </c>
      <c r="C253" s="57">
        <v>72958</v>
      </c>
      <c r="D253" s="70">
        <v>463523680</v>
      </c>
      <c r="E253" s="57">
        <v>120</v>
      </c>
      <c r="F253" s="71" t="s">
        <v>249</v>
      </c>
      <c r="G253" s="61">
        <v>0</v>
      </c>
      <c r="H253" s="70">
        <f t="shared" si="13"/>
        <v>0</v>
      </c>
      <c r="I253" s="53">
        <f t="shared" ca="1" si="18"/>
        <v>46119</v>
      </c>
      <c r="J253" s="53">
        <f t="shared" ca="1" si="1"/>
        <v>46118</v>
      </c>
      <c r="K253" s="21"/>
    </row>
    <row r="254" spans="1:11" ht="18" hidden="1" x14ac:dyDescent="0.4">
      <c r="A254" s="7" t="s">
        <v>0</v>
      </c>
      <c r="B254" s="60" t="s">
        <v>248</v>
      </c>
      <c r="C254" s="57">
        <v>72958</v>
      </c>
      <c r="D254" s="70">
        <v>463524370</v>
      </c>
      <c r="E254" s="57">
        <v>120</v>
      </c>
      <c r="F254" s="71" t="s">
        <v>249</v>
      </c>
      <c r="G254" s="61">
        <v>0</v>
      </c>
      <c r="H254" s="70">
        <f t="shared" si="13"/>
        <v>0</v>
      </c>
      <c r="I254" s="53">
        <f t="shared" ca="1" si="18"/>
        <v>46119</v>
      </c>
      <c r="J254" s="53">
        <f t="shared" ca="1" si="1"/>
        <v>46118</v>
      </c>
      <c r="K254" s="7"/>
    </row>
    <row r="255" spans="1:11" ht="18" hidden="1" x14ac:dyDescent="0.4">
      <c r="A255" s="7" t="s">
        <v>0</v>
      </c>
      <c r="B255" s="60" t="s">
        <v>248</v>
      </c>
      <c r="C255" s="57">
        <v>72958</v>
      </c>
      <c r="D255" s="70">
        <v>463524380</v>
      </c>
      <c r="E255" s="57">
        <v>120</v>
      </c>
      <c r="F255" s="71" t="s">
        <v>249</v>
      </c>
      <c r="G255" s="61">
        <v>0</v>
      </c>
      <c r="H255" s="70">
        <f t="shared" si="13"/>
        <v>0</v>
      </c>
      <c r="I255" s="53">
        <f t="shared" ca="1" si="18"/>
        <v>46119</v>
      </c>
      <c r="J255" s="53">
        <f t="shared" ca="1" si="1"/>
        <v>46118</v>
      </c>
      <c r="K255" s="7"/>
    </row>
    <row r="256" spans="1:11" ht="18" hidden="1" x14ac:dyDescent="0.4">
      <c r="A256" s="7" t="s">
        <v>0</v>
      </c>
      <c r="B256" s="60" t="s">
        <v>250</v>
      </c>
      <c r="C256" s="57">
        <v>37866</v>
      </c>
      <c r="D256" s="70">
        <v>463453590</v>
      </c>
      <c r="E256" s="57">
        <v>120</v>
      </c>
      <c r="F256" s="71" t="s">
        <v>249</v>
      </c>
      <c r="G256" s="61">
        <v>0</v>
      </c>
      <c r="H256" s="70">
        <f t="shared" si="13"/>
        <v>0</v>
      </c>
      <c r="I256" s="53">
        <f t="shared" ca="1" si="18"/>
        <v>46119</v>
      </c>
      <c r="J256" s="53">
        <f t="shared" ca="1" si="1"/>
        <v>46118</v>
      </c>
      <c r="K256" s="21"/>
    </row>
    <row r="257" spans="1:11" ht="18" hidden="1" x14ac:dyDescent="0.4">
      <c r="A257" s="7" t="s">
        <v>0</v>
      </c>
      <c r="B257" s="81" t="s">
        <v>250</v>
      </c>
      <c r="C257" s="57">
        <v>37866</v>
      </c>
      <c r="D257" s="70">
        <v>463453600</v>
      </c>
      <c r="E257" s="57">
        <v>120</v>
      </c>
      <c r="F257" s="71" t="s">
        <v>251</v>
      </c>
      <c r="G257" s="61">
        <v>0</v>
      </c>
      <c r="H257" s="70">
        <f t="shared" si="13"/>
        <v>0</v>
      </c>
      <c r="I257" s="53">
        <f t="shared" ca="1" si="18"/>
        <v>46119</v>
      </c>
      <c r="J257" s="53">
        <f t="shared" ca="1" si="1"/>
        <v>46118</v>
      </c>
      <c r="K257" s="21"/>
    </row>
    <row r="258" spans="1:11" ht="18" hidden="1" x14ac:dyDescent="0.4">
      <c r="A258" s="7" t="s">
        <v>0</v>
      </c>
      <c r="B258" s="81" t="s">
        <v>250</v>
      </c>
      <c r="C258" s="57">
        <v>37866</v>
      </c>
      <c r="D258" s="70">
        <v>463453610</v>
      </c>
      <c r="E258" s="57">
        <v>120</v>
      </c>
      <c r="F258" s="71" t="s">
        <v>252</v>
      </c>
      <c r="G258" s="61">
        <v>0</v>
      </c>
      <c r="H258" s="70">
        <f t="shared" si="13"/>
        <v>0</v>
      </c>
      <c r="I258" s="53">
        <f t="shared" ca="1" si="18"/>
        <v>46119</v>
      </c>
      <c r="J258" s="53">
        <f t="shared" ca="1" si="1"/>
        <v>46118</v>
      </c>
      <c r="K258" s="21"/>
    </row>
    <row r="259" spans="1:11" ht="18" hidden="1" x14ac:dyDescent="0.4">
      <c r="A259" s="7" t="s">
        <v>0</v>
      </c>
      <c r="B259" s="81" t="s">
        <v>250</v>
      </c>
      <c r="C259" s="57">
        <v>37866</v>
      </c>
      <c r="D259" s="70">
        <v>463453620</v>
      </c>
      <c r="E259" s="57">
        <v>120</v>
      </c>
      <c r="F259" s="71" t="s">
        <v>253</v>
      </c>
      <c r="G259" s="61">
        <v>0</v>
      </c>
      <c r="H259" s="70">
        <f t="shared" si="13"/>
        <v>0</v>
      </c>
      <c r="I259" s="53">
        <f t="shared" ca="1" si="18"/>
        <v>46119</v>
      </c>
      <c r="J259" s="53">
        <f t="shared" ca="1" si="1"/>
        <v>46118</v>
      </c>
      <c r="K259" s="21"/>
    </row>
    <row r="260" spans="1:11" ht="18" hidden="1" x14ac:dyDescent="0.4">
      <c r="A260" s="7" t="s">
        <v>0</v>
      </c>
      <c r="B260" s="81" t="s">
        <v>250</v>
      </c>
      <c r="C260" s="57">
        <v>37866</v>
      </c>
      <c r="D260" s="70">
        <v>463453580</v>
      </c>
      <c r="E260" s="57">
        <v>120</v>
      </c>
      <c r="F260" s="71" t="s">
        <v>249</v>
      </c>
      <c r="G260" s="61">
        <v>0</v>
      </c>
      <c r="H260" s="70">
        <f t="shared" si="13"/>
        <v>0</v>
      </c>
      <c r="I260" s="53">
        <f t="shared" ca="1" si="18"/>
        <v>46119</v>
      </c>
      <c r="J260" s="53">
        <f t="shared" ca="1" si="1"/>
        <v>46118</v>
      </c>
      <c r="K260" s="7"/>
    </row>
    <row r="261" spans="1:11" ht="18" hidden="1" x14ac:dyDescent="0.4">
      <c r="A261" s="7" t="s">
        <v>0</v>
      </c>
      <c r="B261" s="81" t="s">
        <v>250</v>
      </c>
      <c r="C261" s="57">
        <v>37866</v>
      </c>
      <c r="D261" s="70">
        <v>463453570</v>
      </c>
      <c r="E261" s="57">
        <v>120</v>
      </c>
      <c r="F261" s="71" t="s">
        <v>249</v>
      </c>
      <c r="G261" s="61">
        <v>0</v>
      </c>
      <c r="H261" s="70">
        <f t="shared" si="13"/>
        <v>0</v>
      </c>
      <c r="I261" s="53">
        <f t="shared" ca="1" si="18"/>
        <v>46119</v>
      </c>
      <c r="J261" s="53">
        <f t="shared" ca="1" si="1"/>
        <v>46118</v>
      </c>
      <c r="K261" s="21"/>
    </row>
    <row r="262" spans="1:11" ht="18" hidden="1" x14ac:dyDescent="0.4">
      <c r="A262" s="7" t="s">
        <v>0</v>
      </c>
      <c r="B262" s="81" t="s">
        <v>250</v>
      </c>
      <c r="C262" s="57">
        <v>37866</v>
      </c>
      <c r="D262" s="70">
        <v>463522020</v>
      </c>
      <c r="E262" s="57">
        <v>120</v>
      </c>
      <c r="F262" s="71" t="s">
        <v>249</v>
      </c>
      <c r="G262" s="61">
        <v>0</v>
      </c>
      <c r="H262" s="70">
        <f t="shared" si="13"/>
        <v>0</v>
      </c>
      <c r="I262" s="53">
        <f t="shared" ca="1" si="18"/>
        <v>46119</v>
      </c>
      <c r="J262" s="53">
        <f t="shared" ca="1" si="1"/>
        <v>46118</v>
      </c>
      <c r="K262" s="21"/>
    </row>
    <row r="263" spans="1:11" ht="18" hidden="1" x14ac:dyDescent="0.4">
      <c r="A263" s="7" t="s">
        <v>0</v>
      </c>
      <c r="B263" s="81" t="s">
        <v>250</v>
      </c>
      <c r="C263" s="57">
        <v>37866</v>
      </c>
      <c r="D263" s="70">
        <v>463522030</v>
      </c>
      <c r="E263" s="57">
        <v>120</v>
      </c>
      <c r="F263" s="71" t="s">
        <v>249</v>
      </c>
      <c r="G263" s="61">
        <v>0</v>
      </c>
      <c r="H263" s="70">
        <f t="shared" si="13"/>
        <v>0</v>
      </c>
      <c r="I263" s="53">
        <f t="shared" ca="1" si="18"/>
        <v>46119</v>
      </c>
      <c r="J263" s="53">
        <f t="shared" ca="1" si="1"/>
        <v>46118</v>
      </c>
      <c r="K263" s="7"/>
    </row>
    <row r="264" spans="1:11" ht="18" hidden="1" x14ac:dyDescent="0.4">
      <c r="A264" s="7" t="s">
        <v>0</v>
      </c>
      <c r="B264" s="81" t="s">
        <v>254</v>
      </c>
      <c r="C264" s="57">
        <v>1097</v>
      </c>
      <c r="D264" s="70">
        <v>552172560</v>
      </c>
      <c r="E264" s="57">
        <v>32</v>
      </c>
      <c r="F264" s="71" t="s">
        <v>255</v>
      </c>
      <c r="G264" s="61">
        <v>0</v>
      </c>
      <c r="H264" s="70">
        <f t="shared" si="13"/>
        <v>0</v>
      </c>
      <c r="I264" s="53">
        <f t="shared" ca="1" si="18"/>
        <v>46119</v>
      </c>
      <c r="J264" s="53">
        <f t="shared" ref="J264:J511" ca="1" si="19">TODAY()</f>
        <v>46118</v>
      </c>
      <c r="K264" s="21"/>
    </row>
    <row r="265" spans="1:11" ht="18" hidden="1" x14ac:dyDescent="0.4">
      <c r="A265" s="7" t="s">
        <v>0</v>
      </c>
      <c r="B265" s="60" t="s">
        <v>254</v>
      </c>
      <c r="C265" s="57">
        <v>1097</v>
      </c>
      <c r="D265" s="70">
        <v>552172570</v>
      </c>
      <c r="E265" s="57">
        <v>32</v>
      </c>
      <c r="F265" s="71" t="s">
        <v>256</v>
      </c>
      <c r="G265" s="61">
        <v>0</v>
      </c>
      <c r="H265" s="70">
        <f t="shared" ref="H265:H328" si="20">+G265/E265</f>
        <v>0</v>
      </c>
      <c r="I265" s="53">
        <f ca="1">I264</f>
        <v>46119</v>
      </c>
      <c r="J265" s="53">
        <f t="shared" ca="1" si="19"/>
        <v>46118</v>
      </c>
      <c r="K265" s="21"/>
    </row>
    <row r="266" spans="1:11" ht="18" hidden="1" x14ac:dyDescent="0.4">
      <c r="A266" s="7" t="s">
        <v>0</v>
      </c>
      <c r="B266" s="60" t="s">
        <v>254</v>
      </c>
      <c r="C266" s="57">
        <v>1097</v>
      </c>
      <c r="D266" s="70">
        <v>463497420</v>
      </c>
      <c r="E266" s="57">
        <v>32</v>
      </c>
      <c r="F266" s="71" t="s">
        <v>257</v>
      </c>
      <c r="G266" s="61">
        <v>0</v>
      </c>
      <c r="H266" s="70">
        <f t="shared" si="20"/>
        <v>0</v>
      </c>
      <c r="I266" s="53">
        <f t="shared" ca="1" si="18"/>
        <v>46119</v>
      </c>
      <c r="J266" s="53">
        <f t="shared" ca="1" si="19"/>
        <v>46118</v>
      </c>
      <c r="K266" s="21"/>
    </row>
    <row r="267" spans="1:11" ht="18" hidden="1" x14ac:dyDescent="0.4">
      <c r="A267" s="7" t="s">
        <v>0</v>
      </c>
      <c r="B267" s="60" t="s">
        <v>254</v>
      </c>
      <c r="C267" s="57">
        <v>1097</v>
      </c>
      <c r="D267" s="70">
        <v>463497440</v>
      </c>
      <c r="E267" s="57">
        <v>32</v>
      </c>
      <c r="F267" s="71" t="s">
        <v>258</v>
      </c>
      <c r="G267" s="61">
        <v>0</v>
      </c>
      <c r="H267" s="70">
        <f t="shared" si="20"/>
        <v>0</v>
      </c>
      <c r="I267" s="53">
        <f t="shared" ca="1" si="18"/>
        <v>46119</v>
      </c>
      <c r="J267" s="53">
        <f t="shared" ca="1" si="19"/>
        <v>46118</v>
      </c>
      <c r="K267" s="21"/>
    </row>
    <row r="268" spans="1:11" ht="18" hidden="1" x14ac:dyDescent="0.4">
      <c r="A268" s="7" t="s">
        <v>0</v>
      </c>
      <c r="B268" s="60" t="s">
        <v>254</v>
      </c>
      <c r="C268" s="57">
        <v>1097</v>
      </c>
      <c r="D268" s="70">
        <v>552168990</v>
      </c>
      <c r="E268" s="57">
        <v>32</v>
      </c>
      <c r="F268" s="71" t="s">
        <v>257</v>
      </c>
      <c r="G268" s="61">
        <v>0</v>
      </c>
      <c r="H268" s="70">
        <f t="shared" si="20"/>
        <v>0</v>
      </c>
      <c r="I268" s="53">
        <f t="shared" ca="1" si="18"/>
        <v>46119</v>
      </c>
      <c r="J268" s="53">
        <f t="shared" ca="1" si="19"/>
        <v>46118</v>
      </c>
      <c r="K268" s="21"/>
    </row>
    <row r="269" spans="1:11" ht="18" hidden="1" x14ac:dyDescent="0.4">
      <c r="A269" s="7" t="s">
        <v>0</v>
      </c>
      <c r="B269" s="60" t="s">
        <v>254</v>
      </c>
      <c r="C269" s="57">
        <v>1097</v>
      </c>
      <c r="D269" s="70">
        <v>463478520</v>
      </c>
      <c r="E269" s="57">
        <v>32</v>
      </c>
      <c r="F269" s="71" t="s">
        <v>259</v>
      </c>
      <c r="G269" s="61">
        <v>0</v>
      </c>
      <c r="H269" s="70">
        <f t="shared" si="20"/>
        <v>0</v>
      </c>
      <c r="I269" s="53">
        <f t="shared" ca="1" si="18"/>
        <v>46119</v>
      </c>
      <c r="J269" s="53">
        <f t="shared" ca="1" si="19"/>
        <v>46118</v>
      </c>
      <c r="K269" s="21"/>
    </row>
    <row r="270" spans="1:11" ht="18" hidden="1" x14ac:dyDescent="0.4">
      <c r="A270" s="7" t="s">
        <v>0</v>
      </c>
      <c r="B270" s="60" t="s">
        <v>254</v>
      </c>
      <c r="C270" s="57">
        <v>1097</v>
      </c>
      <c r="D270" s="70">
        <v>463478480</v>
      </c>
      <c r="E270" s="57">
        <v>32</v>
      </c>
      <c r="F270" s="71" t="s">
        <v>260</v>
      </c>
      <c r="G270" s="61">
        <v>0</v>
      </c>
      <c r="H270" s="70">
        <f t="shared" si="20"/>
        <v>0</v>
      </c>
      <c r="I270" s="53">
        <f t="shared" ca="1" si="18"/>
        <v>46119</v>
      </c>
      <c r="J270" s="53">
        <f t="shared" ca="1" si="19"/>
        <v>46118</v>
      </c>
      <c r="K270" s="21"/>
    </row>
    <row r="271" spans="1:11" ht="18" hidden="1" x14ac:dyDescent="0.4">
      <c r="A271" s="7" t="s">
        <v>0</v>
      </c>
      <c r="B271" s="60" t="s">
        <v>254</v>
      </c>
      <c r="C271" s="57">
        <v>1097</v>
      </c>
      <c r="D271" s="70">
        <v>463478560</v>
      </c>
      <c r="E271" s="57">
        <v>32</v>
      </c>
      <c r="F271" s="71" t="s">
        <v>261</v>
      </c>
      <c r="G271" s="61">
        <v>0</v>
      </c>
      <c r="H271" s="70">
        <f t="shared" si="20"/>
        <v>0</v>
      </c>
      <c r="I271" s="53">
        <f t="shared" ca="1" si="18"/>
        <v>46119</v>
      </c>
      <c r="J271" s="53">
        <f t="shared" ca="1" si="19"/>
        <v>46118</v>
      </c>
      <c r="K271" s="21"/>
    </row>
    <row r="272" spans="1:11" ht="18" hidden="1" x14ac:dyDescent="0.4">
      <c r="A272" s="7" t="s">
        <v>0</v>
      </c>
      <c r="B272" s="60" t="s">
        <v>254</v>
      </c>
      <c r="C272" s="57">
        <v>1097</v>
      </c>
      <c r="D272" s="70">
        <v>463478590</v>
      </c>
      <c r="E272" s="57">
        <v>32</v>
      </c>
      <c r="F272" s="71" t="s">
        <v>262</v>
      </c>
      <c r="G272" s="61">
        <v>0</v>
      </c>
      <c r="H272" s="70">
        <f t="shared" si="20"/>
        <v>0</v>
      </c>
      <c r="I272" s="53">
        <f t="shared" ca="1" si="18"/>
        <v>46119</v>
      </c>
      <c r="J272" s="53">
        <f t="shared" ca="1" si="19"/>
        <v>46118</v>
      </c>
      <c r="K272" s="7"/>
    </row>
    <row r="273" spans="1:11" ht="18" hidden="1" x14ac:dyDescent="0.4">
      <c r="A273" s="7" t="s">
        <v>0</v>
      </c>
      <c r="B273" s="60" t="s">
        <v>254</v>
      </c>
      <c r="C273" s="57">
        <v>1097</v>
      </c>
      <c r="D273" s="70">
        <v>463526890</v>
      </c>
      <c r="E273" s="57">
        <v>32</v>
      </c>
      <c r="F273" s="71" t="s">
        <v>263</v>
      </c>
      <c r="G273" s="61">
        <v>0</v>
      </c>
      <c r="H273" s="70">
        <f t="shared" si="20"/>
        <v>0</v>
      </c>
      <c r="I273" s="53">
        <f t="shared" ca="1" si="18"/>
        <v>46119</v>
      </c>
      <c r="J273" s="53">
        <f t="shared" ca="1" si="19"/>
        <v>46118</v>
      </c>
      <c r="K273" s="7"/>
    </row>
    <row r="274" spans="1:11" ht="18" hidden="1" x14ac:dyDescent="0.4">
      <c r="A274" s="7" t="s">
        <v>0</v>
      </c>
      <c r="B274" s="60" t="s">
        <v>254</v>
      </c>
      <c r="C274" s="57">
        <v>1097</v>
      </c>
      <c r="D274" s="70">
        <v>463534080</v>
      </c>
      <c r="E274" s="57">
        <v>32</v>
      </c>
      <c r="F274" s="71" t="s">
        <v>263</v>
      </c>
      <c r="G274" s="61">
        <v>0</v>
      </c>
      <c r="H274" s="70">
        <f t="shared" si="20"/>
        <v>0</v>
      </c>
      <c r="I274" s="53">
        <f t="shared" ca="1" si="18"/>
        <v>46119</v>
      </c>
      <c r="J274" s="53">
        <f t="shared" ca="1" si="19"/>
        <v>46118</v>
      </c>
      <c r="K274" s="21"/>
    </row>
    <row r="275" spans="1:11" ht="18" hidden="1" x14ac:dyDescent="0.4">
      <c r="A275" s="7" t="s">
        <v>0</v>
      </c>
      <c r="B275" s="60" t="s">
        <v>264</v>
      </c>
      <c r="C275" s="7">
        <v>39667</v>
      </c>
      <c r="D275" s="9">
        <v>552809780</v>
      </c>
      <c r="E275" s="7">
        <v>360</v>
      </c>
      <c r="F275" s="19" t="s">
        <v>265</v>
      </c>
      <c r="G275" s="61">
        <v>0</v>
      </c>
      <c r="H275" s="70">
        <f t="shared" si="20"/>
        <v>0</v>
      </c>
      <c r="I275" s="53">
        <f t="shared" ca="1" si="18"/>
        <v>46119</v>
      </c>
      <c r="J275" s="53">
        <f t="shared" ca="1" si="19"/>
        <v>46118</v>
      </c>
      <c r="K275" s="21"/>
    </row>
    <row r="276" spans="1:11" ht="18" hidden="1" x14ac:dyDescent="0.4">
      <c r="A276" s="7" t="s">
        <v>0</v>
      </c>
      <c r="B276" s="81" t="s">
        <v>266</v>
      </c>
      <c r="C276" s="57">
        <v>35281</v>
      </c>
      <c r="D276" s="70">
        <v>521498190</v>
      </c>
      <c r="E276" s="57">
        <v>100</v>
      </c>
      <c r="F276" s="71" t="s">
        <v>267</v>
      </c>
      <c r="G276" s="61">
        <v>0</v>
      </c>
      <c r="H276" s="70">
        <f t="shared" si="20"/>
        <v>0</v>
      </c>
      <c r="I276" s="53">
        <f t="shared" ca="1" si="18"/>
        <v>46119</v>
      </c>
      <c r="J276" s="53">
        <f t="shared" ca="1" si="19"/>
        <v>46118</v>
      </c>
      <c r="K276" s="7"/>
    </row>
    <row r="277" spans="1:11" ht="18" hidden="1" x14ac:dyDescent="0.4">
      <c r="A277" s="7" t="s">
        <v>0</v>
      </c>
      <c r="B277" s="81" t="s">
        <v>266</v>
      </c>
      <c r="C277" s="57">
        <v>35281</v>
      </c>
      <c r="D277" s="70">
        <v>521641510</v>
      </c>
      <c r="E277" s="57">
        <v>100</v>
      </c>
      <c r="F277" s="71" t="s">
        <v>268</v>
      </c>
      <c r="G277" s="61">
        <v>0</v>
      </c>
      <c r="H277" s="70">
        <f t="shared" si="20"/>
        <v>0</v>
      </c>
      <c r="I277" s="53">
        <f t="shared" ca="1" si="18"/>
        <v>46119</v>
      </c>
      <c r="J277" s="53">
        <f t="shared" ca="1" si="19"/>
        <v>46118</v>
      </c>
      <c r="K277" s="7"/>
    </row>
    <row r="278" spans="1:11" ht="18" hidden="1" x14ac:dyDescent="0.4">
      <c r="A278" s="7" t="s">
        <v>0</v>
      </c>
      <c r="B278" s="81" t="s">
        <v>269</v>
      </c>
      <c r="C278" s="57">
        <v>64680</v>
      </c>
      <c r="D278" s="70">
        <v>552364550</v>
      </c>
      <c r="E278" s="57">
        <v>2160</v>
      </c>
      <c r="F278" s="71" t="s">
        <v>270</v>
      </c>
      <c r="G278" s="61">
        <v>0</v>
      </c>
      <c r="H278" s="70">
        <f t="shared" si="20"/>
        <v>0</v>
      </c>
      <c r="I278" s="53">
        <f t="shared" ca="1" si="18"/>
        <v>46119</v>
      </c>
      <c r="J278" s="53">
        <f t="shared" ca="1" si="19"/>
        <v>46118</v>
      </c>
      <c r="K278" s="21"/>
    </row>
    <row r="279" spans="1:11" ht="18" hidden="1" x14ac:dyDescent="0.4">
      <c r="A279" s="7" t="s">
        <v>0</v>
      </c>
      <c r="B279" s="81" t="s">
        <v>269</v>
      </c>
      <c r="C279" s="57">
        <v>64680</v>
      </c>
      <c r="D279" s="70">
        <v>552597520</v>
      </c>
      <c r="E279" s="57">
        <v>3600</v>
      </c>
      <c r="F279" s="71" t="s">
        <v>271</v>
      </c>
      <c r="G279" s="61">
        <v>0</v>
      </c>
      <c r="H279" s="70">
        <f t="shared" si="20"/>
        <v>0</v>
      </c>
      <c r="I279" s="53">
        <f t="shared" ca="1" si="18"/>
        <v>46119</v>
      </c>
      <c r="J279" s="53">
        <f t="shared" ca="1" si="19"/>
        <v>46118</v>
      </c>
      <c r="K279" s="21"/>
    </row>
    <row r="280" spans="1:11" ht="18" hidden="1" x14ac:dyDescent="0.4">
      <c r="A280" s="7" t="s">
        <v>0</v>
      </c>
      <c r="B280" s="81" t="s">
        <v>269</v>
      </c>
      <c r="C280" s="57">
        <v>64680</v>
      </c>
      <c r="D280" s="70">
        <v>551896360</v>
      </c>
      <c r="E280" s="57">
        <v>360</v>
      </c>
      <c r="F280" s="71" t="s">
        <v>272</v>
      </c>
      <c r="G280" s="61">
        <v>0</v>
      </c>
      <c r="H280" s="70">
        <f t="shared" si="20"/>
        <v>0</v>
      </c>
      <c r="I280" s="53">
        <f t="shared" ca="1" si="18"/>
        <v>46119</v>
      </c>
      <c r="J280" s="53">
        <f t="shared" ca="1" si="19"/>
        <v>46118</v>
      </c>
      <c r="K280" s="21"/>
    </row>
    <row r="281" spans="1:11" ht="18" hidden="1" x14ac:dyDescent="0.4">
      <c r="A281" s="7" t="s">
        <v>0</v>
      </c>
      <c r="B281" s="81" t="s">
        <v>269</v>
      </c>
      <c r="C281" s="57">
        <v>64680</v>
      </c>
      <c r="D281" s="70">
        <v>552305070</v>
      </c>
      <c r="E281" s="57">
        <v>360</v>
      </c>
      <c r="F281" s="71" t="s">
        <v>265</v>
      </c>
      <c r="G281" s="61">
        <v>0</v>
      </c>
      <c r="H281" s="70">
        <f t="shared" si="20"/>
        <v>0</v>
      </c>
      <c r="I281" s="53">
        <f t="shared" ca="1" si="18"/>
        <v>46119</v>
      </c>
      <c r="J281" s="53">
        <f t="shared" ca="1" si="19"/>
        <v>46118</v>
      </c>
      <c r="K281" s="21"/>
    </row>
    <row r="282" spans="1:11" ht="18" hidden="1" x14ac:dyDescent="0.4">
      <c r="A282" s="7" t="s">
        <v>0</v>
      </c>
      <c r="B282" s="81" t="s">
        <v>269</v>
      </c>
      <c r="C282" s="57">
        <v>64680</v>
      </c>
      <c r="D282" s="70">
        <v>463361860</v>
      </c>
      <c r="E282" s="57">
        <v>32</v>
      </c>
      <c r="F282" s="71" t="s">
        <v>273</v>
      </c>
      <c r="G282" s="61">
        <v>0</v>
      </c>
      <c r="H282" s="70">
        <f t="shared" si="20"/>
        <v>0</v>
      </c>
      <c r="I282" s="53">
        <f t="shared" ca="1" si="18"/>
        <v>46119</v>
      </c>
      <c r="J282" s="53">
        <f t="shared" ca="1" si="19"/>
        <v>46118</v>
      </c>
      <c r="K282" s="21"/>
    </row>
    <row r="283" spans="1:11" ht="18" hidden="1" x14ac:dyDescent="0.4">
      <c r="A283" s="7" t="s">
        <v>0</v>
      </c>
      <c r="B283" s="81" t="s">
        <v>269</v>
      </c>
      <c r="C283" s="57">
        <v>64680</v>
      </c>
      <c r="D283" s="70">
        <v>463361870</v>
      </c>
      <c r="E283" s="57">
        <v>32</v>
      </c>
      <c r="F283" s="71" t="s">
        <v>273</v>
      </c>
      <c r="G283" s="61">
        <v>0</v>
      </c>
      <c r="H283" s="70">
        <f t="shared" si="20"/>
        <v>0</v>
      </c>
      <c r="I283" s="53">
        <f t="shared" ca="1" si="18"/>
        <v>46119</v>
      </c>
      <c r="J283" s="53">
        <f t="shared" ca="1" si="19"/>
        <v>46118</v>
      </c>
      <c r="K283" s="21"/>
    </row>
    <row r="284" spans="1:11" ht="18" hidden="1" x14ac:dyDescent="0.4">
      <c r="A284" s="7" t="s">
        <v>0</v>
      </c>
      <c r="B284" s="81" t="s">
        <v>269</v>
      </c>
      <c r="C284" s="57">
        <v>64680</v>
      </c>
      <c r="D284" s="70">
        <v>463361880</v>
      </c>
      <c r="E284" s="57">
        <v>32</v>
      </c>
      <c r="F284" s="71" t="s">
        <v>274</v>
      </c>
      <c r="G284" s="61">
        <v>0</v>
      </c>
      <c r="H284" s="70">
        <f t="shared" si="20"/>
        <v>0</v>
      </c>
      <c r="I284" s="53">
        <f t="shared" ca="1" si="18"/>
        <v>46119</v>
      </c>
      <c r="J284" s="53">
        <f t="shared" ca="1" si="19"/>
        <v>46118</v>
      </c>
      <c r="K284" s="21"/>
    </row>
    <row r="285" spans="1:11" ht="18" hidden="1" x14ac:dyDescent="0.4">
      <c r="A285" s="7" t="s">
        <v>0</v>
      </c>
      <c r="B285" s="81" t="s">
        <v>269</v>
      </c>
      <c r="C285" s="57">
        <v>64680</v>
      </c>
      <c r="D285" s="70">
        <v>463361890</v>
      </c>
      <c r="E285" s="57">
        <v>32</v>
      </c>
      <c r="F285" s="71" t="s">
        <v>273</v>
      </c>
      <c r="G285" s="61">
        <v>0</v>
      </c>
      <c r="H285" s="70">
        <f t="shared" si="20"/>
        <v>0</v>
      </c>
      <c r="I285" s="53">
        <f t="shared" ca="1" si="18"/>
        <v>46119</v>
      </c>
      <c r="J285" s="53">
        <f t="shared" ca="1" si="19"/>
        <v>46118</v>
      </c>
      <c r="K285" s="21"/>
    </row>
    <row r="286" spans="1:11" ht="18" hidden="1" x14ac:dyDescent="0.4">
      <c r="A286" s="7" t="s">
        <v>0</v>
      </c>
      <c r="B286" s="81" t="s">
        <v>275</v>
      </c>
      <c r="C286" s="57">
        <v>37474</v>
      </c>
      <c r="D286" s="70">
        <v>518657410</v>
      </c>
      <c r="E286" s="57">
        <v>80</v>
      </c>
      <c r="F286" s="71" t="s">
        <v>276</v>
      </c>
      <c r="G286" s="61">
        <v>0</v>
      </c>
      <c r="H286" s="70">
        <f t="shared" si="20"/>
        <v>0</v>
      </c>
      <c r="I286" s="53">
        <f t="shared" ca="1" si="18"/>
        <v>46119</v>
      </c>
      <c r="J286" s="53">
        <f t="shared" ca="1" si="19"/>
        <v>46118</v>
      </c>
      <c r="K286" s="21"/>
    </row>
    <row r="287" spans="1:11" ht="18" hidden="1" x14ac:dyDescent="0.4">
      <c r="A287" s="7" t="s">
        <v>0</v>
      </c>
      <c r="B287" s="60" t="s">
        <v>277</v>
      </c>
      <c r="C287" s="57">
        <v>47097</v>
      </c>
      <c r="D287" s="70">
        <v>518469540</v>
      </c>
      <c r="E287" s="57">
        <v>80</v>
      </c>
      <c r="F287" s="71" t="s">
        <v>278</v>
      </c>
      <c r="G287" s="61">
        <v>0</v>
      </c>
      <c r="H287" s="70">
        <f t="shared" si="20"/>
        <v>0</v>
      </c>
      <c r="I287" s="53">
        <f t="shared" ca="1" si="18"/>
        <v>46119</v>
      </c>
      <c r="J287" s="53">
        <f t="shared" ca="1" si="19"/>
        <v>46118</v>
      </c>
      <c r="K287" s="21"/>
    </row>
    <row r="288" spans="1:11" ht="18" hidden="1" x14ac:dyDescent="0.4">
      <c r="A288" s="7" t="s">
        <v>0</v>
      </c>
      <c r="B288" s="60" t="s">
        <v>277</v>
      </c>
      <c r="C288" s="57">
        <v>47097</v>
      </c>
      <c r="D288" s="70">
        <v>521053400</v>
      </c>
      <c r="E288" s="57">
        <v>80</v>
      </c>
      <c r="F288" s="71" t="s">
        <v>279</v>
      </c>
      <c r="G288" s="61">
        <v>0</v>
      </c>
      <c r="H288" s="70">
        <f t="shared" si="20"/>
        <v>0</v>
      </c>
      <c r="I288" s="53">
        <f t="shared" ca="1" si="18"/>
        <v>46119</v>
      </c>
      <c r="J288" s="53">
        <f t="shared" ca="1" si="19"/>
        <v>46118</v>
      </c>
      <c r="K288" s="21"/>
    </row>
    <row r="289" spans="1:11" ht="18" hidden="1" x14ac:dyDescent="0.4">
      <c r="A289" s="7" t="s">
        <v>0</v>
      </c>
      <c r="B289" s="83" t="s">
        <v>277</v>
      </c>
      <c r="C289" s="75">
        <v>47097</v>
      </c>
      <c r="D289" s="76">
        <v>521053400</v>
      </c>
      <c r="E289" s="75">
        <v>80</v>
      </c>
      <c r="F289" s="77" t="s">
        <v>279</v>
      </c>
      <c r="G289" s="61">
        <v>0</v>
      </c>
      <c r="H289" s="70">
        <f t="shared" si="20"/>
        <v>0</v>
      </c>
      <c r="I289" s="11">
        <f t="shared" ca="1" si="18"/>
        <v>46119</v>
      </c>
      <c r="J289" s="11">
        <f t="shared" ca="1" si="19"/>
        <v>46118</v>
      </c>
      <c r="K289" s="8"/>
    </row>
    <row r="290" spans="1:11" ht="18" hidden="1" x14ac:dyDescent="0.4">
      <c r="A290" s="7" t="s">
        <v>0</v>
      </c>
      <c r="B290" s="60" t="s">
        <v>280</v>
      </c>
      <c r="C290" s="57">
        <v>78605</v>
      </c>
      <c r="D290" s="70">
        <v>552398190</v>
      </c>
      <c r="E290" s="57">
        <v>500</v>
      </c>
      <c r="F290" s="71" t="s">
        <v>281</v>
      </c>
      <c r="G290" s="61">
        <v>0</v>
      </c>
      <c r="H290" s="70">
        <f t="shared" si="20"/>
        <v>0</v>
      </c>
      <c r="I290" s="53">
        <f t="shared" ca="1" si="18"/>
        <v>46119</v>
      </c>
      <c r="J290" s="53">
        <f t="shared" ca="1" si="19"/>
        <v>46118</v>
      </c>
      <c r="K290" s="21"/>
    </row>
    <row r="291" spans="1:11" ht="18" hidden="1" x14ac:dyDescent="0.4">
      <c r="A291" s="7" t="s">
        <v>0</v>
      </c>
      <c r="B291" s="81" t="s">
        <v>282</v>
      </c>
      <c r="C291" s="57">
        <v>73850</v>
      </c>
      <c r="D291" s="70">
        <v>552188560</v>
      </c>
      <c r="E291" s="57">
        <v>50</v>
      </c>
      <c r="F291" s="71" t="s">
        <v>283</v>
      </c>
      <c r="G291" s="61">
        <v>0</v>
      </c>
      <c r="H291" s="70">
        <f t="shared" si="20"/>
        <v>0</v>
      </c>
      <c r="I291" s="53">
        <f t="shared" ca="1" si="18"/>
        <v>46119</v>
      </c>
      <c r="J291" s="53">
        <f t="shared" ca="1" si="19"/>
        <v>46118</v>
      </c>
      <c r="K291" s="21"/>
    </row>
    <row r="292" spans="1:11" ht="18" hidden="1" x14ac:dyDescent="0.4">
      <c r="A292" s="7" t="s">
        <v>0</v>
      </c>
      <c r="B292" s="81" t="s">
        <v>282</v>
      </c>
      <c r="C292" s="57">
        <v>73850</v>
      </c>
      <c r="D292" s="70">
        <v>552278750</v>
      </c>
      <c r="E292" s="57">
        <v>150</v>
      </c>
      <c r="F292" s="71" t="s">
        <v>284</v>
      </c>
      <c r="G292" s="61">
        <v>0</v>
      </c>
      <c r="H292" s="70">
        <f t="shared" si="20"/>
        <v>0</v>
      </c>
      <c r="I292" s="53">
        <f t="shared" ca="1" si="18"/>
        <v>46119</v>
      </c>
      <c r="J292" s="53">
        <f t="shared" ca="1" si="19"/>
        <v>46118</v>
      </c>
      <c r="K292" s="21"/>
    </row>
    <row r="293" spans="1:11" ht="18" hidden="1" x14ac:dyDescent="0.4">
      <c r="A293" s="7" t="s">
        <v>0</v>
      </c>
      <c r="B293" s="81" t="s">
        <v>282</v>
      </c>
      <c r="C293" s="57">
        <v>73850</v>
      </c>
      <c r="D293" s="70">
        <v>552278770</v>
      </c>
      <c r="E293" s="57">
        <v>150</v>
      </c>
      <c r="F293" s="71" t="s">
        <v>285</v>
      </c>
      <c r="G293" s="61">
        <v>0</v>
      </c>
      <c r="H293" s="70">
        <f t="shared" si="20"/>
        <v>0</v>
      </c>
      <c r="I293" s="53">
        <f t="shared" ca="1" si="18"/>
        <v>46119</v>
      </c>
      <c r="J293" s="53">
        <f t="shared" ca="1" si="19"/>
        <v>46118</v>
      </c>
      <c r="K293" s="21"/>
    </row>
    <row r="294" spans="1:11" ht="18" hidden="1" x14ac:dyDescent="0.4">
      <c r="A294" s="7" t="s">
        <v>0</v>
      </c>
      <c r="B294" s="81" t="s">
        <v>286</v>
      </c>
      <c r="C294" s="57">
        <v>51625</v>
      </c>
      <c r="D294" s="70">
        <v>551812430</v>
      </c>
      <c r="E294" s="57">
        <v>2160</v>
      </c>
      <c r="F294" s="71" t="s">
        <v>287</v>
      </c>
      <c r="G294" s="61">
        <v>0</v>
      </c>
      <c r="H294" s="70">
        <f t="shared" si="20"/>
        <v>0</v>
      </c>
      <c r="I294" s="53">
        <f t="shared" ca="1" si="18"/>
        <v>46119</v>
      </c>
      <c r="J294" s="53">
        <f t="shared" ca="1" si="19"/>
        <v>46118</v>
      </c>
      <c r="K294" s="21"/>
    </row>
    <row r="295" spans="1:11" ht="18" hidden="1" x14ac:dyDescent="0.4">
      <c r="A295" s="7" t="s">
        <v>0</v>
      </c>
      <c r="B295" s="81" t="s">
        <v>286</v>
      </c>
      <c r="C295" s="57">
        <v>51625</v>
      </c>
      <c r="D295" s="70">
        <v>552168510</v>
      </c>
      <c r="E295" s="57">
        <v>640</v>
      </c>
      <c r="F295" s="71" t="s">
        <v>287</v>
      </c>
      <c r="G295" s="61">
        <v>0</v>
      </c>
      <c r="H295" s="70">
        <f t="shared" si="20"/>
        <v>0</v>
      </c>
      <c r="I295" s="53">
        <f t="shared" ca="1" si="18"/>
        <v>46119</v>
      </c>
      <c r="J295" s="53">
        <f t="shared" ca="1" si="19"/>
        <v>46118</v>
      </c>
      <c r="K295" s="7"/>
    </row>
    <row r="296" spans="1:11" ht="18" hidden="1" x14ac:dyDescent="0.4">
      <c r="A296" s="7" t="s">
        <v>0</v>
      </c>
      <c r="B296" s="81" t="s">
        <v>286</v>
      </c>
      <c r="C296" s="57">
        <v>51625</v>
      </c>
      <c r="D296" s="70">
        <v>552188650</v>
      </c>
      <c r="E296" s="57">
        <v>640</v>
      </c>
      <c r="F296" s="71" t="s">
        <v>287</v>
      </c>
      <c r="G296" s="61">
        <v>0</v>
      </c>
      <c r="H296" s="70">
        <f t="shared" si="20"/>
        <v>0</v>
      </c>
      <c r="I296" s="53">
        <f t="shared" ca="1" si="18"/>
        <v>46119</v>
      </c>
      <c r="J296" s="53">
        <f t="shared" ca="1" si="19"/>
        <v>46118</v>
      </c>
      <c r="K296" s="7"/>
    </row>
    <row r="297" spans="1:11" ht="18" hidden="1" x14ac:dyDescent="0.4">
      <c r="A297" s="7" t="s">
        <v>0</v>
      </c>
      <c r="B297" s="82" t="s">
        <v>288</v>
      </c>
      <c r="C297" s="57">
        <v>20748</v>
      </c>
      <c r="D297" s="70">
        <v>552178590</v>
      </c>
      <c r="E297" s="57">
        <v>288</v>
      </c>
      <c r="F297" s="71" t="s">
        <v>289</v>
      </c>
      <c r="G297" s="61">
        <v>0</v>
      </c>
      <c r="H297" s="70">
        <f t="shared" si="20"/>
        <v>0</v>
      </c>
      <c r="I297" s="53">
        <f t="shared" ca="1" si="18"/>
        <v>46119</v>
      </c>
      <c r="J297" s="53">
        <f t="shared" ca="1" si="19"/>
        <v>46118</v>
      </c>
      <c r="K297" s="21"/>
    </row>
    <row r="298" spans="1:11" ht="18" hidden="1" x14ac:dyDescent="0.4">
      <c r="A298" s="7" t="s">
        <v>0</v>
      </c>
      <c r="B298" s="81" t="s">
        <v>290</v>
      </c>
      <c r="C298" s="57">
        <v>68265</v>
      </c>
      <c r="D298" s="70">
        <v>552776160</v>
      </c>
      <c r="E298" s="57">
        <v>150</v>
      </c>
      <c r="F298" s="71" t="s">
        <v>291</v>
      </c>
      <c r="G298" s="61">
        <v>0</v>
      </c>
      <c r="H298" s="70">
        <f t="shared" si="20"/>
        <v>0</v>
      </c>
      <c r="I298" s="11">
        <f t="shared" ca="1" si="18"/>
        <v>46119</v>
      </c>
      <c r="J298" s="11">
        <f t="shared" ca="1" si="19"/>
        <v>46118</v>
      </c>
      <c r="K298" s="13"/>
    </row>
    <row r="299" spans="1:11" ht="18" hidden="1" x14ac:dyDescent="0.4">
      <c r="A299" s="7" t="s">
        <v>0</v>
      </c>
      <c r="B299" s="81" t="s">
        <v>290</v>
      </c>
      <c r="C299" s="57">
        <v>68265</v>
      </c>
      <c r="D299" s="70">
        <v>552282450</v>
      </c>
      <c r="E299" s="57">
        <v>150</v>
      </c>
      <c r="F299" s="71" t="s">
        <v>291</v>
      </c>
      <c r="G299" s="61">
        <v>0</v>
      </c>
      <c r="H299" s="70">
        <f t="shared" si="20"/>
        <v>0</v>
      </c>
      <c r="I299" s="11">
        <f t="shared" ca="1" si="18"/>
        <v>46119</v>
      </c>
      <c r="J299" s="11">
        <f t="shared" ca="1" si="19"/>
        <v>46118</v>
      </c>
      <c r="K299" s="8"/>
    </row>
    <row r="300" spans="1:11" ht="18" hidden="1" x14ac:dyDescent="0.4">
      <c r="A300" s="7" t="s">
        <v>0</v>
      </c>
      <c r="B300" s="82" t="s">
        <v>292</v>
      </c>
      <c r="C300" s="57">
        <v>19424</v>
      </c>
      <c r="D300" s="70">
        <v>552384520</v>
      </c>
      <c r="E300" s="57">
        <v>1440</v>
      </c>
      <c r="F300" s="71" t="s">
        <v>293</v>
      </c>
      <c r="G300" s="61">
        <v>0</v>
      </c>
      <c r="H300" s="70">
        <f t="shared" si="20"/>
        <v>0</v>
      </c>
      <c r="I300" s="11">
        <f t="shared" ca="1" si="18"/>
        <v>46119</v>
      </c>
      <c r="J300" s="11">
        <f t="shared" ca="1" si="19"/>
        <v>46118</v>
      </c>
      <c r="K300" s="13"/>
    </row>
    <row r="301" spans="1:11" ht="18" hidden="1" x14ac:dyDescent="0.4">
      <c r="A301" s="7" t="s">
        <v>0</v>
      </c>
      <c r="B301" s="81" t="s">
        <v>294</v>
      </c>
      <c r="C301" s="57">
        <v>21796</v>
      </c>
      <c r="D301" s="70">
        <v>552807200</v>
      </c>
      <c r="E301" s="57">
        <v>1920</v>
      </c>
      <c r="F301" s="71" t="s">
        <v>293</v>
      </c>
      <c r="G301" s="61">
        <v>0</v>
      </c>
      <c r="H301" s="70">
        <f t="shared" si="20"/>
        <v>0</v>
      </c>
      <c r="I301" s="11">
        <f t="shared" ca="1" si="18"/>
        <v>46119</v>
      </c>
      <c r="J301" s="11">
        <f t="shared" ca="1" si="19"/>
        <v>46118</v>
      </c>
      <c r="K301" s="8"/>
    </row>
    <row r="302" spans="1:11" ht="18" hidden="1" x14ac:dyDescent="0.4">
      <c r="A302" s="7" t="s">
        <v>0</v>
      </c>
      <c r="B302" s="81" t="s">
        <v>295</v>
      </c>
      <c r="C302" s="60">
        <v>51620</v>
      </c>
      <c r="D302" s="70">
        <v>552610980</v>
      </c>
      <c r="E302" s="57">
        <v>840</v>
      </c>
      <c r="F302" s="71" t="s">
        <v>296</v>
      </c>
      <c r="G302" s="61">
        <v>0</v>
      </c>
      <c r="H302" s="70">
        <f t="shared" si="20"/>
        <v>0</v>
      </c>
      <c r="I302" s="11">
        <f t="shared" ca="1" si="18"/>
        <v>46119</v>
      </c>
      <c r="J302" s="11">
        <f t="shared" ca="1" si="19"/>
        <v>46118</v>
      </c>
      <c r="K302" s="8"/>
    </row>
    <row r="303" spans="1:11" ht="18" hidden="1" x14ac:dyDescent="0.4">
      <c r="A303" s="7" t="s">
        <v>0</v>
      </c>
      <c r="B303" s="81" t="s">
        <v>295</v>
      </c>
      <c r="C303" s="60">
        <v>51620</v>
      </c>
      <c r="D303" s="70">
        <v>552611020</v>
      </c>
      <c r="E303" s="57">
        <v>1440</v>
      </c>
      <c r="F303" s="71" t="s">
        <v>297</v>
      </c>
      <c r="G303" s="61">
        <v>0</v>
      </c>
      <c r="H303" s="70">
        <f t="shared" si="20"/>
        <v>0</v>
      </c>
      <c r="I303" s="11">
        <f t="shared" ca="1" si="18"/>
        <v>46119</v>
      </c>
      <c r="J303" s="11">
        <f t="shared" ca="1" si="19"/>
        <v>46118</v>
      </c>
      <c r="K303" s="13"/>
    </row>
    <row r="304" spans="1:11" ht="18" hidden="1" x14ac:dyDescent="0.4">
      <c r="A304" s="7" t="s">
        <v>0</v>
      </c>
      <c r="B304" s="81" t="s">
        <v>295</v>
      </c>
      <c r="C304" s="60">
        <v>51620</v>
      </c>
      <c r="D304" s="70">
        <v>552611060</v>
      </c>
      <c r="E304" s="57">
        <v>840</v>
      </c>
      <c r="F304" s="71" t="s">
        <v>298</v>
      </c>
      <c r="G304" s="61">
        <v>0</v>
      </c>
      <c r="H304" s="70">
        <f t="shared" si="20"/>
        <v>0</v>
      </c>
      <c r="I304" s="11">
        <f t="shared" ca="1" si="18"/>
        <v>46119</v>
      </c>
      <c r="J304" s="11">
        <f t="shared" ca="1" si="19"/>
        <v>46118</v>
      </c>
      <c r="K304" s="13"/>
    </row>
    <row r="305" spans="1:11" ht="18" hidden="1" x14ac:dyDescent="0.4">
      <c r="A305" s="7" t="s">
        <v>0</v>
      </c>
      <c r="B305" s="81" t="s">
        <v>295</v>
      </c>
      <c r="C305" s="60">
        <v>51620</v>
      </c>
      <c r="D305" s="70">
        <v>552670810</v>
      </c>
      <c r="E305" s="57">
        <v>840</v>
      </c>
      <c r="F305" s="71" t="s">
        <v>296</v>
      </c>
      <c r="G305" s="61">
        <v>0</v>
      </c>
      <c r="H305" s="70">
        <f t="shared" si="20"/>
        <v>0</v>
      </c>
      <c r="I305" s="11">
        <f t="shared" ca="1" si="18"/>
        <v>46119</v>
      </c>
      <c r="J305" s="11">
        <f t="shared" ca="1" si="19"/>
        <v>46118</v>
      </c>
      <c r="K305" s="13"/>
    </row>
    <row r="306" spans="1:11" ht="18" hidden="1" x14ac:dyDescent="0.4">
      <c r="A306" s="7" t="s">
        <v>0</v>
      </c>
      <c r="B306" s="81" t="s">
        <v>295</v>
      </c>
      <c r="C306" s="60">
        <v>51620</v>
      </c>
      <c r="D306" s="70">
        <v>552670830</v>
      </c>
      <c r="E306" s="57">
        <v>1440</v>
      </c>
      <c r="F306" s="71" t="s">
        <v>297</v>
      </c>
      <c r="G306" s="61">
        <v>0</v>
      </c>
      <c r="H306" s="70">
        <f t="shared" si="20"/>
        <v>0</v>
      </c>
      <c r="I306" s="11">
        <f t="shared" ca="1" si="18"/>
        <v>46119</v>
      </c>
      <c r="J306" s="11">
        <f t="shared" ca="1" si="19"/>
        <v>46118</v>
      </c>
      <c r="K306" s="13"/>
    </row>
    <row r="307" spans="1:11" ht="18" hidden="1" x14ac:dyDescent="0.4">
      <c r="A307" s="7" t="s">
        <v>0</v>
      </c>
      <c r="B307" s="81" t="s">
        <v>295</v>
      </c>
      <c r="C307" s="60">
        <v>51620</v>
      </c>
      <c r="D307" s="70">
        <v>552670850</v>
      </c>
      <c r="E307" s="57">
        <v>840</v>
      </c>
      <c r="F307" s="71" t="s">
        <v>298</v>
      </c>
      <c r="G307" s="61">
        <v>0</v>
      </c>
      <c r="H307" s="70">
        <f t="shared" si="20"/>
        <v>0</v>
      </c>
      <c r="I307" s="11">
        <f t="shared" ca="1" si="18"/>
        <v>46119</v>
      </c>
      <c r="J307" s="11">
        <f t="shared" ca="1" si="19"/>
        <v>46118</v>
      </c>
      <c r="K307" s="13"/>
    </row>
    <row r="308" spans="1:11" ht="18" hidden="1" x14ac:dyDescent="0.4">
      <c r="A308" s="7" t="s">
        <v>0</v>
      </c>
      <c r="B308" s="81" t="s">
        <v>295</v>
      </c>
      <c r="C308" s="60">
        <v>51620</v>
      </c>
      <c r="D308" s="70">
        <v>552527010</v>
      </c>
      <c r="E308" s="57">
        <v>840</v>
      </c>
      <c r="F308" s="71" t="s">
        <v>296</v>
      </c>
      <c r="G308" s="61">
        <v>0</v>
      </c>
      <c r="H308" s="70">
        <f t="shared" si="20"/>
        <v>0</v>
      </c>
      <c r="I308" s="11">
        <f t="shared" ca="1" si="18"/>
        <v>46119</v>
      </c>
      <c r="J308" s="11">
        <f t="shared" ca="1" si="19"/>
        <v>46118</v>
      </c>
      <c r="K308" s="13"/>
    </row>
    <row r="309" spans="1:11" ht="18" hidden="1" x14ac:dyDescent="0.4">
      <c r="A309" s="7" t="s">
        <v>0</v>
      </c>
      <c r="B309" s="81" t="s">
        <v>295</v>
      </c>
      <c r="C309" s="60">
        <v>51620</v>
      </c>
      <c r="D309" s="70">
        <v>552527050</v>
      </c>
      <c r="E309" s="57">
        <v>1456</v>
      </c>
      <c r="F309" s="71" t="s">
        <v>297</v>
      </c>
      <c r="G309" s="61">
        <v>0</v>
      </c>
      <c r="H309" s="70">
        <f t="shared" si="20"/>
        <v>0</v>
      </c>
      <c r="I309" s="11">
        <f t="shared" ca="1" si="18"/>
        <v>46119</v>
      </c>
      <c r="J309" s="11">
        <f t="shared" ca="1" si="19"/>
        <v>46118</v>
      </c>
      <c r="K309" s="8"/>
    </row>
    <row r="310" spans="1:11" ht="18" hidden="1" x14ac:dyDescent="0.4">
      <c r="A310" s="7" t="s">
        <v>0</v>
      </c>
      <c r="B310" s="81" t="s">
        <v>295</v>
      </c>
      <c r="C310" s="60">
        <v>51620</v>
      </c>
      <c r="D310" s="70">
        <v>552527090</v>
      </c>
      <c r="E310" s="57">
        <v>840</v>
      </c>
      <c r="F310" s="71" t="s">
        <v>298</v>
      </c>
      <c r="G310" s="61">
        <v>0</v>
      </c>
      <c r="H310" s="70">
        <f t="shared" si="20"/>
        <v>0</v>
      </c>
      <c r="I310" s="11">
        <f t="shared" ca="1" si="18"/>
        <v>46119</v>
      </c>
      <c r="J310" s="11">
        <f t="shared" ca="1" si="19"/>
        <v>46118</v>
      </c>
      <c r="K310" s="8"/>
    </row>
    <row r="311" spans="1:11" ht="18" hidden="1" x14ac:dyDescent="0.4">
      <c r="A311" s="7" t="s">
        <v>0</v>
      </c>
      <c r="B311" s="81" t="s">
        <v>295</v>
      </c>
      <c r="C311" s="60">
        <v>51620</v>
      </c>
      <c r="D311" s="70">
        <v>552718660</v>
      </c>
      <c r="E311" s="57">
        <v>840</v>
      </c>
      <c r="F311" s="71" t="s">
        <v>296</v>
      </c>
      <c r="G311" s="61">
        <v>0</v>
      </c>
      <c r="H311" s="70">
        <f t="shared" si="20"/>
        <v>0</v>
      </c>
      <c r="I311" s="11">
        <f t="shared" ca="1" si="18"/>
        <v>46119</v>
      </c>
      <c r="J311" s="11">
        <f t="shared" ca="1" si="19"/>
        <v>46118</v>
      </c>
      <c r="K311" s="13"/>
    </row>
    <row r="312" spans="1:11" ht="18" hidden="1" x14ac:dyDescent="0.4">
      <c r="A312" s="7" t="s">
        <v>0</v>
      </c>
      <c r="B312" s="81" t="s">
        <v>295</v>
      </c>
      <c r="C312" s="60">
        <v>51620</v>
      </c>
      <c r="D312" s="70">
        <v>552720150</v>
      </c>
      <c r="E312" s="57">
        <v>1440</v>
      </c>
      <c r="F312" s="71" t="s">
        <v>297</v>
      </c>
      <c r="G312" s="61">
        <v>0</v>
      </c>
      <c r="H312" s="70">
        <f t="shared" si="20"/>
        <v>0</v>
      </c>
      <c r="I312" s="11">
        <f t="shared" ca="1" si="18"/>
        <v>46119</v>
      </c>
      <c r="J312" s="11">
        <f t="shared" ca="1" si="19"/>
        <v>46118</v>
      </c>
      <c r="K312" s="8"/>
    </row>
    <row r="313" spans="1:11" ht="18" hidden="1" x14ac:dyDescent="0.4">
      <c r="A313" s="7" t="s">
        <v>0</v>
      </c>
      <c r="B313" s="81" t="s">
        <v>295</v>
      </c>
      <c r="C313" s="60">
        <v>51620</v>
      </c>
      <c r="D313" s="70">
        <v>552720240</v>
      </c>
      <c r="E313" s="57">
        <v>840</v>
      </c>
      <c r="F313" s="71" t="s">
        <v>298</v>
      </c>
      <c r="G313" s="61">
        <v>0</v>
      </c>
      <c r="H313" s="70">
        <f t="shared" si="20"/>
        <v>0</v>
      </c>
      <c r="I313" s="11">
        <f t="shared" ca="1" si="18"/>
        <v>46119</v>
      </c>
      <c r="J313" s="11">
        <f t="shared" ca="1" si="19"/>
        <v>46118</v>
      </c>
      <c r="K313" s="13"/>
    </row>
    <row r="314" spans="1:11" ht="18" hidden="1" x14ac:dyDescent="0.4">
      <c r="A314" s="7" t="s">
        <v>0</v>
      </c>
      <c r="B314" s="81" t="s">
        <v>295</v>
      </c>
      <c r="C314" s="60">
        <v>51620</v>
      </c>
      <c r="D314" s="70">
        <v>552527390</v>
      </c>
      <c r="E314" s="57">
        <v>840</v>
      </c>
      <c r="F314" s="71" t="s">
        <v>296</v>
      </c>
      <c r="G314" s="61">
        <v>0</v>
      </c>
      <c r="H314" s="70">
        <f t="shared" si="20"/>
        <v>0</v>
      </c>
      <c r="I314" s="11">
        <f t="shared" ca="1" si="18"/>
        <v>46119</v>
      </c>
      <c r="J314" s="11">
        <f t="shared" ca="1" si="19"/>
        <v>46118</v>
      </c>
      <c r="K314" s="13"/>
    </row>
    <row r="315" spans="1:11" ht="18" hidden="1" x14ac:dyDescent="0.4">
      <c r="A315" s="7" t="s">
        <v>0</v>
      </c>
      <c r="B315" s="81" t="s">
        <v>295</v>
      </c>
      <c r="C315" s="60">
        <v>51620</v>
      </c>
      <c r="D315" s="70">
        <v>552527680</v>
      </c>
      <c r="E315" s="57">
        <v>1440</v>
      </c>
      <c r="F315" s="71" t="s">
        <v>297</v>
      </c>
      <c r="G315" s="61">
        <v>0</v>
      </c>
      <c r="H315" s="70">
        <f t="shared" si="20"/>
        <v>0</v>
      </c>
      <c r="I315" s="11">
        <f t="shared" ca="1" si="18"/>
        <v>46119</v>
      </c>
      <c r="J315" s="11">
        <f t="shared" ca="1" si="19"/>
        <v>46118</v>
      </c>
      <c r="K315" s="8"/>
    </row>
    <row r="316" spans="1:11" ht="18" hidden="1" x14ac:dyDescent="0.4">
      <c r="A316" s="7" t="s">
        <v>0</v>
      </c>
      <c r="B316" s="81" t="s">
        <v>295</v>
      </c>
      <c r="C316" s="60">
        <v>51620</v>
      </c>
      <c r="D316" s="70">
        <v>552527760</v>
      </c>
      <c r="E316" s="57">
        <v>840</v>
      </c>
      <c r="F316" s="71" t="s">
        <v>298</v>
      </c>
      <c r="G316" s="61">
        <v>0</v>
      </c>
      <c r="H316" s="70">
        <f t="shared" si="20"/>
        <v>0</v>
      </c>
      <c r="I316" s="11">
        <f t="shared" ref="I316:I379" ca="1" si="21">I315</f>
        <v>46119</v>
      </c>
      <c r="J316" s="11">
        <f t="shared" ca="1" si="19"/>
        <v>46118</v>
      </c>
      <c r="K316" s="13"/>
    </row>
    <row r="317" spans="1:11" ht="18" hidden="1" x14ac:dyDescent="0.4">
      <c r="A317" s="7" t="s">
        <v>0</v>
      </c>
      <c r="B317" s="81" t="s">
        <v>299</v>
      </c>
      <c r="C317" s="60">
        <v>51658</v>
      </c>
      <c r="D317" s="70">
        <v>552804260</v>
      </c>
      <c r="E317" s="57">
        <v>2000</v>
      </c>
      <c r="F317" s="71" t="s">
        <v>300</v>
      </c>
      <c r="G317" s="61">
        <v>0</v>
      </c>
      <c r="H317" s="70">
        <f t="shared" si="20"/>
        <v>0</v>
      </c>
      <c r="I317" s="11">
        <f t="shared" ca="1" si="21"/>
        <v>46119</v>
      </c>
      <c r="J317" s="11">
        <f t="shared" ca="1" si="19"/>
        <v>46118</v>
      </c>
      <c r="K317" s="13"/>
    </row>
    <row r="318" spans="1:11" ht="18" hidden="1" x14ac:dyDescent="0.4">
      <c r="A318" s="7" t="s">
        <v>0</v>
      </c>
      <c r="B318" s="81" t="s">
        <v>299</v>
      </c>
      <c r="C318" s="60">
        <v>51658</v>
      </c>
      <c r="D318" s="70">
        <v>552804270</v>
      </c>
      <c r="E318" s="57">
        <v>15000</v>
      </c>
      <c r="F318" s="71" t="s">
        <v>301</v>
      </c>
      <c r="G318" s="61">
        <v>0</v>
      </c>
      <c r="H318" s="70">
        <f t="shared" si="20"/>
        <v>0</v>
      </c>
      <c r="I318" s="11">
        <f t="shared" ca="1" si="21"/>
        <v>46119</v>
      </c>
      <c r="J318" s="11">
        <f t="shared" ca="1" si="19"/>
        <v>46118</v>
      </c>
      <c r="K318" s="13"/>
    </row>
    <row r="319" spans="1:11" ht="18" hidden="1" x14ac:dyDescent="0.4">
      <c r="A319" s="7" t="s">
        <v>0</v>
      </c>
      <c r="B319" s="81" t="s">
        <v>299</v>
      </c>
      <c r="C319" s="60">
        <v>51658</v>
      </c>
      <c r="D319" s="70">
        <v>552804280</v>
      </c>
      <c r="E319" s="57">
        <v>2000</v>
      </c>
      <c r="F319" s="71" t="s">
        <v>302</v>
      </c>
      <c r="G319" s="61">
        <v>0</v>
      </c>
      <c r="H319" s="70">
        <f t="shared" si="20"/>
        <v>0</v>
      </c>
      <c r="I319" s="11">
        <f t="shared" ca="1" si="21"/>
        <v>46119</v>
      </c>
      <c r="J319" s="11">
        <f t="shared" ca="1" si="19"/>
        <v>46118</v>
      </c>
      <c r="K319" s="13"/>
    </row>
    <row r="320" spans="1:11" ht="18" hidden="1" x14ac:dyDescent="0.4">
      <c r="A320" s="7" t="s">
        <v>0</v>
      </c>
      <c r="B320" s="81" t="s">
        <v>299</v>
      </c>
      <c r="C320" s="60">
        <v>51658</v>
      </c>
      <c r="D320" s="70">
        <v>552804320</v>
      </c>
      <c r="E320" s="57">
        <v>840</v>
      </c>
      <c r="F320" s="71" t="s">
        <v>303</v>
      </c>
      <c r="G320" s="61">
        <v>0</v>
      </c>
      <c r="H320" s="70">
        <f t="shared" si="20"/>
        <v>0</v>
      </c>
      <c r="I320" s="11">
        <f t="shared" ca="1" si="21"/>
        <v>46119</v>
      </c>
      <c r="J320" s="11">
        <f t="shared" ca="1" si="19"/>
        <v>46118</v>
      </c>
      <c r="K320" s="13"/>
    </row>
    <row r="321" spans="1:11" ht="18" hidden="1" x14ac:dyDescent="0.4">
      <c r="A321" s="7" t="s">
        <v>0</v>
      </c>
      <c r="B321" s="81" t="s">
        <v>299</v>
      </c>
      <c r="C321" s="60">
        <v>51658</v>
      </c>
      <c r="D321" s="70">
        <v>552804330</v>
      </c>
      <c r="E321" s="57">
        <v>2400</v>
      </c>
      <c r="F321" s="71" t="s">
        <v>304</v>
      </c>
      <c r="G321" s="61">
        <v>0</v>
      </c>
      <c r="H321" s="70">
        <f t="shared" si="20"/>
        <v>0</v>
      </c>
      <c r="I321" s="11">
        <f t="shared" ca="1" si="21"/>
        <v>46119</v>
      </c>
      <c r="J321" s="11">
        <f t="shared" ca="1" si="19"/>
        <v>46118</v>
      </c>
      <c r="K321" s="13"/>
    </row>
    <row r="322" spans="1:11" ht="18" hidden="1" x14ac:dyDescent="0.4">
      <c r="A322" s="7" t="s">
        <v>0</v>
      </c>
      <c r="B322" s="81" t="s">
        <v>299</v>
      </c>
      <c r="C322" s="60">
        <v>51658</v>
      </c>
      <c r="D322" s="70">
        <v>552804340</v>
      </c>
      <c r="E322" s="57">
        <v>960</v>
      </c>
      <c r="F322" s="71" t="s">
        <v>305</v>
      </c>
      <c r="G322" s="61">
        <v>0</v>
      </c>
      <c r="H322" s="70">
        <f t="shared" si="20"/>
        <v>0</v>
      </c>
      <c r="I322" s="11">
        <f t="shared" ca="1" si="21"/>
        <v>46119</v>
      </c>
      <c r="J322" s="11">
        <f t="shared" ca="1" si="19"/>
        <v>46118</v>
      </c>
      <c r="K322" s="13"/>
    </row>
    <row r="323" spans="1:11" ht="18" hidden="1" x14ac:dyDescent="0.4">
      <c r="A323" s="7" t="s">
        <v>0</v>
      </c>
      <c r="B323" s="81" t="s">
        <v>299</v>
      </c>
      <c r="C323" s="60">
        <v>51658</v>
      </c>
      <c r="D323" s="70">
        <v>552105070</v>
      </c>
      <c r="E323" s="57">
        <v>1488</v>
      </c>
      <c r="F323" s="71" t="s">
        <v>306</v>
      </c>
      <c r="G323" s="61">
        <v>0</v>
      </c>
      <c r="H323" s="70">
        <f t="shared" si="20"/>
        <v>0</v>
      </c>
      <c r="I323" s="11">
        <f t="shared" ca="1" si="21"/>
        <v>46119</v>
      </c>
      <c r="J323" s="11">
        <f t="shared" ca="1" si="19"/>
        <v>46118</v>
      </c>
      <c r="K323" s="13"/>
    </row>
    <row r="324" spans="1:11" ht="18" hidden="1" x14ac:dyDescent="0.4">
      <c r="A324" s="7" t="s">
        <v>0</v>
      </c>
      <c r="B324" s="81" t="s">
        <v>299</v>
      </c>
      <c r="C324" s="60">
        <v>51658</v>
      </c>
      <c r="D324" s="70">
        <v>552105090</v>
      </c>
      <c r="E324" s="57">
        <v>14880</v>
      </c>
      <c r="F324" s="71" t="s">
        <v>307</v>
      </c>
      <c r="G324" s="61">
        <v>0</v>
      </c>
      <c r="H324" s="70">
        <f t="shared" si="20"/>
        <v>0</v>
      </c>
      <c r="I324" s="11">
        <f t="shared" ca="1" si="21"/>
        <v>46119</v>
      </c>
      <c r="J324" s="11">
        <f t="shared" ca="1" si="19"/>
        <v>46118</v>
      </c>
      <c r="K324" s="13"/>
    </row>
    <row r="325" spans="1:11" ht="18" hidden="1" x14ac:dyDescent="0.4">
      <c r="A325" s="7" t="s">
        <v>0</v>
      </c>
      <c r="B325" s="81" t="s">
        <v>299</v>
      </c>
      <c r="C325" s="60">
        <v>51658</v>
      </c>
      <c r="D325" s="70">
        <v>552105110</v>
      </c>
      <c r="E325" s="57">
        <v>1488</v>
      </c>
      <c r="F325" s="71" t="s">
        <v>308</v>
      </c>
      <c r="G325" s="61">
        <v>0</v>
      </c>
      <c r="H325" s="70">
        <f t="shared" si="20"/>
        <v>0</v>
      </c>
      <c r="I325" s="11">
        <f t="shared" ca="1" si="21"/>
        <v>46119</v>
      </c>
      <c r="J325" s="11">
        <f t="shared" ca="1" si="19"/>
        <v>46118</v>
      </c>
      <c r="K325" s="13"/>
    </row>
    <row r="326" spans="1:11" ht="18" hidden="1" x14ac:dyDescent="0.4">
      <c r="A326" s="7" t="s">
        <v>0</v>
      </c>
      <c r="B326" s="81" t="s">
        <v>299</v>
      </c>
      <c r="C326" s="60">
        <v>51658</v>
      </c>
      <c r="D326" s="70">
        <v>552107380</v>
      </c>
      <c r="E326" s="57">
        <v>1536</v>
      </c>
      <c r="F326" s="71" t="s">
        <v>306</v>
      </c>
      <c r="G326" s="61">
        <v>0</v>
      </c>
      <c r="H326" s="70">
        <f t="shared" si="20"/>
        <v>0</v>
      </c>
      <c r="I326" s="11">
        <f t="shared" ca="1" si="21"/>
        <v>46119</v>
      </c>
      <c r="J326" s="11">
        <f t="shared" ca="1" si="19"/>
        <v>46118</v>
      </c>
      <c r="K326" s="13"/>
    </row>
    <row r="327" spans="1:11" ht="18" hidden="1" x14ac:dyDescent="0.4">
      <c r="A327" s="7" t="s">
        <v>0</v>
      </c>
      <c r="B327" s="81" t="s">
        <v>299</v>
      </c>
      <c r="C327" s="60">
        <v>51658</v>
      </c>
      <c r="D327" s="70">
        <v>552107390</v>
      </c>
      <c r="E327" s="57">
        <v>15360</v>
      </c>
      <c r="F327" s="71" t="s">
        <v>307</v>
      </c>
      <c r="G327" s="61">
        <v>0</v>
      </c>
      <c r="H327" s="70">
        <f t="shared" si="20"/>
        <v>0</v>
      </c>
      <c r="I327" s="11">
        <f t="shared" ca="1" si="21"/>
        <v>46119</v>
      </c>
      <c r="J327" s="11">
        <f t="shared" ca="1" si="19"/>
        <v>46118</v>
      </c>
      <c r="K327" s="13"/>
    </row>
    <row r="328" spans="1:11" ht="18" hidden="1" x14ac:dyDescent="0.4">
      <c r="A328" s="7" t="s">
        <v>0</v>
      </c>
      <c r="B328" s="81" t="s">
        <v>299</v>
      </c>
      <c r="C328" s="60">
        <v>51658</v>
      </c>
      <c r="D328" s="70">
        <v>552107400</v>
      </c>
      <c r="E328" s="57">
        <v>1536</v>
      </c>
      <c r="F328" s="71" t="s">
        <v>308</v>
      </c>
      <c r="G328" s="61">
        <v>0</v>
      </c>
      <c r="H328" s="70">
        <f t="shared" si="20"/>
        <v>0</v>
      </c>
      <c r="I328" s="11">
        <f t="shared" ca="1" si="21"/>
        <v>46119</v>
      </c>
      <c r="J328" s="11">
        <f t="shared" ca="1" si="19"/>
        <v>46118</v>
      </c>
      <c r="K328" s="13"/>
    </row>
    <row r="329" spans="1:11" ht="18" hidden="1" x14ac:dyDescent="0.4">
      <c r="A329" s="7" t="s">
        <v>0</v>
      </c>
      <c r="B329" s="81" t="s">
        <v>309</v>
      </c>
      <c r="C329" s="60">
        <v>21570</v>
      </c>
      <c r="D329" s="70">
        <v>463363330</v>
      </c>
      <c r="E329" s="57">
        <v>28000</v>
      </c>
      <c r="F329" s="71" t="s">
        <v>310</v>
      </c>
      <c r="G329" s="61">
        <v>0</v>
      </c>
      <c r="H329" s="70">
        <f t="shared" ref="H329:H373" si="22">+G329/E329</f>
        <v>0</v>
      </c>
      <c r="I329" s="11">
        <f t="shared" ca="1" si="21"/>
        <v>46119</v>
      </c>
      <c r="J329" s="11">
        <f t="shared" ca="1" si="19"/>
        <v>46118</v>
      </c>
      <c r="K329" s="13"/>
    </row>
    <row r="330" spans="1:11" ht="18" hidden="1" x14ac:dyDescent="0.4">
      <c r="A330" s="7" t="s">
        <v>0</v>
      </c>
      <c r="B330" s="81" t="s">
        <v>311</v>
      </c>
      <c r="C330" s="60">
        <v>40840</v>
      </c>
      <c r="D330" s="70">
        <v>187521210</v>
      </c>
      <c r="E330" s="57">
        <v>900</v>
      </c>
      <c r="F330" s="71" t="s">
        <v>312</v>
      </c>
      <c r="G330" s="61">
        <v>0</v>
      </c>
      <c r="H330" s="70">
        <f t="shared" si="22"/>
        <v>0</v>
      </c>
      <c r="I330" s="11">
        <f t="shared" ca="1" si="21"/>
        <v>46119</v>
      </c>
      <c r="J330" s="11">
        <f t="shared" ca="1" si="19"/>
        <v>46118</v>
      </c>
      <c r="K330" s="13"/>
    </row>
    <row r="331" spans="1:11" ht="18" hidden="1" x14ac:dyDescent="0.4">
      <c r="A331" s="7" t="s">
        <v>0</v>
      </c>
      <c r="B331" s="81" t="s">
        <v>311</v>
      </c>
      <c r="C331" s="60">
        <v>40840</v>
      </c>
      <c r="D331" s="70">
        <v>162891240</v>
      </c>
      <c r="E331" s="57">
        <v>100</v>
      </c>
      <c r="F331" s="71" t="s">
        <v>313</v>
      </c>
      <c r="G331" s="61">
        <v>0</v>
      </c>
      <c r="H331" s="70">
        <f t="shared" si="22"/>
        <v>0</v>
      </c>
      <c r="I331" s="11">
        <f t="shared" ca="1" si="21"/>
        <v>46119</v>
      </c>
      <c r="J331" s="11">
        <f t="shared" ca="1" si="19"/>
        <v>46118</v>
      </c>
      <c r="K331" s="13"/>
    </row>
    <row r="332" spans="1:11" ht="18" hidden="1" x14ac:dyDescent="0.4">
      <c r="A332" s="7" t="s">
        <v>0</v>
      </c>
      <c r="B332" s="81" t="s">
        <v>311</v>
      </c>
      <c r="C332" s="60">
        <v>40840</v>
      </c>
      <c r="D332" s="70">
        <v>463447260</v>
      </c>
      <c r="E332" s="57">
        <v>100</v>
      </c>
      <c r="F332" s="71" t="s">
        <v>313</v>
      </c>
      <c r="G332" s="61">
        <v>0</v>
      </c>
      <c r="H332" s="70">
        <f t="shared" si="22"/>
        <v>0</v>
      </c>
      <c r="I332" s="11">
        <f t="shared" ca="1" si="21"/>
        <v>46119</v>
      </c>
      <c r="J332" s="11">
        <f t="shared" ca="1" si="19"/>
        <v>46118</v>
      </c>
      <c r="K332" s="13"/>
    </row>
    <row r="333" spans="1:11" ht="18" hidden="1" x14ac:dyDescent="0.4">
      <c r="A333" s="7" t="s">
        <v>0</v>
      </c>
      <c r="B333" s="81" t="s">
        <v>311</v>
      </c>
      <c r="C333" s="60">
        <v>40840</v>
      </c>
      <c r="D333" s="70">
        <v>551877380</v>
      </c>
      <c r="E333" s="57">
        <v>150</v>
      </c>
      <c r="F333" s="71" t="s">
        <v>314</v>
      </c>
      <c r="G333" s="61">
        <v>0</v>
      </c>
      <c r="H333" s="70">
        <f t="shared" si="22"/>
        <v>0</v>
      </c>
      <c r="I333" s="11">
        <f t="shared" ca="1" si="21"/>
        <v>46119</v>
      </c>
      <c r="J333" s="11">
        <f t="shared" ca="1" si="19"/>
        <v>46118</v>
      </c>
      <c r="K333" s="13"/>
    </row>
    <row r="334" spans="1:11" ht="18" hidden="1" x14ac:dyDescent="0.4">
      <c r="A334" s="7" t="s">
        <v>0</v>
      </c>
      <c r="B334" s="81" t="s">
        <v>311</v>
      </c>
      <c r="C334" s="60">
        <v>40840</v>
      </c>
      <c r="D334" s="70">
        <v>552650820</v>
      </c>
      <c r="E334" s="57">
        <v>300</v>
      </c>
      <c r="F334" s="71" t="s">
        <v>315</v>
      </c>
      <c r="G334" s="61">
        <v>0</v>
      </c>
      <c r="H334" s="70">
        <f t="shared" si="22"/>
        <v>0</v>
      </c>
      <c r="I334" s="11">
        <f t="shared" ca="1" si="21"/>
        <v>46119</v>
      </c>
      <c r="J334" s="11">
        <f t="shared" ca="1" si="19"/>
        <v>46118</v>
      </c>
      <c r="K334" s="13"/>
    </row>
    <row r="335" spans="1:11" ht="18" hidden="1" x14ac:dyDescent="0.4">
      <c r="A335" s="7" t="s">
        <v>0</v>
      </c>
      <c r="B335" s="81" t="s">
        <v>316</v>
      </c>
      <c r="C335" s="57">
        <v>30467</v>
      </c>
      <c r="D335" s="70">
        <v>140593110</v>
      </c>
      <c r="E335" s="57">
        <v>1200</v>
      </c>
      <c r="F335" s="71" t="s">
        <v>317</v>
      </c>
      <c r="G335" s="61">
        <v>0</v>
      </c>
      <c r="H335" s="70">
        <f t="shared" si="22"/>
        <v>0</v>
      </c>
      <c r="I335" s="11">
        <f t="shared" ca="1" si="21"/>
        <v>46119</v>
      </c>
      <c r="J335" s="11">
        <f t="shared" ca="1" si="19"/>
        <v>46118</v>
      </c>
      <c r="K335" s="13"/>
    </row>
    <row r="336" spans="1:11" ht="18" hidden="1" x14ac:dyDescent="0.4">
      <c r="A336" s="7" t="s">
        <v>0</v>
      </c>
      <c r="B336" s="81" t="s">
        <v>316</v>
      </c>
      <c r="C336" s="57">
        <v>30467</v>
      </c>
      <c r="D336" s="70">
        <v>140594210</v>
      </c>
      <c r="E336" s="57">
        <v>800</v>
      </c>
      <c r="F336" s="71" t="s">
        <v>318</v>
      </c>
      <c r="G336" s="61">
        <v>0</v>
      </c>
      <c r="H336" s="70">
        <f t="shared" si="22"/>
        <v>0</v>
      </c>
      <c r="I336" s="11">
        <f t="shared" ca="1" si="21"/>
        <v>46119</v>
      </c>
      <c r="J336" s="11">
        <f t="shared" ca="1" si="19"/>
        <v>46118</v>
      </c>
      <c r="K336" s="13"/>
    </row>
    <row r="337" spans="1:11" ht="18" hidden="1" x14ac:dyDescent="0.4">
      <c r="A337" s="7" t="s">
        <v>0</v>
      </c>
      <c r="B337" s="81" t="s">
        <v>316</v>
      </c>
      <c r="C337" s="57">
        <v>30467</v>
      </c>
      <c r="D337" s="70">
        <v>517309140</v>
      </c>
      <c r="E337" s="57">
        <v>2500</v>
      </c>
      <c r="F337" s="71" t="s">
        <v>319</v>
      </c>
      <c r="G337" s="61">
        <v>0</v>
      </c>
      <c r="H337" s="70">
        <f t="shared" si="22"/>
        <v>0</v>
      </c>
      <c r="I337" s="11">
        <f t="shared" ca="1" si="21"/>
        <v>46119</v>
      </c>
      <c r="J337" s="11">
        <f t="shared" ca="1" si="19"/>
        <v>46118</v>
      </c>
      <c r="K337" s="13"/>
    </row>
    <row r="338" spans="1:11" ht="18" hidden="1" x14ac:dyDescent="0.4">
      <c r="A338" s="7" t="s">
        <v>0</v>
      </c>
      <c r="B338" s="60" t="s">
        <v>320</v>
      </c>
      <c r="C338" s="57">
        <v>19414</v>
      </c>
      <c r="D338" s="70">
        <v>77463090</v>
      </c>
      <c r="E338" s="57">
        <v>430</v>
      </c>
      <c r="F338" s="71" t="s">
        <v>321</v>
      </c>
      <c r="G338" s="61">
        <v>0</v>
      </c>
      <c r="H338" s="70">
        <f t="shared" si="22"/>
        <v>0</v>
      </c>
      <c r="I338" s="11">
        <f t="shared" ca="1" si="21"/>
        <v>46119</v>
      </c>
      <c r="J338" s="11">
        <f t="shared" ca="1" si="19"/>
        <v>46118</v>
      </c>
      <c r="K338" s="13"/>
    </row>
    <row r="339" spans="1:11" ht="18" hidden="1" x14ac:dyDescent="0.4">
      <c r="A339" s="7" t="s">
        <v>0</v>
      </c>
      <c r="B339" s="81" t="s">
        <v>320</v>
      </c>
      <c r="C339" s="57">
        <v>19414</v>
      </c>
      <c r="D339" s="70">
        <v>115864240</v>
      </c>
      <c r="E339" s="57">
        <v>300</v>
      </c>
      <c r="F339" s="71" t="s">
        <v>322</v>
      </c>
      <c r="G339" s="61">
        <v>0</v>
      </c>
      <c r="H339" s="70">
        <f t="shared" si="22"/>
        <v>0</v>
      </c>
      <c r="I339" s="11">
        <f t="shared" ca="1" si="21"/>
        <v>46119</v>
      </c>
      <c r="J339" s="11">
        <f t="shared" ca="1" si="19"/>
        <v>46118</v>
      </c>
      <c r="K339" s="13"/>
    </row>
    <row r="340" spans="1:11" ht="18" hidden="1" x14ac:dyDescent="0.4">
      <c r="A340" s="7" t="s">
        <v>0</v>
      </c>
      <c r="B340" s="81" t="s">
        <v>320</v>
      </c>
      <c r="C340" s="57">
        <v>19414</v>
      </c>
      <c r="D340" s="70">
        <v>143083240</v>
      </c>
      <c r="E340" s="57">
        <v>260</v>
      </c>
      <c r="F340" s="71" t="s">
        <v>323</v>
      </c>
      <c r="G340" s="61">
        <v>0</v>
      </c>
      <c r="H340" s="70">
        <f t="shared" si="22"/>
        <v>0</v>
      </c>
      <c r="I340" s="11">
        <f t="shared" ca="1" si="21"/>
        <v>46119</v>
      </c>
      <c r="J340" s="11">
        <f t="shared" ca="1" si="19"/>
        <v>46118</v>
      </c>
      <c r="K340" s="13"/>
    </row>
    <row r="341" spans="1:11" ht="18" hidden="1" x14ac:dyDescent="0.4">
      <c r="A341" s="7" t="s">
        <v>0</v>
      </c>
      <c r="B341" s="81" t="s">
        <v>320</v>
      </c>
      <c r="C341" s="57">
        <v>19414</v>
      </c>
      <c r="D341" s="70">
        <v>143085240</v>
      </c>
      <c r="E341" s="57">
        <v>210</v>
      </c>
      <c r="F341" s="71" t="s">
        <v>324</v>
      </c>
      <c r="G341" s="61">
        <v>0</v>
      </c>
      <c r="H341" s="70">
        <f t="shared" si="22"/>
        <v>0</v>
      </c>
      <c r="I341" s="11">
        <f t="shared" ca="1" si="21"/>
        <v>46119</v>
      </c>
      <c r="J341" s="11">
        <f t="shared" ca="1" si="19"/>
        <v>46118</v>
      </c>
      <c r="K341" s="13"/>
    </row>
    <row r="342" spans="1:11" ht="18" hidden="1" x14ac:dyDescent="0.4">
      <c r="A342" s="7" t="s">
        <v>0</v>
      </c>
      <c r="B342" s="81" t="s">
        <v>320</v>
      </c>
      <c r="C342" s="57">
        <v>19414</v>
      </c>
      <c r="D342" s="70">
        <v>116127240</v>
      </c>
      <c r="E342" s="57">
        <v>2000</v>
      </c>
      <c r="F342" s="71" t="s">
        <v>325</v>
      </c>
      <c r="G342" s="61">
        <v>0</v>
      </c>
      <c r="H342" s="70">
        <f t="shared" si="22"/>
        <v>0</v>
      </c>
      <c r="I342" s="11">
        <f t="shared" ca="1" si="21"/>
        <v>46119</v>
      </c>
      <c r="J342" s="11">
        <f t="shared" ca="1" si="19"/>
        <v>46118</v>
      </c>
      <c r="K342" s="13"/>
    </row>
    <row r="343" spans="1:11" ht="18" hidden="1" x14ac:dyDescent="0.4">
      <c r="A343" s="7" t="s">
        <v>0</v>
      </c>
      <c r="B343" s="81" t="s">
        <v>320</v>
      </c>
      <c r="C343" s="57">
        <v>19414</v>
      </c>
      <c r="D343" s="70">
        <v>116131240</v>
      </c>
      <c r="E343" s="57">
        <v>1500</v>
      </c>
      <c r="F343" s="71" t="s">
        <v>326</v>
      </c>
      <c r="G343" s="61">
        <v>0</v>
      </c>
      <c r="H343" s="70">
        <f t="shared" si="22"/>
        <v>0</v>
      </c>
      <c r="I343" s="11">
        <f t="shared" ca="1" si="21"/>
        <v>46119</v>
      </c>
      <c r="J343" s="11">
        <f t="shared" ca="1" si="19"/>
        <v>46118</v>
      </c>
      <c r="K343" s="13"/>
    </row>
    <row r="344" spans="1:11" ht="18" hidden="1" x14ac:dyDescent="0.4">
      <c r="A344" s="7" t="s">
        <v>0</v>
      </c>
      <c r="B344" s="81" t="s">
        <v>320</v>
      </c>
      <c r="C344" s="57">
        <v>19414</v>
      </c>
      <c r="D344" s="70">
        <v>117340240</v>
      </c>
      <c r="E344" s="57">
        <v>300</v>
      </c>
      <c r="F344" s="71" t="s">
        <v>327</v>
      </c>
      <c r="G344" s="61">
        <v>0</v>
      </c>
      <c r="H344" s="70">
        <f t="shared" si="22"/>
        <v>0</v>
      </c>
      <c r="I344" s="11">
        <f t="shared" ca="1" si="21"/>
        <v>46119</v>
      </c>
      <c r="J344" s="11">
        <f t="shared" ca="1" si="19"/>
        <v>46118</v>
      </c>
      <c r="K344" s="13"/>
    </row>
    <row r="345" spans="1:11" ht="18" hidden="1" x14ac:dyDescent="0.4">
      <c r="A345" s="7" t="s">
        <v>0</v>
      </c>
      <c r="B345" s="81" t="s">
        <v>320</v>
      </c>
      <c r="C345" s="57">
        <v>19414</v>
      </c>
      <c r="D345" s="70">
        <v>160433240</v>
      </c>
      <c r="E345" s="57">
        <v>1000</v>
      </c>
      <c r="F345" s="71" t="s">
        <v>328</v>
      </c>
      <c r="G345" s="61">
        <v>0</v>
      </c>
      <c r="H345" s="70">
        <f t="shared" si="22"/>
        <v>0</v>
      </c>
      <c r="I345" s="11">
        <f t="shared" ca="1" si="21"/>
        <v>46119</v>
      </c>
      <c r="J345" s="11">
        <f t="shared" ca="1" si="19"/>
        <v>46118</v>
      </c>
      <c r="K345" s="13"/>
    </row>
    <row r="346" spans="1:11" ht="18" hidden="1" x14ac:dyDescent="0.4">
      <c r="A346" s="7" t="s">
        <v>0</v>
      </c>
      <c r="B346" s="81" t="s">
        <v>320</v>
      </c>
      <c r="C346" s="57">
        <v>19414</v>
      </c>
      <c r="D346" s="70">
        <v>162874240</v>
      </c>
      <c r="E346" s="57">
        <v>500</v>
      </c>
      <c r="F346" s="71" t="s">
        <v>329</v>
      </c>
      <c r="G346" s="61">
        <v>0</v>
      </c>
      <c r="H346" s="70">
        <f t="shared" si="22"/>
        <v>0</v>
      </c>
      <c r="I346" s="11">
        <f t="shared" ca="1" si="21"/>
        <v>46119</v>
      </c>
      <c r="J346" s="11">
        <f t="shared" ca="1" si="19"/>
        <v>46118</v>
      </c>
      <c r="K346" s="13"/>
    </row>
    <row r="347" spans="1:11" ht="18" hidden="1" x14ac:dyDescent="0.4">
      <c r="A347" s="7" t="s">
        <v>0</v>
      </c>
      <c r="B347" s="81" t="s">
        <v>320</v>
      </c>
      <c r="C347" s="57">
        <v>19414</v>
      </c>
      <c r="D347" s="70">
        <v>162883240</v>
      </c>
      <c r="E347" s="57">
        <v>500</v>
      </c>
      <c r="F347" s="71" t="s">
        <v>330</v>
      </c>
      <c r="G347" s="61">
        <v>0</v>
      </c>
      <c r="H347" s="70">
        <f t="shared" si="22"/>
        <v>0</v>
      </c>
      <c r="I347" s="11">
        <f t="shared" ca="1" si="21"/>
        <v>46119</v>
      </c>
      <c r="J347" s="11">
        <f t="shared" ca="1" si="19"/>
        <v>46118</v>
      </c>
      <c r="K347" s="13"/>
    </row>
    <row r="348" spans="1:11" ht="18" hidden="1" x14ac:dyDescent="0.4">
      <c r="A348" s="7" t="s">
        <v>0</v>
      </c>
      <c r="B348" s="81" t="s">
        <v>320</v>
      </c>
      <c r="C348" s="57">
        <v>19414</v>
      </c>
      <c r="D348" s="70">
        <v>187517240</v>
      </c>
      <c r="E348" s="57">
        <v>1200</v>
      </c>
      <c r="F348" s="71" t="s">
        <v>331</v>
      </c>
      <c r="G348" s="61">
        <v>0</v>
      </c>
      <c r="H348" s="70">
        <f t="shared" si="22"/>
        <v>0</v>
      </c>
      <c r="I348" s="11">
        <f t="shared" ca="1" si="21"/>
        <v>46119</v>
      </c>
      <c r="J348" s="11">
        <f t="shared" ca="1" si="19"/>
        <v>46118</v>
      </c>
      <c r="K348" s="13"/>
    </row>
    <row r="349" spans="1:11" ht="18" hidden="1" x14ac:dyDescent="0.4">
      <c r="A349" s="7" t="s">
        <v>0</v>
      </c>
      <c r="B349" s="81" t="s">
        <v>320</v>
      </c>
      <c r="C349" s="57">
        <v>19414</v>
      </c>
      <c r="D349" s="70">
        <v>465484560</v>
      </c>
      <c r="E349" s="57">
        <v>700</v>
      </c>
      <c r="F349" s="71" t="s">
        <v>185</v>
      </c>
      <c r="G349" s="61">
        <v>0</v>
      </c>
      <c r="H349" s="70">
        <f t="shared" si="22"/>
        <v>0</v>
      </c>
      <c r="I349" s="11">
        <f t="shared" ca="1" si="21"/>
        <v>46119</v>
      </c>
      <c r="J349" s="11">
        <f t="shared" ca="1" si="19"/>
        <v>46118</v>
      </c>
      <c r="K349" s="13"/>
    </row>
    <row r="350" spans="1:11" ht="18" hidden="1" x14ac:dyDescent="0.4">
      <c r="A350" s="7" t="s">
        <v>0</v>
      </c>
      <c r="B350" s="81" t="s">
        <v>320</v>
      </c>
      <c r="C350" s="57">
        <v>19414</v>
      </c>
      <c r="D350" s="70">
        <v>465484570</v>
      </c>
      <c r="E350" s="57">
        <v>400</v>
      </c>
      <c r="F350" s="71" t="s">
        <v>185</v>
      </c>
      <c r="G350" s="61">
        <v>0</v>
      </c>
      <c r="H350" s="70">
        <f t="shared" si="22"/>
        <v>0</v>
      </c>
      <c r="I350" s="11">
        <f t="shared" ca="1" si="21"/>
        <v>46119</v>
      </c>
      <c r="J350" s="11">
        <f t="shared" ca="1" si="19"/>
        <v>46118</v>
      </c>
      <c r="K350" s="13"/>
    </row>
    <row r="351" spans="1:11" ht="18" hidden="1" x14ac:dyDescent="0.4">
      <c r="A351" s="7" t="s">
        <v>0</v>
      </c>
      <c r="B351" s="81" t="s">
        <v>320</v>
      </c>
      <c r="C351" s="57">
        <v>19414</v>
      </c>
      <c r="D351" s="70">
        <v>552607160</v>
      </c>
      <c r="E351" s="57">
        <v>800</v>
      </c>
      <c r="F351" s="71" t="s">
        <v>332</v>
      </c>
      <c r="G351" s="61">
        <v>0</v>
      </c>
      <c r="H351" s="70">
        <f t="shared" si="22"/>
        <v>0</v>
      </c>
      <c r="I351" s="11">
        <f t="shared" ca="1" si="21"/>
        <v>46119</v>
      </c>
      <c r="J351" s="11">
        <f t="shared" ca="1" si="19"/>
        <v>46118</v>
      </c>
      <c r="K351" s="13"/>
    </row>
    <row r="352" spans="1:11" ht="18" hidden="1" x14ac:dyDescent="0.4">
      <c r="A352" s="7" t="s">
        <v>0</v>
      </c>
      <c r="B352" s="81" t="s">
        <v>320</v>
      </c>
      <c r="C352" s="57">
        <v>19414</v>
      </c>
      <c r="D352" s="70">
        <v>162860240</v>
      </c>
      <c r="E352" s="57">
        <v>1800</v>
      </c>
      <c r="F352" s="71" t="s">
        <v>315</v>
      </c>
      <c r="G352" s="61">
        <v>0</v>
      </c>
      <c r="H352" s="70">
        <f t="shared" si="22"/>
        <v>0</v>
      </c>
      <c r="I352" s="11">
        <f t="shared" ca="1" si="21"/>
        <v>46119</v>
      </c>
      <c r="J352" s="11">
        <f t="shared" ca="1" si="19"/>
        <v>46118</v>
      </c>
      <c r="K352" s="13"/>
    </row>
    <row r="353" spans="1:11" ht="18" hidden="1" x14ac:dyDescent="0.4">
      <c r="A353" s="7" t="s">
        <v>0</v>
      </c>
      <c r="B353" s="81" t="s">
        <v>320</v>
      </c>
      <c r="C353" s="57">
        <v>19414</v>
      </c>
      <c r="D353" s="70">
        <v>187505240</v>
      </c>
      <c r="E353" s="57">
        <v>1000</v>
      </c>
      <c r="F353" s="71" t="s">
        <v>333</v>
      </c>
      <c r="G353" s="61">
        <v>0</v>
      </c>
      <c r="H353" s="70">
        <f t="shared" si="22"/>
        <v>0</v>
      </c>
      <c r="I353" s="11">
        <f t="shared" ca="1" si="21"/>
        <v>46119</v>
      </c>
      <c r="J353" s="11">
        <f t="shared" ca="1" si="19"/>
        <v>46118</v>
      </c>
      <c r="K353" s="13"/>
    </row>
    <row r="354" spans="1:11" ht="18" hidden="1" x14ac:dyDescent="0.4">
      <c r="A354" s="7" t="s">
        <v>0</v>
      </c>
      <c r="B354" s="81" t="s">
        <v>320</v>
      </c>
      <c r="C354" s="57">
        <v>19414</v>
      </c>
      <c r="D354" s="70">
        <v>187524240</v>
      </c>
      <c r="E354" s="57">
        <v>800</v>
      </c>
      <c r="F354" s="71" t="s">
        <v>334</v>
      </c>
      <c r="G354" s="61">
        <v>0</v>
      </c>
      <c r="H354" s="70">
        <f t="shared" si="22"/>
        <v>0</v>
      </c>
      <c r="I354" s="11">
        <f t="shared" ca="1" si="21"/>
        <v>46119</v>
      </c>
      <c r="J354" s="11">
        <f t="shared" ca="1" si="19"/>
        <v>46118</v>
      </c>
      <c r="K354" s="13"/>
    </row>
    <row r="355" spans="1:11" ht="18" hidden="1" x14ac:dyDescent="0.4">
      <c r="A355" s="7" t="s">
        <v>0</v>
      </c>
      <c r="B355" s="81" t="s">
        <v>320</v>
      </c>
      <c r="C355" s="57">
        <v>19414</v>
      </c>
      <c r="D355" s="70">
        <v>551872090</v>
      </c>
      <c r="E355" s="57">
        <v>180</v>
      </c>
      <c r="F355" s="71" t="s">
        <v>335</v>
      </c>
      <c r="G355" s="61">
        <v>0</v>
      </c>
      <c r="H355" s="70">
        <f t="shared" si="22"/>
        <v>0</v>
      </c>
      <c r="I355" s="11">
        <f t="shared" ca="1" si="21"/>
        <v>46119</v>
      </c>
      <c r="J355" s="11">
        <f t="shared" ca="1" si="19"/>
        <v>46118</v>
      </c>
      <c r="K355" s="13"/>
    </row>
    <row r="356" spans="1:11" ht="18" hidden="1" x14ac:dyDescent="0.4">
      <c r="A356" s="7" t="s">
        <v>0</v>
      </c>
      <c r="B356" s="81" t="s">
        <v>320</v>
      </c>
      <c r="C356" s="57">
        <v>19414</v>
      </c>
      <c r="D356" s="70">
        <v>735012020</v>
      </c>
      <c r="E356" s="57">
        <v>220</v>
      </c>
      <c r="F356" s="71" t="s">
        <v>336</v>
      </c>
      <c r="G356" s="61">
        <v>0</v>
      </c>
      <c r="H356" s="70">
        <f t="shared" si="22"/>
        <v>0</v>
      </c>
      <c r="I356" s="11">
        <f t="shared" ca="1" si="21"/>
        <v>46119</v>
      </c>
      <c r="J356" s="11">
        <f t="shared" ca="1" si="19"/>
        <v>46118</v>
      </c>
      <c r="K356" s="13"/>
    </row>
    <row r="357" spans="1:11" ht="18" hidden="1" x14ac:dyDescent="0.4">
      <c r="A357" s="7" t="s">
        <v>0</v>
      </c>
      <c r="B357" s="81" t="s">
        <v>320</v>
      </c>
      <c r="C357" s="57">
        <v>19414</v>
      </c>
      <c r="D357" s="70">
        <v>735012040</v>
      </c>
      <c r="E357" s="57">
        <v>250</v>
      </c>
      <c r="F357" s="71" t="s">
        <v>337</v>
      </c>
      <c r="G357" s="61">
        <v>0</v>
      </c>
      <c r="H357" s="70">
        <f t="shared" si="22"/>
        <v>0</v>
      </c>
      <c r="I357" s="11">
        <f t="shared" ca="1" si="21"/>
        <v>46119</v>
      </c>
      <c r="J357" s="11">
        <f t="shared" ca="1" si="19"/>
        <v>46118</v>
      </c>
      <c r="K357" s="13"/>
    </row>
    <row r="358" spans="1:11" ht="18" hidden="1" x14ac:dyDescent="0.4">
      <c r="A358" s="7" t="s">
        <v>0</v>
      </c>
      <c r="B358" s="81" t="s">
        <v>320</v>
      </c>
      <c r="C358" s="57">
        <v>19414</v>
      </c>
      <c r="D358" s="70">
        <v>735012080</v>
      </c>
      <c r="E358" s="57">
        <v>600</v>
      </c>
      <c r="F358" s="71" t="s">
        <v>338</v>
      </c>
      <c r="G358" s="61">
        <v>0</v>
      </c>
      <c r="H358" s="70">
        <f t="shared" si="22"/>
        <v>0</v>
      </c>
      <c r="I358" s="11">
        <f t="shared" ca="1" si="21"/>
        <v>46119</v>
      </c>
      <c r="J358" s="11">
        <f t="shared" ca="1" si="19"/>
        <v>46118</v>
      </c>
      <c r="K358" s="13"/>
    </row>
    <row r="359" spans="1:11" ht="18" hidden="1" x14ac:dyDescent="0.4">
      <c r="A359" s="7" t="s">
        <v>0</v>
      </c>
      <c r="B359" s="81" t="s">
        <v>320</v>
      </c>
      <c r="C359" s="57">
        <v>19414</v>
      </c>
      <c r="D359" s="70">
        <v>135872210</v>
      </c>
      <c r="E359" s="57">
        <v>2800</v>
      </c>
      <c r="F359" s="71" t="s">
        <v>339</v>
      </c>
      <c r="G359" s="61">
        <v>0</v>
      </c>
      <c r="H359" s="70">
        <f t="shared" si="22"/>
        <v>0</v>
      </c>
      <c r="I359" s="11">
        <f t="shared" ca="1" si="21"/>
        <v>46119</v>
      </c>
      <c r="J359" s="11">
        <f t="shared" ca="1" si="19"/>
        <v>46118</v>
      </c>
      <c r="K359" s="13"/>
    </row>
    <row r="360" spans="1:11" ht="18" hidden="1" x14ac:dyDescent="0.4">
      <c r="A360" s="7" t="s">
        <v>0</v>
      </c>
      <c r="B360" s="81" t="s">
        <v>340</v>
      </c>
      <c r="C360" s="57">
        <v>27951</v>
      </c>
      <c r="D360" s="70">
        <v>162870240</v>
      </c>
      <c r="E360" s="57">
        <v>800</v>
      </c>
      <c r="F360" s="71" t="s">
        <v>341</v>
      </c>
      <c r="G360" s="61">
        <v>0</v>
      </c>
      <c r="H360" s="70">
        <f t="shared" si="22"/>
        <v>0</v>
      </c>
      <c r="I360" s="11">
        <f t="shared" ca="1" si="21"/>
        <v>46119</v>
      </c>
      <c r="J360" s="11">
        <f t="shared" ca="1" si="19"/>
        <v>46118</v>
      </c>
      <c r="K360" s="13"/>
    </row>
    <row r="361" spans="1:11" ht="18" hidden="1" x14ac:dyDescent="0.4">
      <c r="A361" s="7" t="s">
        <v>0</v>
      </c>
      <c r="B361" s="81" t="s">
        <v>340</v>
      </c>
      <c r="C361" s="57">
        <v>27951</v>
      </c>
      <c r="D361" s="70">
        <v>552581940</v>
      </c>
      <c r="E361" s="57">
        <v>800</v>
      </c>
      <c r="F361" s="71" t="s">
        <v>342</v>
      </c>
      <c r="G361" s="61">
        <v>0</v>
      </c>
      <c r="H361" s="70">
        <f t="shared" si="22"/>
        <v>0</v>
      </c>
      <c r="I361" s="11">
        <f t="shared" ca="1" si="21"/>
        <v>46119</v>
      </c>
      <c r="J361" s="11">
        <f t="shared" ca="1" si="19"/>
        <v>46118</v>
      </c>
      <c r="K361" s="13"/>
    </row>
    <row r="362" spans="1:11" ht="18" hidden="1" x14ac:dyDescent="0.4">
      <c r="A362" s="7" t="s">
        <v>0</v>
      </c>
      <c r="B362" s="81" t="s">
        <v>343</v>
      </c>
      <c r="C362" s="57">
        <v>10627</v>
      </c>
      <c r="D362" s="70">
        <v>116123240</v>
      </c>
      <c r="E362" s="57">
        <v>18000</v>
      </c>
      <c r="F362" s="71" t="s">
        <v>344</v>
      </c>
      <c r="G362" s="61">
        <v>0</v>
      </c>
      <c r="H362" s="70">
        <f t="shared" si="22"/>
        <v>0</v>
      </c>
      <c r="I362" s="11">
        <f t="shared" ca="1" si="21"/>
        <v>46119</v>
      </c>
      <c r="J362" s="11">
        <f t="shared" ca="1" si="19"/>
        <v>46118</v>
      </c>
      <c r="K362" s="13"/>
    </row>
    <row r="363" spans="1:11" ht="18" hidden="1" x14ac:dyDescent="0.4">
      <c r="A363" s="7" t="s">
        <v>0</v>
      </c>
      <c r="B363" s="81" t="s">
        <v>137</v>
      </c>
      <c r="C363" s="57">
        <v>36019</v>
      </c>
      <c r="D363" s="70">
        <v>130307240</v>
      </c>
      <c r="E363" s="57">
        <v>350</v>
      </c>
      <c r="F363" s="71" t="s">
        <v>345</v>
      </c>
      <c r="G363" s="61">
        <v>0</v>
      </c>
      <c r="H363" s="70">
        <f t="shared" si="22"/>
        <v>0</v>
      </c>
      <c r="I363" s="11">
        <f t="shared" ca="1" si="21"/>
        <v>46119</v>
      </c>
      <c r="J363" s="11">
        <f t="shared" ca="1" si="19"/>
        <v>46118</v>
      </c>
      <c r="K363" s="13"/>
    </row>
    <row r="364" spans="1:11" ht="18" hidden="1" x14ac:dyDescent="0.4">
      <c r="A364" s="7" t="s">
        <v>0</v>
      </c>
      <c r="B364" s="81" t="s">
        <v>137</v>
      </c>
      <c r="C364" s="57">
        <v>36019</v>
      </c>
      <c r="D364" s="70">
        <v>143078240</v>
      </c>
      <c r="E364" s="57">
        <v>350</v>
      </c>
      <c r="F364" s="71" t="s">
        <v>346</v>
      </c>
      <c r="G364" s="61">
        <v>0</v>
      </c>
      <c r="H364" s="70">
        <f t="shared" si="22"/>
        <v>0</v>
      </c>
      <c r="I364" s="11">
        <f t="shared" ca="1" si="21"/>
        <v>46119</v>
      </c>
      <c r="J364" s="11">
        <f t="shared" ca="1" si="19"/>
        <v>46118</v>
      </c>
      <c r="K364" s="13"/>
    </row>
    <row r="365" spans="1:11" ht="18" hidden="1" x14ac:dyDescent="0.4">
      <c r="A365" s="7" t="s">
        <v>0</v>
      </c>
      <c r="B365" s="81" t="s">
        <v>137</v>
      </c>
      <c r="C365" s="57">
        <v>36019</v>
      </c>
      <c r="D365" s="70">
        <v>159720240</v>
      </c>
      <c r="E365" s="57">
        <v>130</v>
      </c>
      <c r="F365" s="71" t="s">
        <v>347</v>
      </c>
      <c r="G365" s="61">
        <v>0</v>
      </c>
      <c r="H365" s="70">
        <f t="shared" si="22"/>
        <v>0</v>
      </c>
      <c r="I365" s="11">
        <f t="shared" ca="1" si="21"/>
        <v>46119</v>
      </c>
      <c r="J365" s="11">
        <f t="shared" ca="1" si="19"/>
        <v>46118</v>
      </c>
      <c r="K365" s="13"/>
    </row>
    <row r="366" spans="1:11" ht="18" hidden="1" x14ac:dyDescent="0.4">
      <c r="A366" s="7" t="s">
        <v>0</v>
      </c>
      <c r="B366" s="81" t="s">
        <v>137</v>
      </c>
      <c r="C366" s="57">
        <v>36019</v>
      </c>
      <c r="D366" s="70">
        <v>187502240</v>
      </c>
      <c r="E366" s="57">
        <v>1400</v>
      </c>
      <c r="F366" s="71" t="s">
        <v>348</v>
      </c>
      <c r="G366" s="61">
        <v>0</v>
      </c>
      <c r="H366" s="70">
        <f t="shared" si="22"/>
        <v>0</v>
      </c>
      <c r="I366" s="11">
        <f t="shared" ca="1" si="21"/>
        <v>46119</v>
      </c>
      <c r="J366" s="11">
        <f t="shared" ca="1" si="19"/>
        <v>46118</v>
      </c>
      <c r="K366" s="13"/>
    </row>
    <row r="367" spans="1:11" ht="18" hidden="1" x14ac:dyDescent="0.4">
      <c r="A367" s="7" t="s">
        <v>0</v>
      </c>
      <c r="B367" s="81" t="s">
        <v>137</v>
      </c>
      <c r="C367" s="57">
        <v>36019</v>
      </c>
      <c r="D367" s="70">
        <v>187528210</v>
      </c>
      <c r="E367" s="57">
        <v>1400</v>
      </c>
      <c r="F367" s="71" t="s">
        <v>349</v>
      </c>
      <c r="G367" s="61">
        <v>0</v>
      </c>
      <c r="H367" s="70">
        <f t="shared" si="22"/>
        <v>0</v>
      </c>
      <c r="I367" s="11">
        <f t="shared" ca="1" si="21"/>
        <v>46119</v>
      </c>
      <c r="J367" s="11">
        <f t="shared" ca="1" si="19"/>
        <v>46118</v>
      </c>
      <c r="K367" s="13"/>
    </row>
    <row r="368" spans="1:11" ht="18" hidden="1" x14ac:dyDescent="0.4">
      <c r="A368" s="7" t="s">
        <v>0</v>
      </c>
      <c r="B368" s="81" t="s">
        <v>137</v>
      </c>
      <c r="C368" s="57">
        <v>36019</v>
      </c>
      <c r="D368" s="70">
        <v>463472570</v>
      </c>
      <c r="E368" s="57">
        <v>1200</v>
      </c>
      <c r="F368" s="71" t="s">
        <v>350</v>
      </c>
      <c r="G368" s="61">
        <v>0</v>
      </c>
      <c r="H368" s="70">
        <f t="shared" si="22"/>
        <v>0</v>
      </c>
      <c r="I368" s="11">
        <f t="shared" ca="1" si="21"/>
        <v>46119</v>
      </c>
      <c r="J368" s="11">
        <f t="shared" ca="1" si="19"/>
        <v>46118</v>
      </c>
      <c r="K368" s="13"/>
    </row>
    <row r="369" spans="1:11" ht="18" hidden="1" x14ac:dyDescent="0.4">
      <c r="A369" s="7" t="s">
        <v>0</v>
      </c>
      <c r="B369" s="81" t="s">
        <v>137</v>
      </c>
      <c r="C369" s="57">
        <v>36019</v>
      </c>
      <c r="D369" s="70">
        <v>551877370</v>
      </c>
      <c r="E369" s="57">
        <v>3600</v>
      </c>
      <c r="F369" s="71" t="s">
        <v>351</v>
      </c>
      <c r="G369" s="61">
        <v>0</v>
      </c>
      <c r="H369" s="70">
        <f t="shared" si="22"/>
        <v>0</v>
      </c>
      <c r="I369" s="11">
        <f t="shared" ca="1" si="21"/>
        <v>46119</v>
      </c>
      <c r="J369" s="11">
        <f t="shared" ca="1" si="19"/>
        <v>46118</v>
      </c>
      <c r="K369" s="13"/>
    </row>
    <row r="370" spans="1:11" ht="18" hidden="1" x14ac:dyDescent="0.4">
      <c r="A370" s="7" t="s">
        <v>0</v>
      </c>
      <c r="B370" s="81" t="s">
        <v>137</v>
      </c>
      <c r="C370" s="57">
        <v>36019</v>
      </c>
      <c r="D370" s="70">
        <v>552501310</v>
      </c>
      <c r="E370" s="57">
        <v>350</v>
      </c>
      <c r="F370" s="71" t="s">
        <v>352</v>
      </c>
      <c r="G370" s="61">
        <v>0</v>
      </c>
      <c r="H370" s="70">
        <f t="shared" si="22"/>
        <v>0</v>
      </c>
      <c r="I370" s="11">
        <f t="shared" ca="1" si="21"/>
        <v>46119</v>
      </c>
      <c r="J370" s="11">
        <f t="shared" ca="1" si="19"/>
        <v>46118</v>
      </c>
      <c r="K370" s="13"/>
    </row>
    <row r="371" spans="1:11" ht="18" hidden="1" x14ac:dyDescent="0.4">
      <c r="A371" s="7" t="s">
        <v>0</v>
      </c>
      <c r="B371" s="81" t="s">
        <v>137</v>
      </c>
      <c r="C371" s="57">
        <v>36019</v>
      </c>
      <c r="D371" s="70">
        <v>552261740</v>
      </c>
      <c r="E371" s="57">
        <v>250</v>
      </c>
      <c r="F371" s="71" t="s">
        <v>353</v>
      </c>
      <c r="G371" s="61">
        <v>0</v>
      </c>
      <c r="H371" s="70">
        <f t="shared" si="22"/>
        <v>0</v>
      </c>
      <c r="I371" s="11">
        <f t="shared" ca="1" si="21"/>
        <v>46119</v>
      </c>
      <c r="J371" s="11">
        <f t="shared" ca="1" si="19"/>
        <v>46118</v>
      </c>
      <c r="K371" s="13"/>
    </row>
    <row r="372" spans="1:11" ht="18" hidden="1" x14ac:dyDescent="0.4">
      <c r="A372" s="7" t="s">
        <v>0</v>
      </c>
      <c r="B372" s="81" t="s">
        <v>137</v>
      </c>
      <c r="C372" s="57">
        <v>36019</v>
      </c>
      <c r="D372" s="70">
        <v>463507860</v>
      </c>
      <c r="E372" s="57">
        <v>150</v>
      </c>
      <c r="F372" s="71" t="s">
        <v>127</v>
      </c>
      <c r="G372" s="61">
        <v>0</v>
      </c>
      <c r="H372" s="70">
        <f t="shared" si="22"/>
        <v>0</v>
      </c>
      <c r="I372" s="11">
        <f t="shared" ca="1" si="21"/>
        <v>46119</v>
      </c>
      <c r="J372" s="11">
        <f t="shared" ca="1" si="19"/>
        <v>46118</v>
      </c>
      <c r="K372" s="13"/>
    </row>
    <row r="373" spans="1:11" ht="18" hidden="1" x14ac:dyDescent="0.4">
      <c r="A373" s="14" t="s">
        <v>0</v>
      </c>
      <c r="B373" s="84" t="s">
        <v>137</v>
      </c>
      <c r="C373" s="78">
        <v>36019</v>
      </c>
      <c r="D373" s="79">
        <v>552589360</v>
      </c>
      <c r="E373" s="78">
        <v>230</v>
      </c>
      <c r="F373" s="80" t="s">
        <v>127</v>
      </c>
      <c r="G373" s="90">
        <v>0</v>
      </c>
      <c r="H373" s="72">
        <f t="shared" si="22"/>
        <v>0</v>
      </c>
      <c r="I373" s="36">
        <f t="shared" ca="1" si="21"/>
        <v>46119</v>
      </c>
      <c r="J373" s="36">
        <f t="shared" ca="1" si="19"/>
        <v>46118</v>
      </c>
      <c r="K373" s="15"/>
    </row>
    <row r="374" spans="1:11" ht="18" hidden="1" x14ac:dyDescent="0.4">
      <c r="A374" s="60" t="s">
        <v>719</v>
      </c>
      <c r="B374" s="7" t="s">
        <v>354</v>
      </c>
      <c r="C374" s="8">
        <v>30464</v>
      </c>
      <c r="D374" s="9">
        <v>463444260</v>
      </c>
      <c r="E374" s="57">
        <v>200</v>
      </c>
      <c r="F374" s="10" t="s">
        <v>356</v>
      </c>
      <c r="G374" s="9">
        <v>0</v>
      </c>
      <c r="H374" s="9">
        <f t="shared" ref="H374:H433" si="23">G374/E374</f>
        <v>0</v>
      </c>
      <c r="I374" s="11">
        <f t="shared" ca="1" si="21"/>
        <v>46119</v>
      </c>
      <c r="J374" s="11">
        <f t="shared" ca="1" si="19"/>
        <v>46118</v>
      </c>
      <c r="K374" s="17"/>
    </row>
    <row r="375" spans="1:11" ht="18" hidden="1" x14ac:dyDescent="0.4">
      <c r="A375" s="7" t="s">
        <v>719</v>
      </c>
      <c r="B375" s="7" t="s">
        <v>357</v>
      </c>
      <c r="C375" s="8">
        <v>19414</v>
      </c>
      <c r="D375" s="9">
        <v>463584330</v>
      </c>
      <c r="E375" s="57">
        <v>1500</v>
      </c>
      <c r="F375" s="10" t="s">
        <v>168</v>
      </c>
      <c r="G375" s="9">
        <v>0</v>
      </c>
      <c r="H375" s="9">
        <f t="shared" si="23"/>
        <v>0</v>
      </c>
      <c r="I375" s="11">
        <f t="shared" ca="1" si="21"/>
        <v>46119</v>
      </c>
      <c r="J375" s="11">
        <f t="shared" ca="1" si="19"/>
        <v>46118</v>
      </c>
      <c r="K375" s="13"/>
    </row>
    <row r="376" spans="1:11" ht="18" hidden="1" x14ac:dyDescent="0.4">
      <c r="A376" s="7" t="s">
        <v>719</v>
      </c>
      <c r="B376" s="7" t="s">
        <v>357</v>
      </c>
      <c r="C376" s="8">
        <v>19414</v>
      </c>
      <c r="D376" s="9">
        <v>552709810</v>
      </c>
      <c r="E376" s="57">
        <v>100</v>
      </c>
      <c r="F376" s="10" t="s">
        <v>358</v>
      </c>
      <c r="G376" s="9">
        <v>0</v>
      </c>
      <c r="H376" s="9">
        <f t="shared" si="23"/>
        <v>0</v>
      </c>
      <c r="I376" s="11">
        <f t="shared" ca="1" si="21"/>
        <v>46119</v>
      </c>
      <c r="J376" s="11">
        <f t="shared" ca="1" si="19"/>
        <v>46118</v>
      </c>
      <c r="K376" s="13"/>
    </row>
    <row r="377" spans="1:11" ht="18" hidden="1" x14ac:dyDescent="0.4">
      <c r="A377" s="7" t="s">
        <v>719</v>
      </c>
      <c r="B377" s="7" t="s">
        <v>357</v>
      </c>
      <c r="C377" s="8">
        <v>19414</v>
      </c>
      <c r="D377" s="9">
        <v>552679990</v>
      </c>
      <c r="E377" s="57">
        <v>600</v>
      </c>
      <c r="F377" s="10" t="s">
        <v>359</v>
      </c>
      <c r="G377" s="9">
        <v>0</v>
      </c>
      <c r="H377" s="9">
        <f t="shared" si="23"/>
        <v>0</v>
      </c>
      <c r="I377" s="11">
        <f t="shared" ca="1" si="21"/>
        <v>46119</v>
      </c>
      <c r="J377" s="11">
        <f t="shared" ca="1" si="19"/>
        <v>46118</v>
      </c>
      <c r="K377" s="13"/>
    </row>
    <row r="378" spans="1:11" ht="18" hidden="1" x14ac:dyDescent="0.4">
      <c r="A378" s="7" t="s">
        <v>719</v>
      </c>
      <c r="B378" s="7" t="s">
        <v>357</v>
      </c>
      <c r="C378" s="8">
        <v>19414</v>
      </c>
      <c r="D378" s="9">
        <v>552819860</v>
      </c>
      <c r="E378" s="57">
        <v>50</v>
      </c>
      <c r="F378" s="10" t="s">
        <v>360</v>
      </c>
      <c r="G378" s="9">
        <v>0</v>
      </c>
      <c r="H378" s="9">
        <f t="shared" si="23"/>
        <v>0</v>
      </c>
      <c r="I378" s="11">
        <f ca="1">I376</f>
        <v>46119</v>
      </c>
      <c r="J378" s="11">
        <f t="shared" ca="1" si="19"/>
        <v>46118</v>
      </c>
      <c r="K378" s="13"/>
    </row>
    <row r="379" spans="1:11" ht="18" hidden="1" x14ac:dyDescent="0.4">
      <c r="A379" s="7" t="s">
        <v>719</v>
      </c>
      <c r="B379" s="7" t="s">
        <v>357</v>
      </c>
      <c r="C379" s="8">
        <v>19414</v>
      </c>
      <c r="D379" s="9">
        <v>552584580</v>
      </c>
      <c r="E379" s="57">
        <v>600</v>
      </c>
      <c r="F379" s="10" t="s">
        <v>361</v>
      </c>
      <c r="G379" s="9">
        <v>0</v>
      </c>
      <c r="H379" s="9">
        <f t="shared" si="23"/>
        <v>0</v>
      </c>
      <c r="I379" s="11">
        <f t="shared" ca="1" si="21"/>
        <v>46119</v>
      </c>
      <c r="J379" s="11">
        <f t="shared" ca="1" si="19"/>
        <v>46118</v>
      </c>
      <c r="K379" s="13"/>
    </row>
    <row r="380" spans="1:11" ht="18" hidden="1" x14ac:dyDescent="0.4">
      <c r="A380" s="7" t="s">
        <v>719</v>
      </c>
      <c r="B380" s="7" t="s">
        <v>357</v>
      </c>
      <c r="C380" s="8">
        <v>19414</v>
      </c>
      <c r="D380" s="9">
        <v>552691000</v>
      </c>
      <c r="E380" s="57">
        <v>800</v>
      </c>
      <c r="F380" s="10" t="s">
        <v>362</v>
      </c>
      <c r="G380" s="9">
        <v>0</v>
      </c>
      <c r="H380" s="9">
        <f t="shared" si="23"/>
        <v>0</v>
      </c>
      <c r="I380" s="11">
        <f t="shared" ref="I380:I439" ca="1" si="24">I379</f>
        <v>46119</v>
      </c>
      <c r="J380" s="11">
        <f t="shared" ca="1" si="19"/>
        <v>46118</v>
      </c>
      <c r="K380" s="13"/>
    </row>
    <row r="381" spans="1:11" ht="18" hidden="1" x14ac:dyDescent="0.4">
      <c r="A381" s="7" t="s">
        <v>719</v>
      </c>
      <c r="B381" s="7" t="s">
        <v>357</v>
      </c>
      <c r="C381" s="8">
        <v>19414</v>
      </c>
      <c r="D381" s="9">
        <v>187529240</v>
      </c>
      <c r="E381" s="57">
        <v>400</v>
      </c>
      <c r="F381" s="10" t="s">
        <v>363</v>
      </c>
      <c r="G381" s="9">
        <v>0</v>
      </c>
      <c r="H381" s="9">
        <f t="shared" si="23"/>
        <v>0</v>
      </c>
      <c r="I381" s="11">
        <f t="shared" ca="1" si="24"/>
        <v>46119</v>
      </c>
      <c r="J381" s="11">
        <f t="shared" ca="1" si="19"/>
        <v>46118</v>
      </c>
      <c r="K381" s="13"/>
    </row>
    <row r="382" spans="1:11" ht="18" hidden="1" x14ac:dyDescent="0.4">
      <c r="A382" s="7" t="s">
        <v>719</v>
      </c>
      <c r="B382" s="7" t="s">
        <v>357</v>
      </c>
      <c r="C382" s="8">
        <v>19414</v>
      </c>
      <c r="D382" s="9">
        <v>552836160</v>
      </c>
      <c r="E382" s="57">
        <v>800</v>
      </c>
      <c r="F382" s="10" t="s">
        <v>364</v>
      </c>
      <c r="G382" s="9">
        <v>0</v>
      </c>
      <c r="H382" s="9">
        <f t="shared" si="23"/>
        <v>0</v>
      </c>
      <c r="I382" s="11">
        <f t="shared" ca="1" si="24"/>
        <v>46119</v>
      </c>
      <c r="J382" s="11">
        <f t="shared" ca="1" si="19"/>
        <v>46118</v>
      </c>
      <c r="K382" s="13"/>
    </row>
    <row r="383" spans="1:11" ht="18" hidden="1" x14ac:dyDescent="0.4">
      <c r="A383" s="7" t="s">
        <v>719</v>
      </c>
      <c r="B383" s="7" t="s">
        <v>357</v>
      </c>
      <c r="C383" s="8">
        <v>19414</v>
      </c>
      <c r="D383" s="9">
        <v>187505240</v>
      </c>
      <c r="E383" s="57">
        <v>1000</v>
      </c>
      <c r="F383" s="10" t="s">
        <v>365</v>
      </c>
      <c r="G383" s="9">
        <v>0</v>
      </c>
      <c r="H383" s="9">
        <f t="shared" si="23"/>
        <v>0</v>
      </c>
      <c r="I383" s="11">
        <f t="shared" ca="1" si="24"/>
        <v>46119</v>
      </c>
      <c r="J383" s="11">
        <f t="shared" ca="1" si="19"/>
        <v>46118</v>
      </c>
      <c r="K383" s="13"/>
    </row>
    <row r="384" spans="1:11" ht="18" hidden="1" x14ac:dyDescent="0.4">
      <c r="A384" s="7" t="s">
        <v>719</v>
      </c>
      <c r="B384" s="7" t="s">
        <v>357</v>
      </c>
      <c r="C384" s="8">
        <v>19414</v>
      </c>
      <c r="D384" s="9">
        <v>187517240</v>
      </c>
      <c r="E384" s="57">
        <v>1200</v>
      </c>
      <c r="F384" s="10" t="s">
        <v>366</v>
      </c>
      <c r="G384" s="9">
        <v>0</v>
      </c>
      <c r="H384" s="9">
        <f t="shared" si="23"/>
        <v>0</v>
      </c>
      <c r="I384" s="11">
        <f t="shared" ca="1" si="24"/>
        <v>46119</v>
      </c>
      <c r="J384" s="11">
        <f t="shared" ca="1" si="19"/>
        <v>46118</v>
      </c>
      <c r="K384" s="13"/>
    </row>
    <row r="385" spans="1:11" ht="18" hidden="1" x14ac:dyDescent="0.4">
      <c r="A385" s="7" t="s">
        <v>719</v>
      </c>
      <c r="B385" s="7" t="s">
        <v>357</v>
      </c>
      <c r="C385" s="8">
        <v>19414</v>
      </c>
      <c r="D385" s="9">
        <v>463479880</v>
      </c>
      <c r="E385" s="57">
        <v>1000</v>
      </c>
      <c r="F385" s="10" t="s">
        <v>127</v>
      </c>
      <c r="G385" s="9">
        <v>0</v>
      </c>
      <c r="H385" s="9">
        <f t="shared" si="23"/>
        <v>0</v>
      </c>
      <c r="I385" s="11">
        <f t="shared" ca="1" si="24"/>
        <v>46119</v>
      </c>
      <c r="J385" s="11">
        <f t="shared" ca="1" si="19"/>
        <v>46118</v>
      </c>
      <c r="K385" s="13"/>
    </row>
    <row r="386" spans="1:11" ht="18" hidden="1" x14ac:dyDescent="0.4">
      <c r="A386" s="7" t="s">
        <v>719</v>
      </c>
      <c r="B386" s="7" t="s">
        <v>367</v>
      </c>
      <c r="C386" s="8">
        <v>20419</v>
      </c>
      <c r="D386" s="9">
        <v>552681860</v>
      </c>
      <c r="E386" s="57">
        <v>560</v>
      </c>
      <c r="F386" s="10" t="s">
        <v>234</v>
      </c>
      <c r="G386" s="9">
        <v>0</v>
      </c>
      <c r="H386" s="9">
        <f>G386/E386</f>
        <v>0</v>
      </c>
      <c r="I386" s="11">
        <f t="shared" ca="1" si="24"/>
        <v>46119</v>
      </c>
      <c r="J386" s="11">
        <f t="shared" ca="1" si="19"/>
        <v>46118</v>
      </c>
      <c r="K386" s="13"/>
    </row>
    <row r="387" spans="1:11" ht="18" hidden="1" x14ac:dyDescent="0.4">
      <c r="A387" s="7" t="s">
        <v>719</v>
      </c>
      <c r="B387" s="7" t="s">
        <v>367</v>
      </c>
      <c r="C387" s="8">
        <v>20419</v>
      </c>
      <c r="D387" s="9">
        <v>552678480</v>
      </c>
      <c r="E387" s="57">
        <v>800</v>
      </c>
      <c r="F387" s="10" t="s">
        <v>234</v>
      </c>
      <c r="G387" s="61">
        <v>0</v>
      </c>
      <c r="H387" s="9">
        <f t="shared" si="23"/>
        <v>0</v>
      </c>
      <c r="I387" s="11">
        <f ca="1">I386</f>
        <v>46119</v>
      </c>
      <c r="J387" s="11">
        <f t="shared" ca="1" si="19"/>
        <v>46118</v>
      </c>
      <c r="K387" s="13"/>
    </row>
    <row r="388" spans="1:11" ht="18" hidden="1" x14ac:dyDescent="0.4">
      <c r="A388" s="7" t="s">
        <v>719</v>
      </c>
      <c r="B388" s="7" t="s">
        <v>368</v>
      </c>
      <c r="C388" s="8">
        <v>32059</v>
      </c>
      <c r="D388" s="9">
        <v>552677450</v>
      </c>
      <c r="E388" s="57">
        <v>4500</v>
      </c>
      <c r="F388" s="10" t="s">
        <v>230</v>
      </c>
      <c r="G388" s="9">
        <v>0</v>
      </c>
      <c r="H388" s="9">
        <f t="shared" si="23"/>
        <v>0</v>
      </c>
      <c r="I388" s="11">
        <f t="shared" ca="1" si="24"/>
        <v>46119</v>
      </c>
      <c r="J388" s="11">
        <f t="shared" ca="1" si="19"/>
        <v>46118</v>
      </c>
      <c r="K388" s="13"/>
    </row>
    <row r="389" spans="1:11" ht="18" hidden="1" x14ac:dyDescent="0.4">
      <c r="A389" s="7" t="s">
        <v>719</v>
      </c>
      <c r="B389" s="7" t="s">
        <v>369</v>
      </c>
      <c r="C389" s="8">
        <v>14928</v>
      </c>
      <c r="D389" s="9">
        <v>463404710</v>
      </c>
      <c r="E389" s="57">
        <v>100</v>
      </c>
      <c r="F389" s="10" t="s">
        <v>370</v>
      </c>
      <c r="G389" s="9">
        <v>1200</v>
      </c>
      <c r="H389" s="9">
        <f t="shared" si="23"/>
        <v>12</v>
      </c>
      <c r="I389" s="11">
        <f t="shared" ca="1" si="24"/>
        <v>46119</v>
      </c>
      <c r="J389" s="11">
        <f t="shared" ca="1" si="19"/>
        <v>46118</v>
      </c>
      <c r="K389" s="13"/>
    </row>
    <row r="390" spans="1:11" ht="18" hidden="1" x14ac:dyDescent="0.4">
      <c r="A390" s="7" t="s">
        <v>719</v>
      </c>
      <c r="B390" s="7" t="s">
        <v>371</v>
      </c>
      <c r="C390" s="8">
        <v>78605</v>
      </c>
      <c r="D390" s="9">
        <v>552679850</v>
      </c>
      <c r="E390" s="57">
        <v>300</v>
      </c>
      <c r="F390" s="10" t="s">
        <v>281</v>
      </c>
      <c r="G390" s="9">
        <v>0</v>
      </c>
      <c r="H390" s="9">
        <f t="shared" si="23"/>
        <v>0</v>
      </c>
      <c r="I390" s="11">
        <f t="shared" ca="1" si="24"/>
        <v>46119</v>
      </c>
      <c r="J390" s="11">
        <f t="shared" ca="1" si="19"/>
        <v>46118</v>
      </c>
      <c r="K390" s="13"/>
    </row>
    <row r="391" spans="1:11" ht="18" hidden="1" x14ac:dyDescent="0.4">
      <c r="A391" s="7" t="s">
        <v>719</v>
      </c>
      <c r="B391" s="7" t="s">
        <v>372</v>
      </c>
      <c r="C391" s="8">
        <v>27951</v>
      </c>
      <c r="D391" s="9">
        <v>463411550</v>
      </c>
      <c r="E391" s="57">
        <v>1100</v>
      </c>
      <c r="F391" s="10" t="s">
        <v>373</v>
      </c>
      <c r="G391" s="9">
        <v>0</v>
      </c>
      <c r="H391" s="9">
        <f t="shared" si="23"/>
        <v>0</v>
      </c>
      <c r="I391" s="11">
        <f t="shared" ca="1" si="24"/>
        <v>46119</v>
      </c>
      <c r="J391" s="11">
        <f t="shared" ca="1" si="19"/>
        <v>46118</v>
      </c>
      <c r="K391" s="13"/>
    </row>
    <row r="392" spans="1:11" ht="18" hidden="1" x14ac:dyDescent="0.4">
      <c r="A392" s="7" t="s">
        <v>719</v>
      </c>
      <c r="B392" s="7" t="s">
        <v>372</v>
      </c>
      <c r="C392" s="8">
        <v>27951</v>
      </c>
      <c r="D392" s="9">
        <v>463415550</v>
      </c>
      <c r="E392" s="57">
        <v>800</v>
      </c>
      <c r="F392" s="10" t="s">
        <v>374</v>
      </c>
      <c r="G392" s="9">
        <v>0</v>
      </c>
      <c r="H392" s="9">
        <f t="shared" si="23"/>
        <v>0</v>
      </c>
      <c r="I392" s="11">
        <f t="shared" ca="1" si="24"/>
        <v>46119</v>
      </c>
      <c r="J392" s="11">
        <f t="shared" ca="1" si="19"/>
        <v>46118</v>
      </c>
      <c r="K392" s="13"/>
    </row>
    <row r="393" spans="1:11" ht="18" hidden="1" x14ac:dyDescent="0.4">
      <c r="A393" s="7" t="s">
        <v>719</v>
      </c>
      <c r="B393" s="7" t="s">
        <v>375</v>
      </c>
      <c r="C393" s="8">
        <v>24229</v>
      </c>
      <c r="D393" s="9">
        <v>463471630</v>
      </c>
      <c r="E393" s="57">
        <v>200</v>
      </c>
      <c r="F393" s="10" t="s">
        <v>376</v>
      </c>
      <c r="G393" s="9">
        <v>0</v>
      </c>
      <c r="H393" s="9">
        <f t="shared" si="23"/>
        <v>0</v>
      </c>
      <c r="I393" s="11">
        <f t="shared" ca="1" si="24"/>
        <v>46119</v>
      </c>
      <c r="J393" s="11">
        <f t="shared" ca="1" si="19"/>
        <v>46118</v>
      </c>
      <c r="K393" s="13"/>
    </row>
    <row r="394" spans="1:11" ht="18" hidden="1" x14ac:dyDescent="0.4">
      <c r="A394" s="7" t="s">
        <v>719</v>
      </c>
      <c r="B394" s="7" t="s">
        <v>375</v>
      </c>
      <c r="C394" s="8">
        <v>24229</v>
      </c>
      <c r="D394" s="9">
        <v>463508000</v>
      </c>
      <c r="E394" s="57">
        <v>120</v>
      </c>
      <c r="F394" s="10" t="s">
        <v>271</v>
      </c>
      <c r="G394" s="9">
        <v>0</v>
      </c>
      <c r="H394" s="9">
        <f t="shared" si="23"/>
        <v>0</v>
      </c>
      <c r="I394" s="11">
        <f t="shared" ca="1" si="24"/>
        <v>46119</v>
      </c>
      <c r="J394" s="11">
        <f t="shared" ca="1" si="19"/>
        <v>46118</v>
      </c>
      <c r="K394" s="13"/>
    </row>
    <row r="395" spans="1:11" ht="18" hidden="1" x14ac:dyDescent="0.4">
      <c r="A395" s="7" t="s">
        <v>719</v>
      </c>
      <c r="B395" s="7" t="s">
        <v>377</v>
      </c>
      <c r="C395" s="8">
        <v>36019</v>
      </c>
      <c r="D395" s="9">
        <v>552768830</v>
      </c>
      <c r="E395" s="57">
        <v>2200</v>
      </c>
      <c r="F395" s="10" t="s">
        <v>378</v>
      </c>
      <c r="G395" s="9">
        <v>0</v>
      </c>
      <c r="H395" s="9">
        <f t="shared" si="23"/>
        <v>0</v>
      </c>
      <c r="I395" s="11">
        <f t="shared" ca="1" si="24"/>
        <v>46119</v>
      </c>
      <c r="J395" s="11">
        <f t="shared" ca="1" si="19"/>
        <v>46118</v>
      </c>
      <c r="K395" s="13"/>
    </row>
    <row r="396" spans="1:11" ht="18" hidden="1" x14ac:dyDescent="0.4">
      <c r="A396" s="7" t="s">
        <v>719</v>
      </c>
      <c r="B396" s="7" t="s">
        <v>377</v>
      </c>
      <c r="C396" s="8">
        <v>36019</v>
      </c>
      <c r="D396" s="9">
        <v>552686720</v>
      </c>
      <c r="E396" s="57">
        <v>250</v>
      </c>
      <c r="F396" s="10" t="s">
        <v>379</v>
      </c>
      <c r="G396" s="9">
        <v>0</v>
      </c>
      <c r="H396" s="9">
        <f t="shared" si="23"/>
        <v>0</v>
      </c>
      <c r="I396" s="11">
        <f t="shared" ca="1" si="24"/>
        <v>46119</v>
      </c>
      <c r="J396" s="11">
        <f t="shared" ca="1" si="19"/>
        <v>46118</v>
      </c>
      <c r="K396" s="13"/>
    </row>
    <row r="397" spans="1:11" ht="18" hidden="1" x14ac:dyDescent="0.4">
      <c r="A397" s="7" t="s">
        <v>719</v>
      </c>
      <c r="B397" s="7" t="s">
        <v>377</v>
      </c>
      <c r="C397" s="8">
        <v>36019</v>
      </c>
      <c r="D397" s="9">
        <v>552693200</v>
      </c>
      <c r="E397" s="57">
        <v>1000</v>
      </c>
      <c r="F397" s="10" t="s">
        <v>380</v>
      </c>
      <c r="G397" s="9">
        <v>0</v>
      </c>
      <c r="H397" s="9">
        <f t="shared" si="23"/>
        <v>0</v>
      </c>
      <c r="I397" s="11">
        <f t="shared" ca="1" si="24"/>
        <v>46119</v>
      </c>
      <c r="J397" s="11">
        <f t="shared" ca="1" si="19"/>
        <v>46118</v>
      </c>
      <c r="K397" s="13"/>
    </row>
    <row r="398" spans="1:11" ht="18" hidden="1" x14ac:dyDescent="0.4">
      <c r="A398" s="7" t="s">
        <v>719</v>
      </c>
      <c r="B398" s="7" t="s">
        <v>377</v>
      </c>
      <c r="C398" s="8">
        <v>36019</v>
      </c>
      <c r="D398" s="9">
        <v>552728620</v>
      </c>
      <c r="E398" s="57">
        <v>1500</v>
      </c>
      <c r="F398" s="10" t="s">
        <v>381</v>
      </c>
      <c r="G398" s="9">
        <v>0</v>
      </c>
      <c r="H398" s="9">
        <f t="shared" si="23"/>
        <v>0</v>
      </c>
      <c r="I398" s="11">
        <f t="shared" ca="1" si="24"/>
        <v>46119</v>
      </c>
      <c r="J398" s="11">
        <f t="shared" ca="1" si="19"/>
        <v>46118</v>
      </c>
      <c r="K398" s="13"/>
    </row>
    <row r="399" spans="1:11" ht="18" hidden="1" x14ac:dyDescent="0.4">
      <c r="A399" s="7" t="s">
        <v>719</v>
      </c>
      <c r="B399" s="7" t="s">
        <v>377</v>
      </c>
      <c r="C399" s="8">
        <v>36019</v>
      </c>
      <c r="D399" s="9">
        <v>552679970</v>
      </c>
      <c r="E399" s="57">
        <v>1200</v>
      </c>
      <c r="F399" s="10" t="s">
        <v>382</v>
      </c>
      <c r="G399" s="9">
        <v>0</v>
      </c>
      <c r="H399" s="9">
        <f t="shared" si="23"/>
        <v>0</v>
      </c>
      <c r="I399" s="11">
        <f ca="1">I397</f>
        <v>46119</v>
      </c>
      <c r="J399" s="11">
        <f t="shared" ca="1" si="19"/>
        <v>46118</v>
      </c>
      <c r="K399" s="13"/>
    </row>
    <row r="400" spans="1:11" ht="18" hidden="1" x14ac:dyDescent="0.4">
      <c r="A400" s="7" t="s">
        <v>719</v>
      </c>
      <c r="B400" s="7" t="s">
        <v>377</v>
      </c>
      <c r="C400" s="8">
        <v>36019</v>
      </c>
      <c r="D400" s="9">
        <v>552677410</v>
      </c>
      <c r="E400" s="57">
        <v>200</v>
      </c>
      <c r="F400" s="10" t="s">
        <v>383</v>
      </c>
      <c r="G400" s="9">
        <v>0</v>
      </c>
      <c r="H400" s="9">
        <f t="shared" si="23"/>
        <v>0</v>
      </c>
      <c r="I400" s="11">
        <f t="shared" ca="1" si="24"/>
        <v>46119</v>
      </c>
      <c r="J400" s="11">
        <f t="shared" ca="1" si="19"/>
        <v>46118</v>
      </c>
      <c r="K400" s="13"/>
    </row>
    <row r="401" spans="1:11" ht="18" hidden="1" x14ac:dyDescent="0.4">
      <c r="A401" s="7" t="s">
        <v>719</v>
      </c>
      <c r="B401" s="7" t="s">
        <v>377</v>
      </c>
      <c r="C401" s="8">
        <v>36019</v>
      </c>
      <c r="D401" s="9">
        <v>463535790</v>
      </c>
      <c r="E401" s="57">
        <v>700</v>
      </c>
      <c r="F401" s="10" t="s">
        <v>384</v>
      </c>
      <c r="G401" s="9">
        <v>0</v>
      </c>
      <c r="H401" s="9">
        <f t="shared" si="23"/>
        <v>0</v>
      </c>
      <c r="I401" s="11">
        <f t="shared" ca="1" si="24"/>
        <v>46119</v>
      </c>
      <c r="J401" s="11">
        <f t="shared" ca="1" si="19"/>
        <v>46118</v>
      </c>
      <c r="K401" s="13"/>
    </row>
    <row r="402" spans="1:11" ht="18" hidden="1" x14ac:dyDescent="0.4">
      <c r="A402" s="7" t="s">
        <v>719</v>
      </c>
      <c r="B402" s="7" t="s">
        <v>377</v>
      </c>
      <c r="C402" s="8">
        <v>36019</v>
      </c>
      <c r="D402" s="9">
        <v>463589540</v>
      </c>
      <c r="E402" s="57">
        <v>150</v>
      </c>
      <c r="F402" s="10" t="s">
        <v>385</v>
      </c>
      <c r="G402" s="9">
        <v>0</v>
      </c>
      <c r="H402" s="9">
        <f t="shared" si="23"/>
        <v>0</v>
      </c>
      <c r="I402" s="11">
        <f t="shared" ca="1" si="24"/>
        <v>46119</v>
      </c>
      <c r="J402" s="11">
        <f t="shared" ca="1" si="19"/>
        <v>46118</v>
      </c>
      <c r="K402" s="13"/>
    </row>
    <row r="403" spans="1:11" ht="18" hidden="1" x14ac:dyDescent="0.4">
      <c r="A403" s="7" t="s">
        <v>719</v>
      </c>
      <c r="B403" s="7" t="s">
        <v>377</v>
      </c>
      <c r="C403" s="8">
        <v>36019</v>
      </c>
      <c r="D403" s="9">
        <v>463586380</v>
      </c>
      <c r="E403" s="57">
        <v>3000</v>
      </c>
      <c r="F403" s="10" t="s">
        <v>386</v>
      </c>
      <c r="G403" s="9">
        <v>0</v>
      </c>
      <c r="H403" s="9">
        <f t="shared" si="23"/>
        <v>0</v>
      </c>
      <c r="I403" s="11">
        <f t="shared" ca="1" si="24"/>
        <v>46119</v>
      </c>
      <c r="J403" s="11">
        <f t="shared" ca="1" si="19"/>
        <v>46118</v>
      </c>
      <c r="K403" s="13"/>
    </row>
    <row r="404" spans="1:11" ht="18" hidden="1" x14ac:dyDescent="0.4">
      <c r="A404" s="7" t="s">
        <v>719</v>
      </c>
      <c r="B404" s="7" t="s">
        <v>377</v>
      </c>
      <c r="C404" s="8">
        <v>36019</v>
      </c>
      <c r="D404" s="9">
        <v>552636100</v>
      </c>
      <c r="E404" s="57">
        <v>200</v>
      </c>
      <c r="F404" s="10" t="s">
        <v>387</v>
      </c>
      <c r="G404" s="9">
        <v>0</v>
      </c>
      <c r="H404" s="9">
        <f t="shared" si="23"/>
        <v>0</v>
      </c>
      <c r="I404" s="11">
        <f t="shared" ca="1" si="24"/>
        <v>46119</v>
      </c>
      <c r="J404" s="11">
        <f t="shared" ca="1" si="19"/>
        <v>46118</v>
      </c>
      <c r="K404" s="13"/>
    </row>
    <row r="405" spans="1:11" ht="18" hidden="1" x14ac:dyDescent="0.4">
      <c r="A405" s="7" t="s">
        <v>719</v>
      </c>
      <c r="B405" s="7" t="s">
        <v>377</v>
      </c>
      <c r="C405" s="8">
        <v>36019</v>
      </c>
      <c r="D405" s="9">
        <v>135435340</v>
      </c>
      <c r="E405" s="57">
        <v>900</v>
      </c>
      <c r="F405" s="10" t="s">
        <v>388</v>
      </c>
      <c r="G405" s="9">
        <v>0</v>
      </c>
      <c r="H405" s="9">
        <f t="shared" si="23"/>
        <v>0</v>
      </c>
      <c r="I405" s="11">
        <f t="shared" ca="1" si="24"/>
        <v>46119</v>
      </c>
      <c r="J405" s="11">
        <f t="shared" ca="1" si="19"/>
        <v>46118</v>
      </c>
      <c r="K405" s="13"/>
    </row>
    <row r="406" spans="1:11" ht="18" hidden="1" x14ac:dyDescent="0.4">
      <c r="A406" s="7" t="s">
        <v>719</v>
      </c>
      <c r="B406" s="7" t="s">
        <v>377</v>
      </c>
      <c r="C406" s="8">
        <v>36019</v>
      </c>
      <c r="D406" s="9">
        <v>552739160</v>
      </c>
      <c r="E406" s="57">
        <v>500</v>
      </c>
      <c r="F406" s="10" t="s">
        <v>389</v>
      </c>
      <c r="G406" s="9">
        <v>0</v>
      </c>
      <c r="H406" s="9">
        <f t="shared" si="23"/>
        <v>0</v>
      </c>
      <c r="I406" s="11">
        <f t="shared" ca="1" si="24"/>
        <v>46119</v>
      </c>
      <c r="J406" s="11">
        <f t="shared" ca="1" si="19"/>
        <v>46118</v>
      </c>
      <c r="K406" s="13"/>
    </row>
    <row r="407" spans="1:11" ht="18" hidden="1" x14ac:dyDescent="0.4">
      <c r="A407" s="7" t="s">
        <v>719</v>
      </c>
      <c r="B407" s="7" t="s">
        <v>377</v>
      </c>
      <c r="C407" s="8">
        <v>36019</v>
      </c>
      <c r="D407" s="9">
        <v>187502240</v>
      </c>
      <c r="E407" s="57">
        <v>1400</v>
      </c>
      <c r="F407" s="10" t="s">
        <v>348</v>
      </c>
      <c r="G407" s="9">
        <v>0</v>
      </c>
      <c r="H407" s="9">
        <f t="shared" si="23"/>
        <v>0</v>
      </c>
      <c r="I407" s="11">
        <f t="shared" ca="1" si="24"/>
        <v>46119</v>
      </c>
      <c r="J407" s="11">
        <f t="shared" ca="1" si="19"/>
        <v>46118</v>
      </c>
      <c r="K407" s="13"/>
    </row>
    <row r="408" spans="1:11" ht="18" hidden="1" x14ac:dyDescent="0.4">
      <c r="A408" s="7" t="s">
        <v>719</v>
      </c>
      <c r="B408" s="7" t="s">
        <v>377</v>
      </c>
      <c r="C408" s="8">
        <v>36019</v>
      </c>
      <c r="D408" s="9">
        <v>463622410</v>
      </c>
      <c r="E408" s="57">
        <v>350</v>
      </c>
      <c r="F408" s="10" t="s">
        <v>724</v>
      </c>
      <c r="G408" s="9">
        <v>0</v>
      </c>
      <c r="H408" s="9">
        <f t="shared" si="23"/>
        <v>0</v>
      </c>
      <c r="I408" s="11">
        <f t="shared" ca="1" si="24"/>
        <v>46119</v>
      </c>
      <c r="J408" s="11">
        <f t="shared" ca="1" si="19"/>
        <v>46118</v>
      </c>
      <c r="K408" s="13"/>
    </row>
    <row r="409" spans="1:11" ht="18" hidden="1" x14ac:dyDescent="0.4">
      <c r="A409" s="7" t="s">
        <v>719</v>
      </c>
      <c r="B409" s="7" t="s">
        <v>391</v>
      </c>
      <c r="C409" s="8">
        <v>43416</v>
      </c>
      <c r="D409" s="9">
        <v>463361830</v>
      </c>
      <c r="E409" s="57">
        <v>240</v>
      </c>
      <c r="F409" s="10" t="s">
        <v>23</v>
      </c>
      <c r="G409" s="9">
        <v>0</v>
      </c>
      <c r="H409" s="9">
        <f t="shared" si="23"/>
        <v>0</v>
      </c>
      <c r="I409" s="11">
        <f t="shared" ca="1" si="24"/>
        <v>46119</v>
      </c>
      <c r="J409" s="11">
        <f t="shared" ca="1" si="19"/>
        <v>46118</v>
      </c>
      <c r="K409" s="13"/>
    </row>
    <row r="410" spans="1:11" ht="18" hidden="1" x14ac:dyDescent="0.4">
      <c r="A410" s="7" t="s">
        <v>719</v>
      </c>
      <c r="B410" s="7" t="s">
        <v>391</v>
      </c>
      <c r="C410" s="8">
        <v>43416</v>
      </c>
      <c r="D410" s="9">
        <v>463361840</v>
      </c>
      <c r="E410" s="57">
        <v>240</v>
      </c>
      <c r="F410" s="10" t="s">
        <v>23</v>
      </c>
      <c r="G410" s="9">
        <v>0</v>
      </c>
      <c r="H410" s="9">
        <f t="shared" si="23"/>
        <v>0</v>
      </c>
      <c r="I410" s="11">
        <f t="shared" ca="1" si="24"/>
        <v>46119</v>
      </c>
      <c r="J410" s="11">
        <f t="shared" ca="1" si="19"/>
        <v>46118</v>
      </c>
      <c r="K410" s="13"/>
    </row>
    <row r="411" spans="1:11" ht="18" hidden="1" x14ac:dyDescent="0.4">
      <c r="A411" s="7" t="s">
        <v>719</v>
      </c>
      <c r="B411" s="7" t="s">
        <v>250</v>
      </c>
      <c r="C411" s="8">
        <v>37866</v>
      </c>
      <c r="D411" s="9">
        <v>463550740</v>
      </c>
      <c r="E411" s="57">
        <v>120</v>
      </c>
      <c r="F411" s="10" t="s">
        <v>392</v>
      </c>
      <c r="G411" s="9">
        <v>0</v>
      </c>
      <c r="H411" s="9">
        <f t="shared" si="23"/>
        <v>0</v>
      </c>
      <c r="I411" s="11">
        <f t="shared" ca="1" si="24"/>
        <v>46119</v>
      </c>
      <c r="J411" s="11">
        <f t="shared" ca="1" si="19"/>
        <v>46118</v>
      </c>
      <c r="K411" s="13"/>
    </row>
    <row r="412" spans="1:11" ht="18" hidden="1" x14ac:dyDescent="0.4">
      <c r="A412" s="7" t="s">
        <v>719</v>
      </c>
      <c r="B412" s="7" t="s">
        <v>250</v>
      </c>
      <c r="C412" s="8">
        <v>37866</v>
      </c>
      <c r="D412" s="9">
        <v>463584840</v>
      </c>
      <c r="E412" s="57">
        <v>120</v>
      </c>
      <c r="F412" s="10" t="s">
        <v>392</v>
      </c>
      <c r="G412" s="9">
        <v>0</v>
      </c>
      <c r="H412" s="9">
        <f t="shared" si="23"/>
        <v>0</v>
      </c>
      <c r="I412" s="11">
        <f t="shared" ca="1" si="24"/>
        <v>46119</v>
      </c>
      <c r="J412" s="11">
        <f t="shared" ca="1" si="19"/>
        <v>46118</v>
      </c>
      <c r="K412" s="13"/>
    </row>
    <row r="413" spans="1:11" ht="18" hidden="1" x14ac:dyDescent="0.4">
      <c r="A413" s="7" t="s">
        <v>719</v>
      </c>
      <c r="B413" s="7" t="s">
        <v>250</v>
      </c>
      <c r="C413" s="8">
        <v>37866</v>
      </c>
      <c r="D413" s="9">
        <v>463584880</v>
      </c>
      <c r="E413" s="57">
        <v>120</v>
      </c>
      <c r="F413" s="10" t="s">
        <v>393</v>
      </c>
      <c r="G413" s="9">
        <v>0</v>
      </c>
      <c r="H413" s="9">
        <f t="shared" si="23"/>
        <v>0</v>
      </c>
      <c r="I413" s="11">
        <f t="shared" ca="1" si="24"/>
        <v>46119</v>
      </c>
      <c r="J413" s="11">
        <f t="shared" ca="1" si="19"/>
        <v>46118</v>
      </c>
      <c r="K413" s="13"/>
    </row>
    <row r="414" spans="1:11" ht="18" hidden="1" x14ac:dyDescent="0.4">
      <c r="A414" s="7" t="s">
        <v>719</v>
      </c>
      <c r="B414" s="7" t="s">
        <v>250</v>
      </c>
      <c r="C414" s="8">
        <v>37866</v>
      </c>
      <c r="D414" s="9">
        <v>463584870</v>
      </c>
      <c r="E414" s="57">
        <v>120</v>
      </c>
      <c r="F414" s="10" t="s">
        <v>394</v>
      </c>
      <c r="G414" s="9">
        <v>0</v>
      </c>
      <c r="H414" s="9">
        <f t="shared" si="23"/>
        <v>0</v>
      </c>
      <c r="I414" s="11">
        <f t="shared" ca="1" si="24"/>
        <v>46119</v>
      </c>
      <c r="J414" s="11">
        <f t="shared" ca="1" si="19"/>
        <v>46118</v>
      </c>
      <c r="K414" s="13"/>
    </row>
    <row r="415" spans="1:11" ht="18" hidden="1" x14ac:dyDescent="0.4">
      <c r="A415" s="7" t="s">
        <v>719</v>
      </c>
      <c r="B415" s="7" t="s">
        <v>250</v>
      </c>
      <c r="C415" s="8">
        <v>37866</v>
      </c>
      <c r="D415" s="9">
        <v>463604240</v>
      </c>
      <c r="E415" s="57">
        <v>120</v>
      </c>
      <c r="F415" s="37" t="s">
        <v>394</v>
      </c>
      <c r="G415" s="9">
        <v>0</v>
      </c>
      <c r="H415" s="9">
        <f t="shared" si="23"/>
        <v>0</v>
      </c>
      <c r="I415" s="11">
        <f t="shared" ca="1" si="24"/>
        <v>46119</v>
      </c>
      <c r="J415" s="11">
        <f t="shared" ca="1" si="19"/>
        <v>46118</v>
      </c>
      <c r="K415" s="13"/>
    </row>
    <row r="416" spans="1:11" ht="18" hidden="1" x14ac:dyDescent="0.4">
      <c r="A416" s="7" t="s">
        <v>719</v>
      </c>
      <c r="B416" s="7" t="s">
        <v>250</v>
      </c>
      <c r="C416" s="8">
        <v>37866</v>
      </c>
      <c r="D416" s="9">
        <v>463579240</v>
      </c>
      <c r="E416" s="57">
        <v>120</v>
      </c>
      <c r="F416" s="10" t="s">
        <v>394</v>
      </c>
      <c r="G416" s="9">
        <v>0</v>
      </c>
      <c r="H416" s="9">
        <f t="shared" si="23"/>
        <v>0</v>
      </c>
      <c r="I416" s="11">
        <f t="shared" ca="1" si="24"/>
        <v>46119</v>
      </c>
      <c r="J416" s="11">
        <f t="shared" ca="1" si="19"/>
        <v>46118</v>
      </c>
      <c r="K416" s="13"/>
    </row>
    <row r="417" spans="1:11" ht="18" hidden="1" x14ac:dyDescent="0.4">
      <c r="A417" s="7" t="s">
        <v>719</v>
      </c>
      <c r="B417" s="7" t="s">
        <v>250</v>
      </c>
      <c r="C417" s="8">
        <v>37866</v>
      </c>
      <c r="D417" s="9">
        <v>463579360</v>
      </c>
      <c r="E417" s="57">
        <v>120</v>
      </c>
      <c r="F417" s="37" t="s">
        <v>394</v>
      </c>
      <c r="G417" s="9">
        <v>0</v>
      </c>
      <c r="H417" s="9">
        <f t="shared" si="23"/>
        <v>0</v>
      </c>
      <c r="I417" s="11">
        <f t="shared" ca="1" si="24"/>
        <v>46119</v>
      </c>
      <c r="J417" s="11">
        <f t="shared" ca="1" si="19"/>
        <v>46118</v>
      </c>
      <c r="K417" s="13"/>
    </row>
    <row r="418" spans="1:11" ht="18" hidden="1" x14ac:dyDescent="0.4">
      <c r="A418" s="7" t="s">
        <v>719</v>
      </c>
      <c r="B418" s="7" t="s">
        <v>250</v>
      </c>
      <c r="C418" s="8">
        <v>37866</v>
      </c>
      <c r="D418" s="9">
        <v>463579680</v>
      </c>
      <c r="E418" s="57">
        <v>120</v>
      </c>
      <c r="F418" s="10" t="s">
        <v>394</v>
      </c>
      <c r="G418" s="9">
        <v>0</v>
      </c>
      <c r="H418" s="9">
        <f t="shared" si="23"/>
        <v>0</v>
      </c>
      <c r="I418" s="11">
        <f t="shared" ca="1" si="24"/>
        <v>46119</v>
      </c>
      <c r="J418" s="11">
        <f t="shared" ca="1" si="19"/>
        <v>46118</v>
      </c>
      <c r="K418" s="13"/>
    </row>
    <row r="419" spans="1:11" ht="18" hidden="1" x14ac:dyDescent="0.4">
      <c r="A419" s="7" t="s">
        <v>719</v>
      </c>
      <c r="B419" s="7" t="s">
        <v>250</v>
      </c>
      <c r="C419" s="8">
        <v>37866</v>
      </c>
      <c r="D419" s="9">
        <v>463579760</v>
      </c>
      <c r="E419" s="57">
        <v>120</v>
      </c>
      <c r="F419" s="10" t="s">
        <v>394</v>
      </c>
      <c r="G419" s="9">
        <v>0</v>
      </c>
      <c r="H419" s="9">
        <f t="shared" si="23"/>
        <v>0</v>
      </c>
      <c r="I419" s="11">
        <f t="shared" ca="1" si="24"/>
        <v>46119</v>
      </c>
      <c r="J419" s="11">
        <f t="shared" ca="1" si="19"/>
        <v>46118</v>
      </c>
      <c r="K419" s="13"/>
    </row>
    <row r="420" spans="1:11" ht="18" hidden="1" x14ac:dyDescent="0.4">
      <c r="A420" s="7" t="s">
        <v>719</v>
      </c>
      <c r="B420" s="7" t="s">
        <v>250</v>
      </c>
      <c r="C420" s="8">
        <v>37866</v>
      </c>
      <c r="D420" s="9">
        <v>463579900</v>
      </c>
      <c r="E420" s="57">
        <v>120</v>
      </c>
      <c r="F420" s="10" t="s">
        <v>394</v>
      </c>
      <c r="G420" s="9">
        <v>0</v>
      </c>
      <c r="H420" s="9">
        <f t="shared" si="23"/>
        <v>0</v>
      </c>
      <c r="I420" s="11">
        <f t="shared" ca="1" si="24"/>
        <v>46119</v>
      </c>
      <c r="J420" s="11">
        <f t="shared" ca="1" si="19"/>
        <v>46118</v>
      </c>
      <c r="K420" s="13"/>
    </row>
    <row r="421" spans="1:11" ht="18" hidden="1" x14ac:dyDescent="0.4">
      <c r="A421" s="7" t="s">
        <v>719</v>
      </c>
      <c r="B421" s="7" t="s">
        <v>250</v>
      </c>
      <c r="C421" s="8">
        <v>37866</v>
      </c>
      <c r="D421" s="9">
        <v>463580810</v>
      </c>
      <c r="E421" s="57">
        <v>120</v>
      </c>
      <c r="F421" s="10" t="s">
        <v>394</v>
      </c>
      <c r="G421" s="9">
        <v>0</v>
      </c>
      <c r="H421" s="9">
        <f t="shared" si="23"/>
        <v>0</v>
      </c>
      <c r="I421" s="11">
        <f t="shared" ca="1" si="24"/>
        <v>46119</v>
      </c>
      <c r="J421" s="11">
        <f t="shared" ca="1" si="19"/>
        <v>46118</v>
      </c>
      <c r="K421" s="13"/>
    </row>
    <row r="422" spans="1:11" ht="18" hidden="1" x14ac:dyDescent="0.4">
      <c r="A422" s="7" t="s">
        <v>719</v>
      </c>
      <c r="B422" s="7" t="s">
        <v>250</v>
      </c>
      <c r="C422" s="8">
        <v>37866</v>
      </c>
      <c r="D422" s="9">
        <v>463607250</v>
      </c>
      <c r="E422" s="57">
        <v>120</v>
      </c>
      <c r="F422" s="10" t="s">
        <v>394</v>
      </c>
      <c r="G422" s="9">
        <v>0</v>
      </c>
      <c r="H422" s="9">
        <f t="shared" si="23"/>
        <v>0</v>
      </c>
      <c r="I422" s="11">
        <f t="shared" ca="1" si="24"/>
        <v>46119</v>
      </c>
      <c r="J422" s="11">
        <f t="shared" ca="1" si="19"/>
        <v>46118</v>
      </c>
      <c r="K422" s="13"/>
    </row>
    <row r="423" spans="1:11" ht="18" hidden="1" x14ac:dyDescent="0.4">
      <c r="A423" s="7" t="s">
        <v>719</v>
      </c>
      <c r="B423" s="7" t="s">
        <v>250</v>
      </c>
      <c r="C423" s="8">
        <v>37866</v>
      </c>
      <c r="D423" s="9">
        <v>463609500</v>
      </c>
      <c r="E423" s="57">
        <v>120</v>
      </c>
      <c r="F423" s="10" t="s">
        <v>394</v>
      </c>
      <c r="G423" s="9">
        <v>0</v>
      </c>
      <c r="H423" s="9">
        <f t="shared" si="23"/>
        <v>0</v>
      </c>
      <c r="I423" s="11">
        <f t="shared" ca="1" si="24"/>
        <v>46119</v>
      </c>
      <c r="J423" s="11">
        <f t="shared" ca="1" si="19"/>
        <v>46118</v>
      </c>
      <c r="K423" s="13"/>
    </row>
    <row r="424" spans="1:11" ht="18" hidden="1" x14ac:dyDescent="0.4">
      <c r="A424" s="7" t="s">
        <v>719</v>
      </c>
      <c r="B424" s="7" t="s">
        <v>396</v>
      </c>
      <c r="C424" s="8">
        <v>10675</v>
      </c>
      <c r="D424" s="9">
        <v>552678530</v>
      </c>
      <c r="E424" s="57">
        <v>3600</v>
      </c>
      <c r="F424" s="10" t="s">
        <v>397</v>
      </c>
      <c r="G424" s="9">
        <v>0</v>
      </c>
      <c r="H424" s="9">
        <f t="shared" si="23"/>
        <v>0</v>
      </c>
      <c r="I424" s="11">
        <f t="shared" ca="1" si="24"/>
        <v>46119</v>
      </c>
      <c r="J424" s="11">
        <f t="shared" ca="1" si="19"/>
        <v>46118</v>
      </c>
      <c r="K424" s="13"/>
    </row>
    <row r="425" spans="1:11" ht="18" hidden="1" x14ac:dyDescent="0.4">
      <c r="A425" s="7" t="s">
        <v>719</v>
      </c>
      <c r="B425" s="7" t="s">
        <v>396</v>
      </c>
      <c r="C425" s="8">
        <v>10675</v>
      </c>
      <c r="D425" s="9">
        <v>552755990</v>
      </c>
      <c r="E425" s="57">
        <v>7200</v>
      </c>
      <c r="F425" s="10" t="s">
        <v>398</v>
      </c>
      <c r="G425" s="9">
        <v>0</v>
      </c>
      <c r="H425" s="9">
        <f t="shared" si="23"/>
        <v>0</v>
      </c>
      <c r="I425" s="11">
        <f t="shared" ca="1" si="24"/>
        <v>46119</v>
      </c>
      <c r="J425" s="11">
        <f t="shared" ca="1" si="19"/>
        <v>46118</v>
      </c>
      <c r="K425" s="13"/>
    </row>
    <row r="426" spans="1:11" ht="18" hidden="1" x14ac:dyDescent="0.4">
      <c r="A426" s="7" t="s">
        <v>719</v>
      </c>
      <c r="B426" s="7" t="s">
        <v>399</v>
      </c>
      <c r="C426" s="8">
        <v>32572</v>
      </c>
      <c r="D426" s="9">
        <v>552679980</v>
      </c>
      <c r="E426" s="57">
        <v>720</v>
      </c>
      <c r="F426" s="10" t="s">
        <v>400</v>
      </c>
      <c r="G426" s="9">
        <v>0</v>
      </c>
      <c r="H426" s="9">
        <f t="shared" si="23"/>
        <v>0</v>
      </c>
      <c r="I426" s="11">
        <f t="shared" ca="1" si="24"/>
        <v>46119</v>
      </c>
      <c r="J426" s="11">
        <f t="shared" ca="1" si="19"/>
        <v>46118</v>
      </c>
      <c r="K426" s="13"/>
    </row>
    <row r="427" spans="1:11" ht="18" hidden="1" x14ac:dyDescent="0.4">
      <c r="A427" s="7" t="s">
        <v>719</v>
      </c>
      <c r="B427" s="7" t="s">
        <v>401</v>
      </c>
      <c r="C427" s="8">
        <v>31610</v>
      </c>
      <c r="D427" s="9">
        <v>552681700</v>
      </c>
      <c r="E427" s="57">
        <v>420</v>
      </c>
      <c r="F427" s="10" t="s">
        <v>402</v>
      </c>
      <c r="G427" s="9">
        <v>0</v>
      </c>
      <c r="H427" s="9">
        <f t="shared" si="23"/>
        <v>0</v>
      </c>
      <c r="I427" s="11">
        <f t="shared" ca="1" si="24"/>
        <v>46119</v>
      </c>
      <c r="J427" s="11">
        <f t="shared" ca="1" si="19"/>
        <v>46118</v>
      </c>
      <c r="K427" s="13"/>
    </row>
    <row r="428" spans="1:11" ht="18" hidden="1" x14ac:dyDescent="0.4">
      <c r="A428" s="7" t="s">
        <v>719</v>
      </c>
      <c r="B428" s="7" t="s">
        <v>401</v>
      </c>
      <c r="C428" s="8">
        <v>31610</v>
      </c>
      <c r="D428" s="9">
        <v>552678490</v>
      </c>
      <c r="E428" s="57">
        <v>520</v>
      </c>
      <c r="F428" s="10" t="s">
        <v>402</v>
      </c>
      <c r="G428" s="9">
        <v>0</v>
      </c>
      <c r="H428" s="9">
        <f t="shared" si="23"/>
        <v>0</v>
      </c>
      <c r="I428" s="11">
        <f t="shared" ca="1" si="24"/>
        <v>46119</v>
      </c>
      <c r="J428" s="11">
        <f t="shared" ca="1" si="19"/>
        <v>46118</v>
      </c>
      <c r="K428" s="13"/>
    </row>
    <row r="429" spans="1:11" ht="18" hidden="1" x14ac:dyDescent="0.4">
      <c r="A429" s="7" t="s">
        <v>719</v>
      </c>
      <c r="B429" s="7" t="s">
        <v>403</v>
      </c>
      <c r="C429" s="8">
        <v>34836</v>
      </c>
      <c r="D429" s="9">
        <v>552793140</v>
      </c>
      <c r="E429" s="57">
        <v>720</v>
      </c>
      <c r="F429" s="10" t="s">
        <v>404</v>
      </c>
      <c r="G429" s="9">
        <v>0</v>
      </c>
      <c r="H429" s="9">
        <f t="shared" si="23"/>
        <v>0</v>
      </c>
      <c r="I429" s="11">
        <f t="shared" ca="1" si="24"/>
        <v>46119</v>
      </c>
      <c r="J429" s="11">
        <f t="shared" ca="1" si="19"/>
        <v>46118</v>
      </c>
      <c r="K429" s="13"/>
    </row>
    <row r="430" spans="1:11" ht="18" hidden="1" x14ac:dyDescent="0.4">
      <c r="A430" s="7" t="s">
        <v>719</v>
      </c>
      <c r="B430" s="7" t="s">
        <v>403</v>
      </c>
      <c r="C430" s="8">
        <v>34836</v>
      </c>
      <c r="D430" s="9">
        <v>552793150</v>
      </c>
      <c r="E430" s="57">
        <v>720</v>
      </c>
      <c r="F430" s="10" t="s">
        <v>405</v>
      </c>
      <c r="G430" s="9">
        <v>0</v>
      </c>
      <c r="H430" s="9">
        <f t="shared" si="23"/>
        <v>0</v>
      </c>
      <c r="I430" s="11">
        <f ca="1">I420</f>
        <v>46119</v>
      </c>
      <c r="J430" s="11">
        <f t="shared" ca="1" si="19"/>
        <v>46118</v>
      </c>
      <c r="K430" s="13"/>
    </row>
    <row r="431" spans="1:11" ht="18" hidden="1" x14ac:dyDescent="0.4">
      <c r="A431" s="7" t="s">
        <v>719</v>
      </c>
      <c r="B431" s="7" t="s">
        <v>403</v>
      </c>
      <c r="C431" s="8">
        <v>34836</v>
      </c>
      <c r="D431" s="9">
        <v>552793160</v>
      </c>
      <c r="E431" s="57">
        <v>720</v>
      </c>
      <c r="F431" s="10" t="s">
        <v>406</v>
      </c>
      <c r="G431" s="9">
        <v>0</v>
      </c>
      <c r="H431" s="9">
        <f t="shared" si="23"/>
        <v>0</v>
      </c>
      <c r="I431" s="11">
        <f t="shared" ca="1" si="24"/>
        <v>46119</v>
      </c>
      <c r="J431" s="11">
        <f t="shared" ca="1" si="19"/>
        <v>46118</v>
      </c>
      <c r="K431" s="13"/>
    </row>
    <row r="432" spans="1:11" ht="18" hidden="1" x14ac:dyDescent="0.4">
      <c r="A432" s="7" t="s">
        <v>719</v>
      </c>
      <c r="B432" s="7" t="s">
        <v>403</v>
      </c>
      <c r="C432" s="8">
        <v>34836</v>
      </c>
      <c r="D432" s="9">
        <v>552677750</v>
      </c>
      <c r="E432" s="57">
        <v>480</v>
      </c>
      <c r="F432" s="10" t="s">
        <v>144</v>
      </c>
      <c r="G432" s="9">
        <v>0</v>
      </c>
      <c r="H432" s="9">
        <f t="shared" si="23"/>
        <v>0</v>
      </c>
      <c r="I432" s="11">
        <f t="shared" ca="1" si="24"/>
        <v>46119</v>
      </c>
      <c r="J432" s="11">
        <f t="shared" ca="1" si="19"/>
        <v>46118</v>
      </c>
      <c r="K432" s="13"/>
    </row>
    <row r="433" spans="1:11" ht="18" hidden="1" x14ac:dyDescent="0.4">
      <c r="A433" s="7" t="s">
        <v>719</v>
      </c>
      <c r="B433" s="7" t="s">
        <v>403</v>
      </c>
      <c r="C433" s="8">
        <v>34836</v>
      </c>
      <c r="D433" s="9">
        <v>552677760</v>
      </c>
      <c r="E433" s="57">
        <v>480</v>
      </c>
      <c r="F433" s="10" t="s">
        <v>145</v>
      </c>
      <c r="G433" s="9">
        <v>0</v>
      </c>
      <c r="H433" s="9">
        <f t="shared" si="23"/>
        <v>0</v>
      </c>
      <c r="I433" s="11">
        <f t="shared" ca="1" si="24"/>
        <v>46119</v>
      </c>
      <c r="J433" s="11">
        <f t="shared" ca="1" si="19"/>
        <v>46118</v>
      </c>
      <c r="K433" s="13"/>
    </row>
    <row r="434" spans="1:11" ht="18" hidden="1" x14ac:dyDescent="0.4">
      <c r="A434" s="7" t="s">
        <v>719</v>
      </c>
      <c r="B434" s="7" t="s">
        <v>403</v>
      </c>
      <c r="C434" s="8">
        <v>34836</v>
      </c>
      <c r="D434" s="9">
        <v>552677770</v>
      </c>
      <c r="E434" s="57">
        <v>480</v>
      </c>
      <c r="F434" s="10" t="s">
        <v>146</v>
      </c>
      <c r="G434" s="9">
        <v>0</v>
      </c>
      <c r="H434" s="9">
        <f t="shared" ref="H434:H494" si="25">G434/E434</f>
        <v>0</v>
      </c>
      <c r="I434" s="11">
        <f t="shared" ca="1" si="24"/>
        <v>46119</v>
      </c>
      <c r="J434" s="11">
        <f t="shared" ca="1" si="19"/>
        <v>46118</v>
      </c>
      <c r="K434" s="13"/>
    </row>
    <row r="435" spans="1:11" ht="18" hidden="1" x14ac:dyDescent="0.4">
      <c r="A435" s="7" t="s">
        <v>719</v>
      </c>
      <c r="B435" s="7" t="s">
        <v>403</v>
      </c>
      <c r="C435" s="8">
        <v>34836</v>
      </c>
      <c r="D435" s="9">
        <v>552677810</v>
      </c>
      <c r="E435" s="57">
        <v>480</v>
      </c>
      <c r="F435" s="10" t="s">
        <v>147</v>
      </c>
      <c r="G435" s="9">
        <v>0</v>
      </c>
      <c r="H435" s="9">
        <f t="shared" si="25"/>
        <v>0</v>
      </c>
      <c r="I435" s="11">
        <f t="shared" ca="1" si="24"/>
        <v>46119</v>
      </c>
      <c r="J435" s="11">
        <f t="shared" ca="1" si="19"/>
        <v>46118</v>
      </c>
      <c r="K435" s="13"/>
    </row>
    <row r="436" spans="1:11" ht="18" hidden="1" x14ac:dyDescent="0.4">
      <c r="A436" s="7" t="s">
        <v>719</v>
      </c>
      <c r="B436" s="7" t="s">
        <v>403</v>
      </c>
      <c r="C436" s="8">
        <v>34836</v>
      </c>
      <c r="D436" s="9">
        <v>552677820</v>
      </c>
      <c r="E436" s="57">
        <v>480</v>
      </c>
      <c r="F436" s="10" t="s">
        <v>148</v>
      </c>
      <c r="G436" s="9">
        <v>0</v>
      </c>
      <c r="H436" s="9">
        <f t="shared" si="25"/>
        <v>0</v>
      </c>
      <c r="I436" s="11">
        <f t="shared" ca="1" si="24"/>
        <v>46119</v>
      </c>
      <c r="J436" s="11">
        <f t="shared" ca="1" si="19"/>
        <v>46118</v>
      </c>
      <c r="K436" s="13"/>
    </row>
    <row r="437" spans="1:11" ht="18" hidden="1" x14ac:dyDescent="0.4">
      <c r="A437" s="7" t="s">
        <v>719</v>
      </c>
      <c r="B437" s="7" t="s">
        <v>403</v>
      </c>
      <c r="C437" s="8">
        <v>34836</v>
      </c>
      <c r="D437" s="9">
        <v>552677830</v>
      </c>
      <c r="E437" s="57">
        <v>480</v>
      </c>
      <c r="F437" s="10" t="s">
        <v>149</v>
      </c>
      <c r="G437" s="9">
        <v>0</v>
      </c>
      <c r="H437" s="9">
        <f t="shared" si="25"/>
        <v>0</v>
      </c>
      <c r="I437" s="11">
        <f t="shared" ca="1" si="24"/>
        <v>46119</v>
      </c>
      <c r="J437" s="11">
        <f t="shared" ca="1" si="19"/>
        <v>46118</v>
      </c>
      <c r="K437" s="13"/>
    </row>
    <row r="438" spans="1:11" ht="18" hidden="1" x14ac:dyDescent="0.4">
      <c r="A438" s="7" t="s">
        <v>719</v>
      </c>
      <c r="B438" s="7" t="s">
        <v>403</v>
      </c>
      <c r="C438" s="8">
        <v>34836</v>
      </c>
      <c r="D438" s="9">
        <v>552679480</v>
      </c>
      <c r="E438" s="57">
        <v>600</v>
      </c>
      <c r="F438" s="10" t="s">
        <v>407</v>
      </c>
      <c r="G438" s="9">
        <v>0</v>
      </c>
      <c r="H438" s="9">
        <f t="shared" si="25"/>
        <v>0</v>
      </c>
      <c r="I438" s="11">
        <f t="shared" ca="1" si="24"/>
        <v>46119</v>
      </c>
      <c r="J438" s="11">
        <f t="shared" ca="1" si="19"/>
        <v>46118</v>
      </c>
      <c r="K438" s="13"/>
    </row>
    <row r="439" spans="1:11" ht="18" hidden="1" x14ac:dyDescent="0.4">
      <c r="A439" s="7" t="s">
        <v>719</v>
      </c>
      <c r="B439" s="7" t="s">
        <v>403</v>
      </c>
      <c r="C439" s="8">
        <v>34836</v>
      </c>
      <c r="D439" s="9">
        <v>552679440</v>
      </c>
      <c r="E439" s="57">
        <v>550</v>
      </c>
      <c r="F439" s="10" t="s">
        <v>408</v>
      </c>
      <c r="G439" s="9">
        <v>0</v>
      </c>
      <c r="H439" s="9">
        <f t="shared" si="25"/>
        <v>0</v>
      </c>
      <c r="I439" s="11">
        <f t="shared" ca="1" si="24"/>
        <v>46119</v>
      </c>
      <c r="J439" s="11">
        <f t="shared" ca="1" si="19"/>
        <v>46118</v>
      </c>
      <c r="K439" s="13"/>
    </row>
    <row r="440" spans="1:11" ht="18" hidden="1" x14ac:dyDescent="0.4">
      <c r="A440" s="7" t="s">
        <v>719</v>
      </c>
      <c r="B440" s="7" t="s">
        <v>403</v>
      </c>
      <c r="C440" s="8">
        <v>34836</v>
      </c>
      <c r="D440" s="9">
        <v>552786650</v>
      </c>
      <c r="E440" s="57">
        <v>180</v>
      </c>
      <c r="F440" s="10" t="s">
        <v>409</v>
      </c>
      <c r="G440" s="9">
        <v>0</v>
      </c>
      <c r="H440" s="9">
        <f t="shared" si="25"/>
        <v>0</v>
      </c>
      <c r="I440" s="11">
        <f t="shared" ref="I440:I499" ca="1" si="26">I439</f>
        <v>46119</v>
      </c>
      <c r="J440" s="11">
        <f t="shared" ca="1" si="19"/>
        <v>46118</v>
      </c>
      <c r="K440" s="13"/>
    </row>
    <row r="441" spans="1:11" ht="18" hidden="1" x14ac:dyDescent="0.4">
      <c r="A441" s="7" t="s">
        <v>719</v>
      </c>
      <c r="B441" s="7" t="s">
        <v>410</v>
      </c>
      <c r="C441" s="8">
        <v>28824</v>
      </c>
      <c r="D441" s="9">
        <v>552681400</v>
      </c>
      <c r="E441" s="57">
        <v>336</v>
      </c>
      <c r="F441" s="10" t="s">
        <v>411</v>
      </c>
      <c r="G441" s="9">
        <v>0</v>
      </c>
      <c r="H441" s="9">
        <f t="shared" si="25"/>
        <v>0</v>
      </c>
      <c r="I441" s="11">
        <f t="shared" ca="1" si="26"/>
        <v>46119</v>
      </c>
      <c r="J441" s="11">
        <f t="shared" ca="1" si="19"/>
        <v>46118</v>
      </c>
      <c r="K441" s="13"/>
    </row>
    <row r="442" spans="1:11" ht="18" hidden="1" x14ac:dyDescent="0.4">
      <c r="A442" s="7" t="s">
        <v>719</v>
      </c>
      <c r="B442" s="7" t="s">
        <v>410</v>
      </c>
      <c r="C442" s="8">
        <v>28824</v>
      </c>
      <c r="D442" s="9">
        <v>552679510</v>
      </c>
      <c r="E442" s="57">
        <v>336</v>
      </c>
      <c r="F442" s="10" t="s">
        <v>411</v>
      </c>
      <c r="G442" s="9">
        <v>0</v>
      </c>
      <c r="H442" s="9">
        <f t="shared" si="25"/>
        <v>0</v>
      </c>
      <c r="I442" s="11">
        <f t="shared" ca="1" si="26"/>
        <v>46119</v>
      </c>
      <c r="J442" s="11">
        <f t="shared" ca="1" si="19"/>
        <v>46118</v>
      </c>
      <c r="K442" s="13"/>
    </row>
    <row r="443" spans="1:11" ht="18" hidden="1" x14ac:dyDescent="0.4">
      <c r="A443" s="7" t="s">
        <v>719</v>
      </c>
      <c r="B443" s="7" t="s">
        <v>412</v>
      </c>
      <c r="C443" s="8">
        <v>11431</v>
      </c>
      <c r="D443" s="9">
        <v>463365360</v>
      </c>
      <c r="E443" s="57">
        <v>1000</v>
      </c>
      <c r="F443" s="10" t="s">
        <v>413</v>
      </c>
      <c r="G443" s="9">
        <v>0</v>
      </c>
      <c r="H443" s="9">
        <f t="shared" si="25"/>
        <v>0</v>
      </c>
      <c r="I443" s="11">
        <f t="shared" ca="1" si="26"/>
        <v>46119</v>
      </c>
      <c r="J443" s="11">
        <f t="shared" ca="1" si="19"/>
        <v>46118</v>
      </c>
      <c r="K443" s="13"/>
    </row>
    <row r="444" spans="1:11" ht="18" hidden="1" x14ac:dyDescent="0.4">
      <c r="A444" s="7" t="s">
        <v>719</v>
      </c>
      <c r="B444" s="7" t="s">
        <v>412</v>
      </c>
      <c r="C444" s="8">
        <v>11431</v>
      </c>
      <c r="D444" s="9">
        <v>463411530</v>
      </c>
      <c r="E444" s="57">
        <v>500</v>
      </c>
      <c r="F444" s="10" t="s">
        <v>413</v>
      </c>
      <c r="G444" s="9">
        <v>0</v>
      </c>
      <c r="H444" s="9">
        <f t="shared" si="25"/>
        <v>0</v>
      </c>
      <c r="I444" s="11">
        <f t="shared" ca="1" si="26"/>
        <v>46119</v>
      </c>
      <c r="J444" s="11">
        <f t="shared" ca="1" si="19"/>
        <v>46118</v>
      </c>
      <c r="K444" s="13"/>
    </row>
    <row r="445" spans="1:11" ht="18" hidden="1" x14ac:dyDescent="0.4">
      <c r="A445" s="7" t="s">
        <v>719</v>
      </c>
      <c r="B445" s="7" t="s">
        <v>414</v>
      </c>
      <c r="C445" s="8">
        <v>21570</v>
      </c>
      <c r="D445" s="9">
        <v>552754290</v>
      </c>
      <c r="E445" s="57">
        <v>800</v>
      </c>
      <c r="F445" s="10" t="s">
        <v>415</v>
      </c>
      <c r="G445" s="9">
        <v>0</v>
      </c>
      <c r="H445" s="9">
        <f t="shared" si="25"/>
        <v>0</v>
      </c>
      <c r="I445" s="11">
        <f t="shared" ca="1" si="26"/>
        <v>46119</v>
      </c>
      <c r="J445" s="11">
        <f t="shared" ca="1" si="19"/>
        <v>46118</v>
      </c>
      <c r="K445" s="13"/>
    </row>
    <row r="446" spans="1:11" ht="18" hidden="1" x14ac:dyDescent="0.4">
      <c r="A446" s="7" t="s">
        <v>719</v>
      </c>
      <c r="B446" s="7" t="s">
        <v>414</v>
      </c>
      <c r="C446" s="8">
        <v>21570</v>
      </c>
      <c r="D446" s="9">
        <v>552682660</v>
      </c>
      <c r="E446" s="57">
        <v>1800</v>
      </c>
      <c r="F446" s="10" t="s">
        <v>416</v>
      </c>
      <c r="G446" s="9">
        <v>0</v>
      </c>
      <c r="H446" s="9">
        <f t="shared" si="25"/>
        <v>0</v>
      </c>
      <c r="I446" s="11">
        <f t="shared" ca="1" si="26"/>
        <v>46119</v>
      </c>
      <c r="J446" s="11">
        <f t="shared" ca="1" si="19"/>
        <v>46118</v>
      </c>
      <c r="K446" s="13"/>
    </row>
    <row r="447" spans="1:11" ht="18" hidden="1" x14ac:dyDescent="0.4">
      <c r="A447" s="7" t="s">
        <v>719</v>
      </c>
      <c r="B447" s="7" t="s">
        <v>417</v>
      </c>
      <c r="C447" s="8">
        <v>23480</v>
      </c>
      <c r="D447" s="9">
        <v>552677420</v>
      </c>
      <c r="E447" s="57">
        <v>2475</v>
      </c>
      <c r="F447" s="10" t="s">
        <v>418</v>
      </c>
      <c r="G447" s="9">
        <v>0</v>
      </c>
      <c r="H447" s="9">
        <f t="shared" si="25"/>
        <v>0</v>
      </c>
      <c r="I447" s="11">
        <f t="shared" ca="1" si="26"/>
        <v>46119</v>
      </c>
      <c r="J447" s="11">
        <f t="shared" ca="1" si="19"/>
        <v>46118</v>
      </c>
      <c r="K447" s="13"/>
    </row>
    <row r="448" spans="1:11" ht="18" hidden="1" x14ac:dyDescent="0.4">
      <c r="A448" s="7" t="s">
        <v>719</v>
      </c>
      <c r="B448" s="7" t="s">
        <v>417</v>
      </c>
      <c r="C448" s="8">
        <v>23480</v>
      </c>
      <c r="D448" s="9">
        <v>144576800</v>
      </c>
      <c r="E448" s="57">
        <v>1000</v>
      </c>
      <c r="F448" s="10" t="s">
        <v>419</v>
      </c>
      <c r="G448" s="9">
        <v>0</v>
      </c>
      <c r="H448" s="9">
        <f t="shared" si="25"/>
        <v>0</v>
      </c>
      <c r="I448" s="11">
        <f t="shared" ca="1" si="26"/>
        <v>46119</v>
      </c>
      <c r="J448" s="11">
        <f t="shared" ca="1" si="19"/>
        <v>46118</v>
      </c>
      <c r="K448" s="13"/>
    </row>
    <row r="449" spans="1:11" ht="18" hidden="1" x14ac:dyDescent="0.4">
      <c r="A449" s="7" t="s">
        <v>719</v>
      </c>
      <c r="B449" s="7" t="s">
        <v>417</v>
      </c>
      <c r="C449" s="8">
        <v>23480</v>
      </c>
      <c r="D449" s="9">
        <v>144534810</v>
      </c>
      <c r="E449" s="57">
        <v>4000</v>
      </c>
      <c r="F449" s="10" t="s">
        <v>420</v>
      </c>
      <c r="G449" s="9">
        <v>0</v>
      </c>
      <c r="H449" s="9">
        <f t="shared" si="25"/>
        <v>0</v>
      </c>
      <c r="I449" s="11">
        <f t="shared" ca="1" si="26"/>
        <v>46119</v>
      </c>
      <c r="J449" s="11">
        <f t="shared" ca="1" si="19"/>
        <v>46118</v>
      </c>
      <c r="K449" s="13"/>
    </row>
    <row r="450" spans="1:11" ht="18" x14ac:dyDescent="0.4">
      <c r="A450" s="7" t="s">
        <v>719</v>
      </c>
      <c r="B450" s="7" t="s">
        <v>421</v>
      </c>
      <c r="C450" s="8">
        <v>23481</v>
      </c>
      <c r="D450" s="9">
        <v>463411500</v>
      </c>
      <c r="E450" s="57">
        <v>1200</v>
      </c>
      <c r="F450" s="10" t="s">
        <v>224</v>
      </c>
      <c r="G450" s="9">
        <v>0</v>
      </c>
      <c r="H450" s="9">
        <f t="shared" si="25"/>
        <v>0</v>
      </c>
      <c r="I450" s="11">
        <f t="shared" ca="1" si="26"/>
        <v>46119</v>
      </c>
      <c r="J450" s="11">
        <f t="shared" ca="1" si="19"/>
        <v>46118</v>
      </c>
      <c r="K450" s="13"/>
    </row>
    <row r="451" spans="1:11" ht="18" hidden="1" x14ac:dyDescent="0.4">
      <c r="A451" s="7" t="s">
        <v>719</v>
      </c>
      <c r="B451" s="7" t="s">
        <v>422</v>
      </c>
      <c r="C451" s="8">
        <v>21342</v>
      </c>
      <c r="D451" s="9">
        <v>463509950</v>
      </c>
      <c r="E451" s="57">
        <v>30</v>
      </c>
      <c r="F451" s="10" t="s">
        <v>423</v>
      </c>
      <c r="G451" s="9">
        <v>300</v>
      </c>
      <c r="H451" s="9">
        <f t="shared" si="25"/>
        <v>10</v>
      </c>
      <c r="I451" s="11">
        <f t="shared" ca="1" si="26"/>
        <v>46119</v>
      </c>
      <c r="J451" s="11">
        <f t="shared" ca="1" si="19"/>
        <v>46118</v>
      </c>
      <c r="K451" s="13"/>
    </row>
    <row r="452" spans="1:11" ht="18" hidden="1" x14ac:dyDescent="0.4">
      <c r="A452" s="7" t="s">
        <v>719</v>
      </c>
      <c r="B452" s="7" t="s">
        <v>422</v>
      </c>
      <c r="C452" s="8">
        <v>21342</v>
      </c>
      <c r="D452" s="9">
        <v>463509960</v>
      </c>
      <c r="E452" s="57">
        <v>300</v>
      </c>
      <c r="F452" s="10" t="s">
        <v>424</v>
      </c>
      <c r="G452" s="9">
        <v>300</v>
      </c>
      <c r="H452" s="9">
        <f t="shared" si="25"/>
        <v>1</v>
      </c>
      <c r="I452" s="11">
        <f t="shared" ca="1" si="26"/>
        <v>46119</v>
      </c>
      <c r="J452" s="11">
        <f t="shared" ca="1" si="19"/>
        <v>46118</v>
      </c>
      <c r="K452" s="13"/>
    </row>
    <row r="453" spans="1:11" ht="18" hidden="1" x14ac:dyDescent="0.4">
      <c r="A453" s="7" t="s">
        <v>719</v>
      </c>
      <c r="B453" s="7" t="s">
        <v>422</v>
      </c>
      <c r="C453" s="8">
        <v>21342</v>
      </c>
      <c r="D453" s="9">
        <v>463462820</v>
      </c>
      <c r="E453" s="57">
        <v>480</v>
      </c>
      <c r="F453" s="10" t="s">
        <v>425</v>
      </c>
      <c r="G453" s="9">
        <v>960</v>
      </c>
      <c r="H453" s="9">
        <f t="shared" si="25"/>
        <v>2</v>
      </c>
      <c r="I453" s="11">
        <f t="shared" ca="1" si="26"/>
        <v>46119</v>
      </c>
      <c r="J453" s="11">
        <f t="shared" ca="1" si="19"/>
        <v>46118</v>
      </c>
      <c r="K453" s="13"/>
    </row>
    <row r="454" spans="1:11" ht="18" hidden="1" x14ac:dyDescent="0.4">
      <c r="A454" s="7" t="s">
        <v>719</v>
      </c>
      <c r="B454" s="7" t="s">
        <v>422</v>
      </c>
      <c r="C454" s="8">
        <v>21342</v>
      </c>
      <c r="D454" s="9">
        <v>463462910</v>
      </c>
      <c r="E454" s="57">
        <v>420</v>
      </c>
      <c r="F454" s="10" t="s">
        <v>426</v>
      </c>
      <c r="G454" s="9">
        <v>1260</v>
      </c>
      <c r="H454" s="9">
        <f t="shared" si="25"/>
        <v>3</v>
      </c>
      <c r="I454" s="11">
        <f t="shared" ca="1" si="26"/>
        <v>46119</v>
      </c>
      <c r="J454" s="11">
        <f t="shared" ca="1" si="19"/>
        <v>46118</v>
      </c>
      <c r="K454" s="13"/>
    </row>
    <row r="455" spans="1:11" ht="18" hidden="1" x14ac:dyDescent="0.4">
      <c r="A455" s="7" t="s">
        <v>719</v>
      </c>
      <c r="B455" s="7" t="s">
        <v>427</v>
      </c>
      <c r="C455" s="8">
        <v>14837</v>
      </c>
      <c r="D455" s="9">
        <v>552796450</v>
      </c>
      <c r="E455" s="57">
        <v>30</v>
      </c>
      <c r="F455" s="10" t="s">
        <v>428</v>
      </c>
      <c r="G455" s="9">
        <v>0</v>
      </c>
      <c r="H455" s="9">
        <f t="shared" si="25"/>
        <v>0</v>
      </c>
      <c r="I455" s="11">
        <f t="shared" ca="1" si="26"/>
        <v>46119</v>
      </c>
      <c r="J455" s="11">
        <f t="shared" ca="1" si="19"/>
        <v>46118</v>
      </c>
      <c r="K455" s="13"/>
    </row>
    <row r="456" spans="1:11" ht="18" hidden="1" x14ac:dyDescent="0.4">
      <c r="A456" s="7" t="s">
        <v>719</v>
      </c>
      <c r="B456" s="7" t="s">
        <v>427</v>
      </c>
      <c r="C456" s="8">
        <v>14837</v>
      </c>
      <c r="D456" s="9">
        <v>463508220</v>
      </c>
      <c r="E456" s="57">
        <v>30</v>
      </c>
      <c r="F456" s="10" t="s">
        <v>428</v>
      </c>
      <c r="G456" s="9">
        <v>0</v>
      </c>
      <c r="H456" s="9">
        <f t="shared" si="25"/>
        <v>0</v>
      </c>
      <c r="I456" s="11">
        <f t="shared" ca="1" si="26"/>
        <v>46119</v>
      </c>
      <c r="J456" s="11">
        <f t="shared" ca="1" si="19"/>
        <v>46118</v>
      </c>
      <c r="K456" s="13"/>
    </row>
    <row r="457" spans="1:11" ht="18" hidden="1" x14ac:dyDescent="0.4">
      <c r="A457" s="7" t="s">
        <v>719</v>
      </c>
      <c r="B457" s="7" t="s">
        <v>429</v>
      </c>
      <c r="C457" s="8">
        <v>1097</v>
      </c>
      <c r="D457" s="9">
        <v>463550730</v>
      </c>
      <c r="E457" s="57">
        <v>24</v>
      </c>
      <c r="F457" s="10" t="s">
        <v>430</v>
      </c>
      <c r="G457" s="9">
        <v>240</v>
      </c>
      <c r="H457" s="9">
        <f t="shared" si="25"/>
        <v>10</v>
      </c>
      <c r="I457" s="11">
        <f t="shared" ca="1" si="26"/>
        <v>46119</v>
      </c>
      <c r="J457" s="11">
        <f t="shared" ca="1" si="19"/>
        <v>46118</v>
      </c>
      <c r="K457" s="13"/>
    </row>
    <row r="458" spans="1:11" ht="18" hidden="1" x14ac:dyDescent="0.4">
      <c r="A458" s="7" t="s">
        <v>719</v>
      </c>
      <c r="B458" s="7" t="s">
        <v>429</v>
      </c>
      <c r="C458" s="8">
        <v>1097</v>
      </c>
      <c r="D458" s="9">
        <v>463443560</v>
      </c>
      <c r="E458" s="57">
        <v>24</v>
      </c>
      <c r="F458" s="10" t="s">
        <v>431</v>
      </c>
      <c r="G458" s="9">
        <v>0</v>
      </c>
      <c r="H458" s="9">
        <f t="shared" si="25"/>
        <v>0</v>
      </c>
      <c r="I458" s="11">
        <f t="shared" ca="1" si="26"/>
        <v>46119</v>
      </c>
      <c r="J458" s="11">
        <f t="shared" ca="1" si="19"/>
        <v>46118</v>
      </c>
      <c r="K458" s="13"/>
    </row>
    <row r="459" spans="1:11" ht="18" hidden="1" x14ac:dyDescent="0.4">
      <c r="A459" s="7" t="s">
        <v>719</v>
      </c>
      <c r="B459" s="7" t="s">
        <v>429</v>
      </c>
      <c r="C459" s="8">
        <v>1097</v>
      </c>
      <c r="D459" s="9">
        <v>463555740</v>
      </c>
      <c r="E459" s="57">
        <v>24</v>
      </c>
      <c r="F459" s="10" t="s">
        <v>432</v>
      </c>
      <c r="G459" s="9">
        <v>1000</v>
      </c>
      <c r="H459" s="9">
        <f t="shared" si="25"/>
        <v>41.666666666666664</v>
      </c>
      <c r="I459" s="11">
        <f t="shared" ca="1" si="26"/>
        <v>46119</v>
      </c>
      <c r="J459" s="11">
        <f t="shared" ca="1" si="19"/>
        <v>46118</v>
      </c>
      <c r="K459" s="13"/>
    </row>
    <row r="460" spans="1:11" ht="18" hidden="1" x14ac:dyDescent="0.4">
      <c r="A460" s="7" t="s">
        <v>719</v>
      </c>
      <c r="B460" s="7" t="s">
        <v>429</v>
      </c>
      <c r="C460" s="8">
        <v>1097</v>
      </c>
      <c r="D460" s="9">
        <v>463526980</v>
      </c>
      <c r="E460" s="57">
        <v>24</v>
      </c>
      <c r="F460" s="10" t="s">
        <v>433</v>
      </c>
      <c r="G460" s="9">
        <v>0</v>
      </c>
      <c r="H460" s="9">
        <f t="shared" si="25"/>
        <v>0</v>
      </c>
      <c r="I460" s="11">
        <f t="shared" ca="1" si="26"/>
        <v>46119</v>
      </c>
      <c r="J460" s="11">
        <f t="shared" ca="1" si="19"/>
        <v>46118</v>
      </c>
      <c r="K460" s="13"/>
    </row>
    <row r="461" spans="1:11" ht="18" hidden="1" x14ac:dyDescent="0.4">
      <c r="A461" s="7" t="s">
        <v>719</v>
      </c>
      <c r="B461" s="7" t="s">
        <v>434</v>
      </c>
      <c r="C461" s="8">
        <v>51620</v>
      </c>
      <c r="D461" s="9">
        <v>552685780</v>
      </c>
      <c r="E461" s="57">
        <v>840</v>
      </c>
      <c r="F461" s="10" t="s">
        <v>435</v>
      </c>
      <c r="G461" s="9">
        <v>840</v>
      </c>
      <c r="H461" s="9">
        <f t="shared" si="25"/>
        <v>1</v>
      </c>
      <c r="I461" s="11">
        <f t="shared" ca="1" si="26"/>
        <v>46119</v>
      </c>
      <c r="J461" s="11">
        <f t="shared" ca="1" si="19"/>
        <v>46118</v>
      </c>
      <c r="K461" s="13"/>
    </row>
    <row r="462" spans="1:11" ht="18" hidden="1" x14ac:dyDescent="0.4">
      <c r="A462" s="7" t="s">
        <v>719</v>
      </c>
      <c r="B462" s="7" t="s">
        <v>434</v>
      </c>
      <c r="C462" s="8">
        <v>51620</v>
      </c>
      <c r="D462" s="9">
        <v>552685800</v>
      </c>
      <c r="E462" s="57">
        <v>1440</v>
      </c>
      <c r="F462" s="10" t="s">
        <v>436</v>
      </c>
      <c r="G462" s="9">
        <v>7200</v>
      </c>
      <c r="H462" s="9">
        <f t="shared" si="25"/>
        <v>5</v>
      </c>
      <c r="I462" s="11">
        <f t="shared" ca="1" si="26"/>
        <v>46119</v>
      </c>
      <c r="J462" s="11">
        <f t="shared" ca="1" si="19"/>
        <v>46118</v>
      </c>
      <c r="K462" s="13"/>
    </row>
    <row r="463" spans="1:11" ht="18" hidden="1" x14ac:dyDescent="0.4">
      <c r="A463" s="7" t="s">
        <v>719</v>
      </c>
      <c r="B463" s="7" t="s">
        <v>434</v>
      </c>
      <c r="C463" s="8">
        <v>51620</v>
      </c>
      <c r="D463" s="9">
        <v>552685820</v>
      </c>
      <c r="E463" s="57">
        <v>840</v>
      </c>
      <c r="F463" s="10" t="s">
        <v>437</v>
      </c>
      <c r="G463" s="9">
        <v>840</v>
      </c>
      <c r="H463" s="9">
        <f t="shared" si="25"/>
        <v>1</v>
      </c>
      <c r="I463" s="11">
        <f t="shared" ca="1" si="26"/>
        <v>46119</v>
      </c>
      <c r="J463" s="11">
        <f t="shared" ca="1" si="19"/>
        <v>46118</v>
      </c>
      <c r="K463" s="13"/>
    </row>
    <row r="464" spans="1:11" ht="18" hidden="1" x14ac:dyDescent="0.4">
      <c r="A464" s="7" t="s">
        <v>719</v>
      </c>
      <c r="B464" s="7" t="s">
        <v>434</v>
      </c>
      <c r="C464" s="8">
        <v>51620</v>
      </c>
      <c r="D464" s="9">
        <v>552820620</v>
      </c>
      <c r="E464" s="57">
        <v>840</v>
      </c>
      <c r="F464" s="10" t="s">
        <v>435</v>
      </c>
      <c r="G464" s="9">
        <v>0</v>
      </c>
      <c r="H464" s="9">
        <f t="shared" si="25"/>
        <v>0</v>
      </c>
      <c r="I464" s="11">
        <f t="shared" ca="1" si="26"/>
        <v>46119</v>
      </c>
      <c r="J464" s="11">
        <f t="shared" ca="1" si="19"/>
        <v>46118</v>
      </c>
      <c r="K464" s="13"/>
    </row>
    <row r="465" spans="1:11" ht="18" hidden="1" x14ac:dyDescent="0.4">
      <c r="A465" s="7" t="s">
        <v>719</v>
      </c>
      <c r="B465" s="7" t="s">
        <v>434</v>
      </c>
      <c r="C465" s="8">
        <v>51620</v>
      </c>
      <c r="D465" s="9">
        <v>552820640</v>
      </c>
      <c r="E465" s="57">
        <v>1440</v>
      </c>
      <c r="F465" s="10" t="s">
        <v>436</v>
      </c>
      <c r="G465" s="9">
        <v>1440</v>
      </c>
      <c r="H465" s="9">
        <f t="shared" si="25"/>
        <v>1</v>
      </c>
      <c r="I465" s="11">
        <f t="shared" ca="1" si="26"/>
        <v>46119</v>
      </c>
      <c r="J465" s="11">
        <f t="shared" ca="1" si="19"/>
        <v>46118</v>
      </c>
      <c r="K465" s="13"/>
    </row>
    <row r="466" spans="1:11" ht="18" hidden="1" x14ac:dyDescent="0.4">
      <c r="A466" s="7" t="s">
        <v>719</v>
      </c>
      <c r="B466" s="7" t="s">
        <v>434</v>
      </c>
      <c r="C466" s="8">
        <v>51620</v>
      </c>
      <c r="D466" s="9">
        <v>552820660</v>
      </c>
      <c r="E466" s="57">
        <v>840</v>
      </c>
      <c r="F466" s="10" t="s">
        <v>437</v>
      </c>
      <c r="G466" s="9">
        <v>0</v>
      </c>
      <c r="H466" s="9">
        <f t="shared" si="25"/>
        <v>0</v>
      </c>
      <c r="I466" s="11">
        <f t="shared" ca="1" si="26"/>
        <v>46119</v>
      </c>
      <c r="J466" s="11">
        <f t="shared" ca="1" si="19"/>
        <v>46118</v>
      </c>
      <c r="K466" s="13"/>
    </row>
    <row r="467" spans="1:11" ht="18" hidden="1" x14ac:dyDescent="0.4">
      <c r="A467" s="7" t="s">
        <v>719</v>
      </c>
      <c r="B467" s="7" t="s">
        <v>434</v>
      </c>
      <c r="C467" s="8">
        <v>51620</v>
      </c>
      <c r="D467" s="9">
        <v>552685720</v>
      </c>
      <c r="E467" s="57">
        <v>4000</v>
      </c>
      <c r="F467" s="10" t="s">
        <v>438</v>
      </c>
      <c r="G467" s="9">
        <v>0</v>
      </c>
      <c r="H467" s="9">
        <f t="shared" si="25"/>
        <v>0</v>
      </c>
      <c r="I467" s="11">
        <f t="shared" ca="1" si="26"/>
        <v>46119</v>
      </c>
      <c r="J467" s="11">
        <f t="shared" ca="1" si="19"/>
        <v>46118</v>
      </c>
      <c r="K467" s="13"/>
    </row>
    <row r="468" spans="1:11" ht="18" hidden="1" x14ac:dyDescent="0.4">
      <c r="A468" s="7" t="s">
        <v>719</v>
      </c>
      <c r="B468" s="7" t="s">
        <v>439</v>
      </c>
      <c r="C468" s="8">
        <v>40840</v>
      </c>
      <c r="D468" s="9">
        <v>552731550</v>
      </c>
      <c r="E468" s="57">
        <v>1000</v>
      </c>
      <c r="F468" s="10" t="s">
        <v>440</v>
      </c>
      <c r="G468" s="9">
        <v>0</v>
      </c>
      <c r="H468" s="9">
        <f t="shared" si="25"/>
        <v>0</v>
      </c>
      <c r="I468" s="11">
        <f t="shared" ca="1" si="26"/>
        <v>46119</v>
      </c>
      <c r="J468" s="11">
        <f t="shared" ca="1" si="19"/>
        <v>46118</v>
      </c>
      <c r="K468" s="13"/>
    </row>
    <row r="469" spans="1:11" ht="36" hidden="1" x14ac:dyDescent="0.4">
      <c r="A469" s="7" t="s">
        <v>719</v>
      </c>
      <c r="B469" s="7" t="s">
        <v>439</v>
      </c>
      <c r="C469" s="8">
        <v>40840</v>
      </c>
      <c r="D469" s="9">
        <v>552716380</v>
      </c>
      <c r="E469" s="57">
        <v>500</v>
      </c>
      <c r="F469" s="37" t="s">
        <v>441</v>
      </c>
      <c r="G469" s="9">
        <v>0</v>
      </c>
      <c r="H469" s="9">
        <f t="shared" si="25"/>
        <v>0</v>
      </c>
      <c r="I469" s="11">
        <f ca="1">I467</f>
        <v>46119</v>
      </c>
      <c r="J469" s="11">
        <f t="shared" ca="1" si="19"/>
        <v>46118</v>
      </c>
      <c r="K469" s="13"/>
    </row>
    <row r="470" spans="1:11" ht="18" hidden="1" x14ac:dyDescent="0.4">
      <c r="A470" s="7" t="s">
        <v>719</v>
      </c>
      <c r="B470" s="7" t="s">
        <v>439</v>
      </c>
      <c r="C470" s="8">
        <v>40840</v>
      </c>
      <c r="D470" s="9">
        <v>552679610</v>
      </c>
      <c r="E470" s="57">
        <v>100</v>
      </c>
      <c r="F470" s="10" t="s">
        <v>442</v>
      </c>
      <c r="G470" s="9">
        <v>0</v>
      </c>
      <c r="H470" s="9">
        <f t="shared" si="25"/>
        <v>0</v>
      </c>
      <c r="I470" s="11">
        <f t="shared" ca="1" si="26"/>
        <v>46119</v>
      </c>
      <c r="J470" s="11">
        <f t="shared" ca="1" si="19"/>
        <v>46118</v>
      </c>
      <c r="K470" s="13"/>
    </row>
    <row r="471" spans="1:11" ht="18" hidden="1" x14ac:dyDescent="0.4">
      <c r="A471" s="7" t="s">
        <v>719</v>
      </c>
      <c r="B471" s="7" t="s">
        <v>439</v>
      </c>
      <c r="C471" s="8">
        <v>40840</v>
      </c>
      <c r="D471" s="9">
        <v>187503240</v>
      </c>
      <c r="E471" s="57">
        <v>1000</v>
      </c>
      <c r="F471" s="10" t="s">
        <v>443</v>
      </c>
      <c r="G471" s="9">
        <v>0</v>
      </c>
      <c r="H471" s="9">
        <f t="shared" si="25"/>
        <v>0</v>
      </c>
      <c r="I471" s="11">
        <f t="shared" ca="1" si="26"/>
        <v>46119</v>
      </c>
      <c r="J471" s="11">
        <f t="shared" ca="1" si="19"/>
        <v>46118</v>
      </c>
      <c r="K471" s="13"/>
    </row>
    <row r="472" spans="1:11" ht="18" hidden="1" x14ac:dyDescent="0.4">
      <c r="A472" s="7" t="s">
        <v>719</v>
      </c>
      <c r="B472" s="7" t="s">
        <v>439</v>
      </c>
      <c r="C472" s="8">
        <v>40840</v>
      </c>
      <c r="D472" s="9">
        <v>162859210</v>
      </c>
      <c r="E472" s="57">
        <v>1000</v>
      </c>
      <c r="F472" s="10" t="s">
        <v>444</v>
      </c>
      <c r="G472" s="9">
        <v>0</v>
      </c>
      <c r="H472" s="9">
        <f t="shared" si="25"/>
        <v>0</v>
      </c>
      <c r="I472" s="11">
        <f t="shared" ca="1" si="26"/>
        <v>46119</v>
      </c>
      <c r="J472" s="11">
        <f t="shared" ca="1" si="19"/>
        <v>46118</v>
      </c>
      <c r="K472" s="13"/>
    </row>
    <row r="473" spans="1:11" ht="18" hidden="1" x14ac:dyDescent="0.4">
      <c r="A473" s="7" t="s">
        <v>719</v>
      </c>
      <c r="B473" s="7" t="s">
        <v>439</v>
      </c>
      <c r="C473" s="8">
        <v>40840</v>
      </c>
      <c r="D473" s="9">
        <v>114843240</v>
      </c>
      <c r="E473" s="57">
        <v>1000</v>
      </c>
      <c r="F473" s="10" t="s">
        <v>445</v>
      </c>
      <c r="G473" s="9">
        <v>0</v>
      </c>
      <c r="H473" s="9">
        <f t="shared" si="25"/>
        <v>0</v>
      </c>
      <c r="I473" s="11">
        <f t="shared" ca="1" si="26"/>
        <v>46119</v>
      </c>
      <c r="J473" s="11">
        <f t="shared" ca="1" si="19"/>
        <v>46118</v>
      </c>
      <c r="K473" s="13"/>
    </row>
    <row r="474" spans="1:11" ht="18" hidden="1" x14ac:dyDescent="0.4">
      <c r="A474" s="7" t="s">
        <v>719</v>
      </c>
      <c r="B474" s="7" t="s">
        <v>446</v>
      </c>
      <c r="C474" s="8">
        <v>50111</v>
      </c>
      <c r="D474" s="9">
        <v>552679380</v>
      </c>
      <c r="E474" s="57">
        <v>5600</v>
      </c>
      <c r="F474" s="10" t="s">
        <v>447</v>
      </c>
      <c r="G474" s="9">
        <v>0</v>
      </c>
      <c r="H474" s="9">
        <f t="shared" si="25"/>
        <v>0</v>
      </c>
      <c r="I474" s="11">
        <f t="shared" ca="1" si="26"/>
        <v>46119</v>
      </c>
      <c r="J474" s="11">
        <f t="shared" ca="1" si="19"/>
        <v>46118</v>
      </c>
      <c r="K474" s="13"/>
    </row>
    <row r="475" spans="1:11" ht="18" hidden="1" x14ac:dyDescent="0.4">
      <c r="A475" s="7" t="s">
        <v>719</v>
      </c>
      <c r="B475" s="7" t="s">
        <v>448</v>
      </c>
      <c r="C475" s="8">
        <v>33518</v>
      </c>
      <c r="D475" s="9">
        <v>552681850</v>
      </c>
      <c r="E475" s="57">
        <v>64</v>
      </c>
      <c r="F475" s="10" t="s">
        <v>449</v>
      </c>
      <c r="G475" s="9">
        <v>0</v>
      </c>
      <c r="H475" s="9">
        <f t="shared" si="25"/>
        <v>0</v>
      </c>
      <c r="I475" s="11">
        <f t="shared" ca="1" si="26"/>
        <v>46119</v>
      </c>
      <c r="J475" s="11">
        <f t="shared" ca="1" si="19"/>
        <v>46118</v>
      </c>
      <c r="K475" s="13"/>
    </row>
    <row r="476" spans="1:11" ht="18" hidden="1" x14ac:dyDescent="0.4">
      <c r="A476" s="7" t="s">
        <v>719</v>
      </c>
      <c r="B476" s="7" t="s">
        <v>448</v>
      </c>
      <c r="C476" s="8">
        <v>33518</v>
      </c>
      <c r="D476" s="9">
        <v>552667970</v>
      </c>
      <c r="E476" s="57">
        <v>96</v>
      </c>
      <c r="F476" s="10" t="s">
        <v>450</v>
      </c>
      <c r="G476" s="9">
        <v>0</v>
      </c>
      <c r="H476" s="9">
        <f t="shared" si="25"/>
        <v>0</v>
      </c>
      <c r="I476" s="11">
        <f t="shared" ca="1" si="26"/>
        <v>46119</v>
      </c>
      <c r="J476" s="11">
        <f t="shared" ca="1" si="19"/>
        <v>46118</v>
      </c>
      <c r="K476" s="13"/>
    </row>
    <row r="477" spans="1:11" ht="18" hidden="1" x14ac:dyDescent="0.4">
      <c r="A477" s="7" t="s">
        <v>719</v>
      </c>
      <c r="B477" s="7" t="s">
        <v>448</v>
      </c>
      <c r="C477" s="8">
        <v>33518</v>
      </c>
      <c r="D477" s="9">
        <v>463411480</v>
      </c>
      <c r="E477" s="57">
        <v>96</v>
      </c>
      <c r="F477" s="10" t="s">
        <v>450</v>
      </c>
      <c r="G477" s="9">
        <v>0</v>
      </c>
      <c r="H477" s="9">
        <f t="shared" si="25"/>
        <v>0</v>
      </c>
      <c r="I477" s="11">
        <f t="shared" ca="1" si="26"/>
        <v>46119</v>
      </c>
      <c r="J477" s="11">
        <f t="shared" ca="1" si="19"/>
        <v>46118</v>
      </c>
      <c r="K477" s="13"/>
    </row>
    <row r="478" spans="1:11" ht="18" hidden="1" x14ac:dyDescent="0.4">
      <c r="A478" s="7" t="s">
        <v>719</v>
      </c>
      <c r="B478" s="7" t="s">
        <v>451</v>
      </c>
      <c r="C478" s="8">
        <v>30467</v>
      </c>
      <c r="D478" s="9">
        <v>552703690</v>
      </c>
      <c r="E478" s="57">
        <v>2000</v>
      </c>
      <c r="F478" s="10" t="s">
        <v>184</v>
      </c>
      <c r="G478" s="9">
        <v>0</v>
      </c>
      <c r="H478" s="9">
        <f t="shared" si="25"/>
        <v>0</v>
      </c>
      <c r="I478" s="11">
        <f t="shared" ca="1" si="26"/>
        <v>46119</v>
      </c>
      <c r="J478" s="11">
        <f t="shared" ca="1" si="19"/>
        <v>46118</v>
      </c>
      <c r="K478" s="13"/>
    </row>
    <row r="479" spans="1:11" ht="18" hidden="1" x14ac:dyDescent="0.4">
      <c r="A479" s="7" t="s">
        <v>719</v>
      </c>
      <c r="B479" s="7" t="s">
        <v>452</v>
      </c>
      <c r="C479" s="8">
        <v>56589</v>
      </c>
      <c r="D479" s="9">
        <v>552681677</v>
      </c>
      <c r="E479" s="57">
        <v>48</v>
      </c>
      <c r="F479" s="10" t="s">
        <v>453</v>
      </c>
      <c r="G479" s="9">
        <v>1920</v>
      </c>
      <c r="H479" s="9">
        <f t="shared" si="25"/>
        <v>40</v>
      </c>
      <c r="I479" s="11">
        <f t="shared" ca="1" si="26"/>
        <v>46119</v>
      </c>
      <c r="J479" s="11">
        <f t="shared" ca="1" si="19"/>
        <v>46118</v>
      </c>
      <c r="K479" s="13"/>
    </row>
    <row r="480" spans="1:11" ht="18" hidden="1" x14ac:dyDescent="0.4">
      <c r="A480" s="7" t="s">
        <v>719</v>
      </c>
      <c r="B480" s="7" t="s">
        <v>452</v>
      </c>
      <c r="C480" s="8">
        <v>56589</v>
      </c>
      <c r="D480" s="9">
        <v>552657037</v>
      </c>
      <c r="E480" s="57">
        <v>48</v>
      </c>
      <c r="F480" s="10" t="s">
        <v>454</v>
      </c>
      <c r="G480" s="9">
        <v>240</v>
      </c>
      <c r="H480" s="9">
        <f t="shared" si="25"/>
        <v>5</v>
      </c>
      <c r="I480" s="11">
        <f t="shared" ca="1" si="26"/>
        <v>46119</v>
      </c>
      <c r="J480" s="11">
        <f t="shared" ca="1" si="19"/>
        <v>46118</v>
      </c>
      <c r="K480" s="13"/>
    </row>
    <row r="481" spans="1:11" ht="18" hidden="1" x14ac:dyDescent="0.4">
      <c r="A481" s="7" t="s">
        <v>719</v>
      </c>
      <c r="B481" s="7" t="s">
        <v>452</v>
      </c>
      <c r="C481" s="8">
        <v>56589</v>
      </c>
      <c r="D481" s="9">
        <v>552681750</v>
      </c>
      <c r="E481" s="57">
        <v>120</v>
      </c>
      <c r="F481" s="10" t="s">
        <v>455</v>
      </c>
      <c r="G481" s="9">
        <v>840</v>
      </c>
      <c r="H481" s="9">
        <f t="shared" si="25"/>
        <v>7</v>
      </c>
      <c r="I481" s="11">
        <f t="shared" ca="1" si="26"/>
        <v>46119</v>
      </c>
      <c r="J481" s="11">
        <f t="shared" ca="1" si="19"/>
        <v>46118</v>
      </c>
      <c r="K481" s="13"/>
    </row>
    <row r="482" spans="1:11" ht="18" hidden="1" x14ac:dyDescent="0.4">
      <c r="A482" s="7" t="s">
        <v>719</v>
      </c>
      <c r="B482" s="7" t="s">
        <v>452</v>
      </c>
      <c r="C482" s="8">
        <v>56589</v>
      </c>
      <c r="D482" s="9">
        <v>552680020</v>
      </c>
      <c r="E482" s="57">
        <v>120</v>
      </c>
      <c r="F482" s="10" t="s">
        <v>456</v>
      </c>
      <c r="G482" s="9">
        <v>480</v>
      </c>
      <c r="H482" s="9">
        <f t="shared" si="25"/>
        <v>4</v>
      </c>
      <c r="I482" s="11">
        <f t="shared" ca="1" si="26"/>
        <v>46119</v>
      </c>
      <c r="J482" s="11">
        <f t="shared" ca="1" si="19"/>
        <v>46118</v>
      </c>
      <c r="K482" s="13"/>
    </row>
    <row r="483" spans="1:11" ht="18" hidden="1" x14ac:dyDescent="0.4">
      <c r="A483" s="7" t="s">
        <v>719</v>
      </c>
      <c r="B483" s="7" t="s">
        <v>457</v>
      </c>
      <c r="C483" s="8">
        <v>35657</v>
      </c>
      <c r="D483" s="9">
        <v>552677430</v>
      </c>
      <c r="E483" s="57">
        <v>6000</v>
      </c>
      <c r="F483" s="10" t="s">
        <v>243</v>
      </c>
      <c r="G483" s="9">
        <v>0</v>
      </c>
      <c r="H483" s="9">
        <f t="shared" si="25"/>
        <v>0</v>
      </c>
      <c r="I483" s="11">
        <f t="shared" ca="1" si="26"/>
        <v>46119</v>
      </c>
      <c r="J483" s="11">
        <f t="shared" ca="1" si="19"/>
        <v>46118</v>
      </c>
      <c r="K483" s="13"/>
    </row>
    <row r="484" spans="1:11" ht="18" hidden="1" x14ac:dyDescent="0.4">
      <c r="A484" s="7" t="s">
        <v>719</v>
      </c>
      <c r="B484" s="7" t="s">
        <v>458</v>
      </c>
      <c r="C484" s="8">
        <v>68265</v>
      </c>
      <c r="D484" s="9">
        <v>463375350</v>
      </c>
      <c r="E484" s="57">
        <v>7200</v>
      </c>
      <c r="F484" s="10" t="s">
        <v>459</v>
      </c>
      <c r="G484" s="9">
        <v>0</v>
      </c>
      <c r="H484" s="9">
        <f t="shared" si="25"/>
        <v>0</v>
      </c>
      <c r="I484" s="11">
        <f t="shared" ca="1" si="26"/>
        <v>46119</v>
      </c>
      <c r="J484" s="11">
        <f t="shared" ca="1" si="19"/>
        <v>46118</v>
      </c>
      <c r="K484" s="13"/>
    </row>
    <row r="485" spans="1:11" ht="18" hidden="1" x14ac:dyDescent="0.4">
      <c r="A485" s="7" t="s">
        <v>719</v>
      </c>
      <c r="B485" s="7" t="s">
        <v>458</v>
      </c>
      <c r="C485" s="8">
        <v>68265</v>
      </c>
      <c r="D485" s="9">
        <v>552679420</v>
      </c>
      <c r="E485" s="57">
        <v>3360</v>
      </c>
      <c r="F485" s="10" t="s">
        <v>460</v>
      </c>
      <c r="G485" s="9">
        <v>0</v>
      </c>
      <c r="H485" s="9">
        <f t="shared" si="25"/>
        <v>0</v>
      </c>
      <c r="I485" s="11">
        <f t="shared" ca="1" si="26"/>
        <v>46119</v>
      </c>
      <c r="J485" s="11">
        <f t="shared" ca="1" si="19"/>
        <v>46118</v>
      </c>
      <c r="K485" s="13"/>
    </row>
    <row r="486" spans="1:11" ht="18" hidden="1" x14ac:dyDescent="0.4">
      <c r="A486" s="7" t="s">
        <v>719</v>
      </c>
      <c r="B486" s="7" t="s">
        <v>458</v>
      </c>
      <c r="C486" s="8">
        <v>68265</v>
      </c>
      <c r="D486" s="9">
        <v>463541260</v>
      </c>
      <c r="E486" s="57">
        <v>120</v>
      </c>
      <c r="F486" s="10" t="s">
        <v>461</v>
      </c>
      <c r="G486" s="9">
        <v>0</v>
      </c>
      <c r="H486" s="9">
        <f t="shared" si="25"/>
        <v>0</v>
      </c>
      <c r="I486" s="11">
        <f t="shared" ca="1" si="26"/>
        <v>46119</v>
      </c>
      <c r="J486" s="11">
        <f t="shared" ca="1" si="19"/>
        <v>46118</v>
      </c>
      <c r="K486" s="13"/>
    </row>
    <row r="487" spans="1:11" ht="18" hidden="1" x14ac:dyDescent="0.4">
      <c r="A487" s="7" t="s">
        <v>719</v>
      </c>
      <c r="B487" s="7" t="s">
        <v>458</v>
      </c>
      <c r="C487" s="8">
        <v>68265</v>
      </c>
      <c r="D487" s="9">
        <v>463541240</v>
      </c>
      <c r="E487" s="57">
        <v>120</v>
      </c>
      <c r="F487" s="10" t="s">
        <v>462</v>
      </c>
      <c r="G487" s="9">
        <v>0</v>
      </c>
      <c r="H487" s="9">
        <f t="shared" si="25"/>
        <v>0</v>
      </c>
      <c r="I487" s="11">
        <f t="shared" ca="1" si="26"/>
        <v>46119</v>
      </c>
      <c r="J487" s="11">
        <f t="shared" ca="1" si="19"/>
        <v>46118</v>
      </c>
      <c r="K487" s="13"/>
    </row>
    <row r="488" spans="1:11" ht="18" hidden="1" x14ac:dyDescent="0.4">
      <c r="A488" s="7" t="s">
        <v>719</v>
      </c>
      <c r="B488" s="7" t="s">
        <v>463</v>
      </c>
      <c r="C488" s="8">
        <v>1020</v>
      </c>
      <c r="D488" s="9">
        <v>552732717</v>
      </c>
      <c r="E488" s="57">
        <v>30</v>
      </c>
      <c r="F488" s="10" t="s">
        <v>464</v>
      </c>
      <c r="G488" s="9">
        <v>600</v>
      </c>
      <c r="H488" s="9">
        <f t="shared" si="25"/>
        <v>20</v>
      </c>
      <c r="I488" s="11">
        <f t="shared" ca="1" si="26"/>
        <v>46119</v>
      </c>
      <c r="J488" s="11">
        <f t="shared" ca="1" si="19"/>
        <v>46118</v>
      </c>
      <c r="K488" s="13"/>
    </row>
    <row r="489" spans="1:11" ht="18" hidden="1" x14ac:dyDescent="0.4">
      <c r="A489" s="7" t="s">
        <v>719</v>
      </c>
      <c r="B489" s="7" t="s">
        <v>463</v>
      </c>
      <c r="C489" s="8">
        <v>1020</v>
      </c>
      <c r="D489" s="9">
        <v>552732747</v>
      </c>
      <c r="E489" s="57">
        <v>30</v>
      </c>
      <c r="F489" s="10" t="s">
        <v>465</v>
      </c>
      <c r="G489" s="9">
        <v>1800</v>
      </c>
      <c r="H489" s="9">
        <f t="shared" si="25"/>
        <v>60</v>
      </c>
      <c r="I489" s="11">
        <f t="shared" ca="1" si="26"/>
        <v>46119</v>
      </c>
      <c r="J489" s="11">
        <f t="shared" ca="1" si="19"/>
        <v>46118</v>
      </c>
      <c r="K489" s="13"/>
    </row>
    <row r="490" spans="1:11" ht="18" hidden="1" x14ac:dyDescent="0.4">
      <c r="A490" s="7" t="s">
        <v>719</v>
      </c>
      <c r="B490" s="7" t="s">
        <v>463</v>
      </c>
      <c r="C490" s="8">
        <v>1020</v>
      </c>
      <c r="D490" s="9">
        <v>552821208</v>
      </c>
      <c r="E490" s="57">
        <v>24</v>
      </c>
      <c r="F490" s="10" t="s">
        <v>466</v>
      </c>
      <c r="G490" s="9">
        <v>0</v>
      </c>
      <c r="H490" s="9">
        <f t="shared" si="25"/>
        <v>0</v>
      </c>
      <c r="I490" s="11">
        <f t="shared" ca="1" si="26"/>
        <v>46119</v>
      </c>
      <c r="J490" s="11">
        <f t="shared" ca="1" si="19"/>
        <v>46118</v>
      </c>
      <c r="K490" s="13"/>
    </row>
    <row r="491" spans="1:11" ht="21" hidden="1" customHeight="1" x14ac:dyDescent="0.4">
      <c r="A491" s="7" t="s">
        <v>719</v>
      </c>
      <c r="B491" s="7" t="s">
        <v>463</v>
      </c>
      <c r="C491" s="8">
        <v>1020</v>
      </c>
      <c r="D491" s="9">
        <v>463404768</v>
      </c>
      <c r="E491" s="57">
        <v>24</v>
      </c>
      <c r="F491" s="10" t="s">
        <v>466</v>
      </c>
      <c r="G491" s="9">
        <v>1800</v>
      </c>
      <c r="H491" s="9">
        <f t="shared" si="25"/>
        <v>75</v>
      </c>
      <c r="I491" s="11">
        <f t="shared" ca="1" si="26"/>
        <v>46119</v>
      </c>
      <c r="J491" s="11">
        <f t="shared" ca="1" si="19"/>
        <v>46118</v>
      </c>
      <c r="K491" s="13"/>
    </row>
    <row r="492" spans="1:11" ht="18" hidden="1" x14ac:dyDescent="0.4">
      <c r="A492" s="7" t="s">
        <v>719</v>
      </c>
      <c r="B492" s="7" t="s">
        <v>463</v>
      </c>
      <c r="C492" s="8">
        <v>1020</v>
      </c>
      <c r="D492" s="9">
        <v>552821178</v>
      </c>
      <c r="E492" s="57">
        <v>24</v>
      </c>
      <c r="F492" s="10" t="s">
        <v>467</v>
      </c>
      <c r="G492" s="9">
        <v>624</v>
      </c>
      <c r="H492" s="9">
        <f t="shared" si="25"/>
        <v>26</v>
      </c>
      <c r="I492" s="11">
        <f t="shared" ca="1" si="26"/>
        <v>46119</v>
      </c>
      <c r="J492" s="11">
        <f t="shared" ca="1" si="19"/>
        <v>46118</v>
      </c>
      <c r="K492" s="13"/>
    </row>
    <row r="493" spans="1:11" ht="25.5" hidden="1" customHeight="1" x14ac:dyDescent="0.4">
      <c r="A493" s="7" t="s">
        <v>719</v>
      </c>
      <c r="B493" s="7" t="s">
        <v>95</v>
      </c>
      <c r="C493" s="8">
        <v>45150</v>
      </c>
      <c r="D493" s="9">
        <v>552681821</v>
      </c>
      <c r="E493" s="57">
        <v>40</v>
      </c>
      <c r="F493" s="37" t="s">
        <v>468</v>
      </c>
      <c r="G493" s="9">
        <v>0</v>
      </c>
      <c r="H493" s="9">
        <f t="shared" si="25"/>
        <v>0</v>
      </c>
      <c r="I493" s="11">
        <f t="shared" ca="1" si="26"/>
        <v>46119</v>
      </c>
      <c r="J493" s="11">
        <f t="shared" ca="1" si="19"/>
        <v>46118</v>
      </c>
      <c r="K493" s="13"/>
    </row>
    <row r="494" spans="1:11" ht="18" hidden="1" x14ac:dyDescent="0.4">
      <c r="A494" s="7" t="s">
        <v>719</v>
      </c>
      <c r="B494" s="7" t="s">
        <v>95</v>
      </c>
      <c r="C494" s="8">
        <v>45150</v>
      </c>
      <c r="D494" s="9">
        <v>552677041</v>
      </c>
      <c r="E494" s="57">
        <v>40</v>
      </c>
      <c r="F494" s="10" t="s">
        <v>469</v>
      </c>
      <c r="G494" s="9">
        <v>0</v>
      </c>
      <c r="H494" s="9">
        <f t="shared" si="25"/>
        <v>0</v>
      </c>
      <c r="I494" s="11">
        <f t="shared" ca="1" si="26"/>
        <v>46119</v>
      </c>
      <c r="J494" s="11">
        <f t="shared" ca="1" si="19"/>
        <v>46118</v>
      </c>
      <c r="K494" s="13"/>
    </row>
    <row r="495" spans="1:11" ht="18" hidden="1" x14ac:dyDescent="0.4">
      <c r="A495" s="7" t="s">
        <v>719</v>
      </c>
      <c r="B495" s="7" t="s">
        <v>470</v>
      </c>
      <c r="C495" s="8">
        <v>21796</v>
      </c>
      <c r="D495" s="9">
        <v>552808040</v>
      </c>
      <c r="E495" s="57">
        <v>1920</v>
      </c>
      <c r="F495" s="10" t="s">
        <v>154</v>
      </c>
      <c r="G495" s="9">
        <v>0</v>
      </c>
      <c r="H495" s="9">
        <f t="shared" ref="H495:H558" si="27">G495/E495</f>
        <v>0</v>
      </c>
      <c r="I495" s="11">
        <f t="shared" ca="1" si="26"/>
        <v>46119</v>
      </c>
      <c r="J495" s="11">
        <f t="shared" ca="1" si="19"/>
        <v>46118</v>
      </c>
      <c r="K495" s="13"/>
    </row>
    <row r="496" spans="1:11" ht="18" hidden="1" x14ac:dyDescent="0.4">
      <c r="A496" s="7" t="s">
        <v>719</v>
      </c>
      <c r="B496" s="7" t="s">
        <v>726</v>
      </c>
      <c r="C496" s="8">
        <v>42932</v>
      </c>
      <c r="D496" s="9">
        <v>463404510</v>
      </c>
      <c r="E496" s="57">
        <v>60</v>
      </c>
      <c r="F496" s="10" t="s">
        <v>155</v>
      </c>
      <c r="G496" s="9">
        <v>240</v>
      </c>
      <c r="H496" s="9">
        <f t="shared" si="27"/>
        <v>4</v>
      </c>
      <c r="I496" s="11">
        <f t="shared" ca="1" si="26"/>
        <v>46119</v>
      </c>
      <c r="J496" s="11">
        <f t="shared" ca="1" si="19"/>
        <v>46118</v>
      </c>
      <c r="K496" s="13"/>
    </row>
    <row r="497" spans="1:11" ht="18" hidden="1" x14ac:dyDescent="0.4">
      <c r="A497" s="7" t="s">
        <v>719</v>
      </c>
      <c r="B497" s="7" t="s">
        <v>726</v>
      </c>
      <c r="C497" s="8">
        <v>42932</v>
      </c>
      <c r="D497" s="9">
        <v>463404780</v>
      </c>
      <c r="E497" s="57">
        <v>60</v>
      </c>
      <c r="F497" s="10" t="s">
        <v>155</v>
      </c>
      <c r="G497" s="9">
        <v>1440</v>
      </c>
      <c r="H497" s="9">
        <f t="shared" si="27"/>
        <v>24</v>
      </c>
      <c r="I497" s="11">
        <f t="shared" ca="1" si="26"/>
        <v>46119</v>
      </c>
      <c r="J497" s="11">
        <f t="shared" ca="1" si="19"/>
        <v>46118</v>
      </c>
      <c r="K497" s="13"/>
    </row>
    <row r="498" spans="1:11" ht="18" hidden="1" x14ac:dyDescent="0.4">
      <c r="A498" s="7" t="s">
        <v>719</v>
      </c>
      <c r="B498" s="7" t="s">
        <v>472</v>
      </c>
      <c r="C498" s="8">
        <v>41469</v>
      </c>
      <c r="D498" s="9">
        <v>463462830</v>
      </c>
      <c r="E498" s="57">
        <v>30</v>
      </c>
      <c r="F498" s="10" t="s">
        <v>428</v>
      </c>
      <c r="G498" s="9">
        <v>0</v>
      </c>
      <c r="H498" s="9">
        <f t="shared" si="27"/>
        <v>0</v>
      </c>
      <c r="I498" s="11">
        <f t="shared" ca="1" si="26"/>
        <v>46119</v>
      </c>
      <c r="J498" s="11">
        <f t="shared" ca="1" si="19"/>
        <v>46118</v>
      </c>
      <c r="K498" s="12"/>
    </row>
    <row r="499" spans="1:11" ht="18" hidden="1" x14ac:dyDescent="0.4">
      <c r="A499" s="43" t="s">
        <v>719</v>
      </c>
      <c r="B499" s="43" t="s">
        <v>473</v>
      </c>
      <c r="C499" s="44">
        <v>31775</v>
      </c>
      <c r="D499" s="45">
        <v>463530880</v>
      </c>
      <c r="E499" s="65">
        <v>30</v>
      </c>
      <c r="F499" s="46" t="s">
        <v>474</v>
      </c>
      <c r="G499" s="45">
        <v>0</v>
      </c>
      <c r="H499" s="45">
        <f t="shared" si="27"/>
        <v>0</v>
      </c>
      <c r="I499" s="11">
        <f t="shared" ca="1" si="26"/>
        <v>46119</v>
      </c>
      <c r="J499" s="47">
        <f t="shared" ca="1" si="19"/>
        <v>46118</v>
      </c>
      <c r="K499" s="48"/>
    </row>
    <row r="500" spans="1:11" ht="18" hidden="1" x14ac:dyDescent="0.4">
      <c r="A500" s="7" t="s">
        <v>475</v>
      </c>
      <c r="B500" s="16" t="s">
        <v>451</v>
      </c>
      <c r="C500" s="8">
        <v>30460</v>
      </c>
      <c r="D500" s="9">
        <v>463557158</v>
      </c>
      <c r="E500" s="57">
        <v>672</v>
      </c>
      <c r="F500" s="10" t="s">
        <v>476</v>
      </c>
      <c r="G500" s="9">
        <v>1344</v>
      </c>
      <c r="H500" s="9">
        <f t="shared" si="27"/>
        <v>2</v>
      </c>
      <c r="I500" s="11">
        <f ca="1">I499</f>
        <v>46119</v>
      </c>
      <c r="J500" s="11">
        <f t="shared" ca="1" si="19"/>
        <v>46118</v>
      </c>
      <c r="K500" s="8" t="s">
        <v>727</v>
      </c>
    </row>
    <row r="501" spans="1:11" ht="18" hidden="1" x14ac:dyDescent="0.4">
      <c r="A501" s="7" t="s">
        <v>475</v>
      </c>
      <c r="B501" s="16" t="s">
        <v>451</v>
      </c>
      <c r="C501" s="8">
        <v>30460</v>
      </c>
      <c r="D501" s="9">
        <v>463557148</v>
      </c>
      <c r="E501" s="57">
        <v>672</v>
      </c>
      <c r="F501" s="10" t="s">
        <v>477</v>
      </c>
      <c r="G501" s="9">
        <f>Geral!G501</f>
        <v>0</v>
      </c>
      <c r="H501" s="9">
        <f t="shared" si="27"/>
        <v>0</v>
      </c>
      <c r="I501" s="11">
        <f t="shared" ref="I501:I564" ca="1" si="28">I500</f>
        <v>46119</v>
      </c>
      <c r="J501" s="11">
        <f t="shared" ca="1" si="19"/>
        <v>46118</v>
      </c>
      <c r="K501" s="8" t="s">
        <v>727</v>
      </c>
    </row>
    <row r="502" spans="1:11" ht="18" hidden="1" x14ac:dyDescent="0.4">
      <c r="A502" s="7" t="s">
        <v>475</v>
      </c>
      <c r="B502" s="16" t="s">
        <v>451</v>
      </c>
      <c r="C502" s="8">
        <v>30460</v>
      </c>
      <c r="D502" s="9">
        <v>552664537</v>
      </c>
      <c r="E502" s="57">
        <v>792</v>
      </c>
      <c r="F502" s="10" t="s">
        <v>478</v>
      </c>
      <c r="G502" s="9">
        <f>792+792</f>
        <v>1584</v>
      </c>
      <c r="H502" s="9">
        <f t="shared" si="27"/>
        <v>2</v>
      </c>
      <c r="I502" s="11">
        <f t="shared" ca="1" si="28"/>
        <v>46119</v>
      </c>
      <c r="J502" s="11">
        <f t="shared" ca="1" si="19"/>
        <v>46118</v>
      </c>
      <c r="K502" s="8" t="s">
        <v>727</v>
      </c>
    </row>
    <row r="503" spans="1:11" ht="18" hidden="1" x14ac:dyDescent="0.4">
      <c r="A503" s="7" t="s">
        <v>475</v>
      </c>
      <c r="B503" s="16" t="s">
        <v>451</v>
      </c>
      <c r="C503" s="8">
        <v>30460</v>
      </c>
      <c r="D503" s="9">
        <v>552664527</v>
      </c>
      <c r="E503" s="57">
        <v>792</v>
      </c>
      <c r="F503" s="10" t="s">
        <v>479</v>
      </c>
      <c r="G503" s="9">
        <f>Geral!G503</f>
        <v>0</v>
      </c>
      <c r="H503" s="9">
        <f t="shared" si="27"/>
        <v>0</v>
      </c>
      <c r="I503" s="11">
        <f t="shared" ca="1" si="28"/>
        <v>46119</v>
      </c>
      <c r="J503" s="11">
        <f t="shared" ca="1" si="19"/>
        <v>46118</v>
      </c>
      <c r="K503" s="8" t="s">
        <v>727</v>
      </c>
    </row>
    <row r="504" spans="1:11" ht="18" hidden="1" x14ac:dyDescent="0.4">
      <c r="A504" s="7" t="s">
        <v>475</v>
      </c>
      <c r="B504" s="16" t="s">
        <v>451</v>
      </c>
      <c r="C504" s="8">
        <v>30460</v>
      </c>
      <c r="D504" s="9">
        <v>552664547</v>
      </c>
      <c r="E504" s="57">
        <v>672</v>
      </c>
      <c r="F504" s="10" t="s">
        <v>480</v>
      </c>
      <c r="G504" s="9">
        <v>1344</v>
      </c>
      <c r="H504" s="9">
        <f t="shared" si="27"/>
        <v>2</v>
      </c>
      <c r="I504" s="11">
        <f t="shared" ca="1" si="28"/>
        <v>46119</v>
      </c>
      <c r="J504" s="11">
        <f t="shared" ca="1" si="19"/>
        <v>46118</v>
      </c>
      <c r="K504" s="8" t="s">
        <v>727</v>
      </c>
    </row>
    <row r="505" spans="1:11" ht="18" hidden="1" x14ac:dyDescent="0.4">
      <c r="A505" s="7" t="s">
        <v>475</v>
      </c>
      <c r="B505" s="16" t="s">
        <v>451</v>
      </c>
      <c r="C505" s="8">
        <v>30460</v>
      </c>
      <c r="D505" s="9">
        <v>552664557</v>
      </c>
      <c r="E505" s="57">
        <v>672</v>
      </c>
      <c r="F505" s="10" t="s">
        <v>481</v>
      </c>
      <c r="G505" s="9">
        <f>Geral!G505</f>
        <v>0</v>
      </c>
      <c r="H505" s="9">
        <f t="shared" si="27"/>
        <v>0</v>
      </c>
      <c r="I505" s="11">
        <f t="shared" ca="1" si="28"/>
        <v>46119</v>
      </c>
      <c r="J505" s="11">
        <f t="shared" ca="1" si="19"/>
        <v>46118</v>
      </c>
      <c r="K505" s="8" t="s">
        <v>727</v>
      </c>
    </row>
    <row r="506" spans="1:11" ht="18" hidden="1" x14ac:dyDescent="0.4">
      <c r="A506" s="7" t="s">
        <v>475</v>
      </c>
      <c r="B506" s="16" t="s">
        <v>451</v>
      </c>
      <c r="C506" s="8">
        <v>30460</v>
      </c>
      <c r="D506" s="9">
        <v>552664567</v>
      </c>
      <c r="E506" s="57">
        <v>756</v>
      </c>
      <c r="F506" s="10" t="s">
        <v>482</v>
      </c>
      <c r="G506" s="9">
        <f>756+756</f>
        <v>1512</v>
      </c>
      <c r="H506" s="9">
        <f t="shared" si="27"/>
        <v>2</v>
      </c>
      <c r="I506" s="11">
        <f t="shared" ca="1" si="28"/>
        <v>46119</v>
      </c>
      <c r="J506" s="11">
        <f t="shared" ca="1" si="19"/>
        <v>46118</v>
      </c>
      <c r="K506" s="8" t="s">
        <v>727</v>
      </c>
    </row>
    <row r="507" spans="1:11" ht="18" hidden="1" x14ac:dyDescent="0.4">
      <c r="A507" s="7" t="s">
        <v>475</v>
      </c>
      <c r="B507" s="16" t="s">
        <v>451</v>
      </c>
      <c r="C507" s="8">
        <v>30460</v>
      </c>
      <c r="D507" s="9">
        <v>552664577</v>
      </c>
      <c r="E507" s="57">
        <v>756</v>
      </c>
      <c r="F507" s="10" t="s">
        <v>483</v>
      </c>
      <c r="G507" s="9">
        <f>Geral!G507</f>
        <v>0</v>
      </c>
      <c r="H507" s="9">
        <f t="shared" si="27"/>
        <v>0</v>
      </c>
      <c r="I507" s="11">
        <f t="shared" ca="1" si="28"/>
        <v>46119</v>
      </c>
      <c r="J507" s="11">
        <f t="shared" ca="1" si="19"/>
        <v>46118</v>
      </c>
      <c r="K507" s="8" t="s">
        <v>727</v>
      </c>
    </row>
    <row r="508" spans="1:11" ht="18" hidden="1" x14ac:dyDescent="0.4">
      <c r="A508" s="7" t="s">
        <v>475</v>
      </c>
      <c r="B508" s="16" t="s">
        <v>451</v>
      </c>
      <c r="C508" s="8">
        <v>30460</v>
      </c>
      <c r="D508" s="9">
        <v>463555108</v>
      </c>
      <c r="E508" s="57">
        <v>588</v>
      </c>
      <c r="F508" s="10" t="s">
        <v>484</v>
      </c>
      <c r="G508" s="9">
        <f>Geral!G508</f>
        <v>0</v>
      </c>
      <c r="H508" s="9">
        <f t="shared" si="27"/>
        <v>0</v>
      </c>
      <c r="I508" s="11">
        <f t="shared" ca="1" si="28"/>
        <v>46119</v>
      </c>
      <c r="J508" s="11">
        <f t="shared" ca="1" si="19"/>
        <v>46118</v>
      </c>
      <c r="K508" s="8" t="s">
        <v>727</v>
      </c>
    </row>
    <row r="509" spans="1:11" ht="18" hidden="1" x14ac:dyDescent="0.4">
      <c r="A509" s="7" t="s">
        <v>475</v>
      </c>
      <c r="B509" s="16" t="s">
        <v>451</v>
      </c>
      <c r="C509" s="8">
        <v>30460</v>
      </c>
      <c r="D509" s="9">
        <v>552086937</v>
      </c>
      <c r="E509" s="57">
        <v>588</v>
      </c>
      <c r="F509" s="10" t="s">
        <v>485</v>
      </c>
      <c r="G509" s="9">
        <f>Geral!G509</f>
        <v>0</v>
      </c>
      <c r="H509" s="9">
        <f t="shared" si="27"/>
        <v>0</v>
      </c>
      <c r="I509" s="11">
        <f t="shared" ca="1" si="28"/>
        <v>46119</v>
      </c>
      <c r="J509" s="11">
        <f t="shared" ca="1" si="19"/>
        <v>46118</v>
      </c>
      <c r="K509" s="8" t="s">
        <v>727</v>
      </c>
    </row>
    <row r="510" spans="1:11" ht="18" hidden="1" x14ac:dyDescent="0.4">
      <c r="A510" s="7" t="s">
        <v>475</v>
      </c>
      <c r="B510" s="16" t="s">
        <v>451</v>
      </c>
      <c r="C510" s="8">
        <v>30460</v>
      </c>
      <c r="D510" s="9">
        <v>463555088</v>
      </c>
      <c r="E510" s="57">
        <v>588</v>
      </c>
      <c r="F510" s="10" t="s">
        <v>486</v>
      </c>
      <c r="G510" s="9">
        <f>Geral!G510</f>
        <v>588</v>
      </c>
      <c r="H510" s="9">
        <f t="shared" si="27"/>
        <v>1</v>
      </c>
      <c r="I510" s="11">
        <f t="shared" ca="1" si="28"/>
        <v>46119</v>
      </c>
      <c r="J510" s="11">
        <f t="shared" ca="1" si="19"/>
        <v>46118</v>
      </c>
      <c r="K510" s="8" t="s">
        <v>727</v>
      </c>
    </row>
    <row r="511" spans="1:11" ht="18" hidden="1" x14ac:dyDescent="0.4">
      <c r="A511" s="7" t="s">
        <v>475</v>
      </c>
      <c r="B511" s="16" t="s">
        <v>451</v>
      </c>
      <c r="C511" s="8">
        <v>30460</v>
      </c>
      <c r="D511" s="9">
        <v>552086957</v>
      </c>
      <c r="E511" s="57">
        <v>588</v>
      </c>
      <c r="F511" s="10" t="s">
        <v>487</v>
      </c>
      <c r="G511" s="9">
        <f>Geral!G511</f>
        <v>0</v>
      </c>
      <c r="H511" s="9">
        <f t="shared" si="27"/>
        <v>0</v>
      </c>
      <c r="I511" s="11">
        <f t="shared" ca="1" si="28"/>
        <v>46119</v>
      </c>
      <c r="J511" s="11">
        <f t="shared" ca="1" si="19"/>
        <v>46118</v>
      </c>
      <c r="K511" s="8" t="s">
        <v>727</v>
      </c>
    </row>
    <row r="512" spans="1:11" ht="18" hidden="1" x14ac:dyDescent="0.4">
      <c r="A512" s="7" t="s">
        <v>475</v>
      </c>
      <c r="B512" s="16" t="s">
        <v>451</v>
      </c>
      <c r="C512" s="8">
        <v>30460</v>
      </c>
      <c r="D512" s="9">
        <v>552724278</v>
      </c>
      <c r="E512" s="57">
        <v>588</v>
      </c>
      <c r="F512" s="10" t="s">
        <v>488</v>
      </c>
      <c r="G512" s="9">
        <v>588</v>
      </c>
      <c r="H512" s="9">
        <f t="shared" si="27"/>
        <v>1</v>
      </c>
      <c r="I512" s="11">
        <f t="shared" ca="1" si="28"/>
        <v>46119</v>
      </c>
      <c r="J512" s="11">
        <f t="shared" ref="J512:J579" ca="1" si="29">TODAY()</f>
        <v>46118</v>
      </c>
      <c r="K512" s="8" t="s">
        <v>727</v>
      </c>
    </row>
    <row r="513" spans="1:11" ht="18" hidden="1" x14ac:dyDescent="0.4">
      <c r="A513" s="7" t="s">
        <v>475</v>
      </c>
      <c r="B513" s="16" t="s">
        <v>451</v>
      </c>
      <c r="C513" s="8">
        <v>30460</v>
      </c>
      <c r="D513" s="9">
        <v>552086967</v>
      </c>
      <c r="E513" s="57">
        <v>294</v>
      </c>
      <c r="F513" s="10" t="s">
        <v>489</v>
      </c>
      <c r="G513" s="9">
        <f>Geral!G513</f>
        <v>0</v>
      </c>
      <c r="H513" s="9">
        <f t="shared" si="27"/>
        <v>0</v>
      </c>
      <c r="I513" s="11">
        <f t="shared" ca="1" si="28"/>
        <v>46119</v>
      </c>
      <c r="J513" s="11">
        <f t="shared" ca="1" si="29"/>
        <v>46118</v>
      </c>
      <c r="K513" s="8" t="s">
        <v>727</v>
      </c>
    </row>
    <row r="514" spans="1:11" ht="18" hidden="1" x14ac:dyDescent="0.4">
      <c r="A514" s="7" t="s">
        <v>475</v>
      </c>
      <c r="B514" s="16" t="s">
        <v>451</v>
      </c>
      <c r="C514" s="8">
        <v>30460</v>
      </c>
      <c r="D514" s="9">
        <v>552086977</v>
      </c>
      <c r="E514" s="57">
        <v>294</v>
      </c>
      <c r="F514" s="10" t="s">
        <v>490</v>
      </c>
      <c r="G514" s="9">
        <f>Geral!G514</f>
        <v>0</v>
      </c>
      <c r="H514" s="9">
        <f t="shared" si="27"/>
        <v>0</v>
      </c>
      <c r="I514" s="11">
        <f t="shared" ca="1" si="28"/>
        <v>46119</v>
      </c>
      <c r="J514" s="11">
        <f t="shared" ca="1" si="29"/>
        <v>46118</v>
      </c>
      <c r="K514" s="8" t="s">
        <v>727</v>
      </c>
    </row>
    <row r="515" spans="1:11" ht="18" hidden="1" x14ac:dyDescent="0.4">
      <c r="A515" s="7" t="s">
        <v>475</v>
      </c>
      <c r="B515" s="16" t="s">
        <v>451</v>
      </c>
      <c r="C515" s="8">
        <v>30460</v>
      </c>
      <c r="D515" s="9">
        <v>77579477</v>
      </c>
      <c r="E515" s="57">
        <v>294</v>
      </c>
      <c r="F515" s="10" t="s">
        <v>491</v>
      </c>
      <c r="G515" s="9">
        <f>Geral!G515</f>
        <v>0</v>
      </c>
      <c r="H515" s="9">
        <f t="shared" si="27"/>
        <v>0</v>
      </c>
      <c r="I515" s="11">
        <f t="shared" ca="1" si="28"/>
        <v>46119</v>
      </c>
      <c r="J515" s="11">
        <f t="shared" ca="1" si="29"/>
        <v>46118</v>
      </c>
      <c r="K515" s="8" t="s">
        <v>727</v>
      </c>
    </row>
    <row r="516" spans="1:11" ht="18" hidden="1" x14ac:dyDescent="0.4">
      <c r="A516" s="7" t="s">
        <v>475</v>
      </c>
      <c r="B516" s="16" t="s">
        <v>451</v>
      </c>
      <c r="C516" s="8">
        <v>30460</v>
      </c>
      <c r="D516" s="9">
        <v>552698778</v>
      </c>
      <c r="E516" s="57">
        <v>672</v>
      </c>
      <c r="F516" s="10" t="s">
        <v>492</v>
      </c>
      <c r="G516" s="9">
        <f>Geral!G516</f>
        <v>0</v>
      </c>
      <c r="H516" s="9">
        <f t="shared" si="27"/>
        <v>0</v>
      </c>
      <c r="I516" s="11">
        <f t="shared" ca="1" si="28"/>
        <v>46119</v>
      </c>
      <c r="J516" s="11">
        <f t="shared" ca="1" si="29"/>
        <v>46118</v>
      </c>
      <c r="K516" s="8" t="s">
        <v>727</v>
      </c>
    </row>
    <row r="517" spans="1:11" ht="18" hidden="1" x14ac:dyDescent="0.4">
      <c r="A517" s="7" t="s">
        <v>475</v>
      </c>
      <c r="B517" s="16" t="s">
        <v>451</v>
      </c>
      <c r="C517" s="8">
        <v>30460</v>
      </c>
      <c r="D517" s="9">
        <v>552698768</v>
      </c>
      <c r="E517" s="57">
        <v>672</v>
      </c>
      <c r="F517" s="10" t="s">
        <v>493</v>
      </c>
      <c r="G517" s="9">
        <f>Geral!G517</f>
        <v>0</v>
      </c>
      <c r="H517" s="9">
        <f t="shared" si="27"/>
        <v>0</v>
      </c>
      <c r="I517" s="11">
        <f t="shared" ca="1" si="28"/>
        <v>46119</v>
      </c>
      <c r="J517" s="11">
        <f t="shared" ca="1" si="29"/>
        <v>46118</v>
      </c>
      <c r="K517" s="8" t="s">
        <v>727</v>
      </c>
    </row>
    <row r="518" spans="1:11" ht="18" hidden="1" x14ac:dyDescent="0.4">
      <c r="A518" s="7" t="s">
        <v>475</v>
      </c>
      <c r="B518" s="16" t="s">
        <v>451</v>
      </c>
      <c r="C518" s="8">
        <v>30460</v>
      </c>
      <c r="D518" s="9">
        <v>552698758</v>
      </c>
      <c r="E518" s="57">
        <v>672</v>
      </c>
      <c r="F518" s="10" t="s">
        <v>494</v>
      </c>
      <c r="G518" s="9">
        <f>Geral!G518</f>
        <v>0</v>
      </c>
      <c r="H518" s="9">
        <f t="shared" si="27"/>
        <v>0</v>
      </c>
      <c r="I518" s="11">
        <f t="shared" ca="1" si="28"/>
        <v>46119</v>
      </c>
      <c r="J518" s="11">
        <f t="shared" ca="1" si="29"/>
        <v>46118</v>
      </c>
      <c r="K518" s="8" t="s">
        <v>727</v>
      </c>
    </row>
    <row r="519" spans="1:11" ht="18" hidden="1" x14ac:dyDescent="0.4">
      <c r="A519" s="7" t="s">
        <v>475</v>
      </c>
      <c r="B519" s="16" t="s">
        <v>451</v>
      </c>
      <c r="C519" s="8">
        <v>30460</v>
      </c>
      <c r="D519" s="9">
        <v>552698748</v>
      </c>
      <c r="E519" s="57">
        <v>672</v>
      </c>
      <c r="F519" s="10" t="s">
        <v>495</v>
      </c>
      <c r="G519" s="9">
        <f>Geral!G519</f>
        <v>672</v>
      </c>
      <c r="H519" s="9">
        <f t="shared" si="27"/>
        <v>1</v>
      </c>
      <c r="I519" s="11">
        <f t="shared" ca="1" si="28"/>
        <v>46119</v>
      </c>
      <c r="J519" s="11">
        <f t="shared" ca="1" si="29"/>
        <v>46118</v>
      </c>
      <c r="K519" s="8" t="s">
        <v>727</v>
      </c>
    </row>
    <row r="520" spans="1:11" ht="18" hidden="1" x14ac:dyDescent="0.4">
      <c r="A520" s="7" t="s">
        <v>475</v>
      </c>
      <c r="B520" s="16" t="s">
        <v>451</v>
      </c>
      <c r="C520" s="8">
        <v>30460</v>
      </c>
      <c r="D520" s="9">
        <v>552724288</v>
      </c>
      <c r="E520" s="57">
        <v>672</v>
      </c>
      <c r="F520" s="10" t="s">
        <v>496</v>
      </c>
      <c r="G520" s="9">
        <f>Geral!G520</f>
        <v>1344</v>
      </c>
      <c r="H520" s="9">
        <f t="shared" si="27"/>
        <v>2</v>
      </c>
      <c r="I520" s="11">
        <f t="shared" ca="1" si="28"/>
        <v>46119</v>
      </c>
      <c r="J520" s="11">
        <f t="shared" ca="1" si="29"/>
        <v>46118</v>
      </c>
      <c r="K520" s="8" t="s">
        <v>727</v>
      </c>
    </row>
    <row r="521" spans="1:11" ht="18" hidden="1" x14ac:dyDescent="0.4">
      <c r="A521" s="7" t="s">
        <v>475</v>
      </c>
      <c r="B521" s="16" t="s">
        <v>451</v>
      </c>
      <c r="C521" s="8">
        <v>30460</v>
      </c>
      <c r="D521" s="9">
        <v>467670637</v>
      </c>
      <c r="E521" s="57">
        <v>792</v>
      </c>
      <c r="F521" s="10" t="s">
        <v>497</v>
      </c>
      <c r="G521" s="9">
        <v>3168</v>
      </c>
      <c r="H521" s="9">
        <f t="shared" si="27"/>
        <v>4</v>
      </c>
      <c r="I521" s="11">
        <f t="shared" ca="1" si="28"/>
        <v>46119</v>
      </c>
      <c r="J521" s="11">
        <f t="shared" ca="1" si="29"/>
        <v>46118</v>
      </c>
      <c r="K521" s="8" t="s">
        <v>727</v>
      </c>
    </row>
    <row r="522" spans="1:11" ht="18" hidden="1" x14ac:dyDescent="0.4">
      <c r="A522" s="7" t="s">
        <v>475</v>
      </c>
      <c r="B522" s="16" t="s">
        <v>451</v>
      </c>
      <c r="C522" s="8">
        <v>30460</v>
      </c>
      <c r="D522" s="9">
        <v>552030228</v>
      </c>
      <c r="E522" s="57">
        <v>392</v>
      </c>
      <c r="F522" s="10" t="s">
        <v>498</v>
      </c>
      <c r="G522" s="9">
        <f>Geral!G522</f>
        <v>0</v>
      </c>
      <c r="H522" s="9">
        <f t="shared" si="27"/>
        <v>0</v>
      </c>
      <c r="I522" s="11">
        <f t="shared" ca="1" si="28"/>
        <v>46119</v>
      </c>
      <c r="J522" s="11">
        <f t="shared" ca="1" si="29"/>
        <v>46118</v>
      </c>
      <c r="K522" s="8" t="s">
        <v>727</v>
      </c>
    </row>
    <row r="523" spans="1:11" ht="18" hidden="1" x14ac:dyDescent="0.4">
      <c r="A523" s="7" t="s">
        <v>475</v>
      </c>
      <c r="B523" s="16" t="s">
        <v>451</v>
      </c>
      <c r="C523" s="8">
        <v>30460</v>
      </c>
      <c r="D523" s="9">
        <v>467784288</v>
      </c>
      <c r="E523" s="57">
        <v>392</v>
      </c>
      <c r="F523" s="10" t="s">
        <v>499</v>
      </c>
      <c r="G523" s="9">
        <f>Geral!G523</f>
        <v>392</v>
      </c>
      <c r="H523" s="9">
        <f t="shared" si="27"/>
        <v>1</v>
      </c>
      <c r="I523" s="11">
        <f t="shared" ca="1" si="28"/>
        <v>46119</v>
      </c>
      <c r="J523" s="11">
        <f t="shared" ca="1" si="29"/>
        <v>46118</v>
      </c>
      <c r="K523" s="8" t="s">
        <v>727</v>
      </c>
    </row>
    <row r="524" spans="1:11" ht="18" hidden="1" x14ac:dyDescent="0.4">
      <c r="A524" s="7" t="s">
        <v>475</v>
      </c>
      <c r="B524" s="16" t="s">
        <v>451</v>
      </c>
      <c r="C524" s="8">
        <v>30460</v>
      </c>
      <c r="D524" s="9">
        <v>467784297</v>
      </c>
      <c r="E524" s="57">
        <v>392</v>
      </c>
      <c r="F524" s="10" t="s">
        <v>500</v>
      </c>
      <c r="G524" s="9">
        <f>Geral!G524</f>
        <v>0</v>
      </c>
      <c r="H524" s="9">
        <f t="shared" si="27"/>
        <v>0</v>
      </c>
      <c r="I524" s="11">
        <f t="shared" ca="1" si="28"/>
        <v>46119</v>
      </c>
      <c r="J524" s="11">
        <f t="shared" ca="1" si="29"/>
        <v>46118</v>
      </c>
      <c r="K524" s="8" t="s">
        <v>727</v>
      </c>
    </row>
    <row r="525" spans="1:11" ht="18" hidden="1" x14ac:dyDescent="0.4">
      <c r="A525" s="7" t="s">
        <v>475</v>
      </c>
      <c r="B525" s="16" t="s">
        <v>451</v>
      </c>
      <c r="C525" s="8">
        <v>30460</v>
      </c>
      <c r="D525" s="9">
        <v>551824567</v>
      </c>
      <c r="E525" s="57">
        <v>392</v>
      </c>
      <c r="F525" s="10" t="s">
        <v>501</v>
      </c>
      <c r="G525" s="9">
        <f>Geral!G525</f>
        <v>0</v>
      </c>
      <c r="H525" s="9">
        <f t="shared" si="27"/>
        <v>0</v>
      </c>
      <c r="I525" s="11">
        <f t="shared" ca="1" si="28"/>
        <v>46119</v>
      </c>
      <c r="J525" s="11">
        <f t="shared" ca="1" si="29"/>
        <v>46118</v>
      </c>
      <c r="K525" s="8" t="s">
        <v>727</v>
      </c>
    </row>
    <row r="526" spans="1:11" ht="18" hidden="1" x14ac:dyDescent="0.4">
      <c r="A526" s="7" t="s">
        <v>475</v>
      </c>
      <c r="B526" s="16" t="s">
        <v>451</v>
      </c>
      <c r="C526" s="8">
        <v>30460</v>
      </c>
      <c r="D526" s="9">
        <v>552433468</v>
      </c>
      <c r="E526" s="57">
        <v>392</v>
      </c>
      <c r="F526" s="10" t="s">
        <v>502</v>
      </c>
      <c r="G526" s="9">
        <f>Geral!G526</f>
        <v>0</v>
      </c>
      <c r="H526" s="9">
        <f t="shared" si="27"/>
        <v>0</v>
      </c>
      <c r="I526" s="11">
        <f t="shared" ca="1" si="28"/>
        <v>46119</v>
      </c>
      <c r="J526" s="11">
        <f t="shared" ca="1" si="29"/>
        <v>46118</v>
      </c>
      <c r="K526" s="8" t="s">
        <v>727</v>
      </c>
    </row>
    <row r="527" spans="1:11" ht="18" hidden="1" x14ac:dyDescent="0.4">
      <c r="A527" s="7" t="s">
        <v>475</v>
      </c>
      <c r="B527" s="16" t="s">
        <v>451</v>
      </c>
      <c r="C527" s="8">
        <v>30460</v>
      </c>
      <c r="D527" s="9">
        <v>463503958</v>
      </c>
      <c r="E527" s="57">
        <v>392</v>
      </c>
      <c r="F527" s="10" t="s">
        <v>503</v>
      </c>
      <c r="G527" s="9">
        <f>Geral!G527</f>
        <v>0</v>
      </c>
      <c r="H527" s="9">
        <f t="shared" si="27"/>
        <v>0</v>
      </c>
      <c r="I527" s="11">
        <f t="shared" ca="1" si="28"/>
        <v>46119</v>
      </c>
      <c r="J527" s="11">
        <f t="shared" ca="1" si="29"/>
        <v>46118</v>
      </c>
      <c r="K527" s="8" t="s">
        <v>727</v>
      </c>
    </row>
    <row r="528" spans="1:11" ht="18" hidden="1" x14ac:dyDescent="0.4">
      <c r="A528" s="7" t="s">
        <v>475</v>
      </c>
      <c r="B528" s="16" t="s">
        <v>451</v>
      </c>
      <c r="C528" s="8">
        <v>30460</v>
      </c>
      <c r="D528" s="9">
        <v>552486498</v>
      </c>
      <c r="E528" s="57">
        <v>392</v>
      </c>
      <c r="F528" s="10" t="s">
        <v>504</v>
      </c>
      <c r="G528" s="9">
        <f>Geral!G528</f>
        <v>0</v>
      </c>
      <c r="H528" s="9">
        <f t="shared" si="27"/>
        <v>0</v>
      </c>
      <c r="I528" s="11">
        <f t="shared" ca="1" si="28"/>
        <v>46119</v>
      </c>
      <c r="J528" s="11">
        <f t="shared" ca="1" si="29"/>
        <v>46118</v>
      </c>
      <c r="K528" s="8" t="s">
        <v>727</v>
      </c>
    </row>
    <row r="529" spans="1:11" ht="18" hidden="1" x14ac:dyDescent="0.4">
      <c r="A529" s="7" t="s">
        <v>475</v>
      </c>
      <c r="B529" s="16" t="s">
        <v>451</v>
      </c>
      <c r="C529" s="8">
        <v>30460</v>
      </c>
      <c r="D529" s="9">
        <v>468076307</v>
      </c>
      <c r="E529" s="57">
        <v>546</v>
      </c>
      <c r="F529" s="10" t="s">
        <v>505</v>
      </c>
      <c r="G529" s="9">
        <f>Geral!G529</f>
        <v>0</v>
      </c>
      <c r="H529" s="9">
        <f t="shared" si="27"/>
        <v>0</v>
      </c>
      <c r="I529" s="11">
        <f t="shared" ca="1" si="28"/>
        <v>46119</v>
      </c>
      <c r="J529" s="11">
        <f t="shared" ca="1" si="29"/>
        <v>46118</v>
      </c>
      <c r="K529" s="8" t="s">
        <v>727</v>
      </c>
    </row>
    <row r="530" spans="1:11" ht="18" hidden="1" x14ac:dyDescent="0.4">
      <c r="A530" s="7" t="s">
        <v>475</v>
      </c>
      <c r="B530" s="16" t="s">
        <v>451</v>
      </c>
      <c r="C530" s="8">
        <v>30460</v>
      </c>
      <c r="D530" s="9">
        <v>468084487</v>
      </c>
      <c r="E530" s="57">
        <v>546</v>
      </c>
      <c r="F530" s="10" t="s">
        <v>506</v>
      </c>
      <c r="G530" s="9">
        <f>Geral!G530</f>
        <v>0</v>
      </c>
      <c r="H530" s="9">
        <f t="shared" si="27"/>
        <v>0</v>
      </c>
      <c r="I530" s="11">
        <f t="shared" ca="1" si="28"/>
        <v>46119</v>
      </c>
      <c r="J530" s="11">
        <f t="shared" ca="1" si="29"/>
        <v>46118</v>
      </c>
      <c r="K530" s="8" t="s">
        <v>727</v>
      </c>
    </row>
    <row r="531" spans="1:11" ht="18" hidden="1" x14ac:dyDescent="0.4">
      <c r="A531" s="7" t="s">
        <v>475</v>
      </c>
      <c r="B531" s="16" t="s">
        <v>451</v>
      </c>
      <c r="C531" s="8">
        <v>30460</v>
      </c>
      <c r="D531" s="9">
        <v>552727098</v>
      </c>
      <c r="E531" s="57">
        <v>546</v>
      </c>
      <c r="F531" s="10" t="s">
        <v>507</v>
      </c>
      <c r="G531" s="9">
        <f>Geral!G531</f>
        <v>2184</v>
      </c>
      <c r="H531" s="9">
        <f t="shared" si="27"/>
        <v>4</v>
      </c>
      <c r="I531" s="11">
        <f t="shared" ca="1" si="28"/>
        <v>46119</v>
      </c>
      <c r="J531" s="11">
        <f t="shared" ca="1" si="29"/>
        <v>46118</v>
      </c>
      <c r="K531" s="8" t="s">
        <v>727</v>
      </c>
    </row>
    <row r="532" spans="1:11" ht="18" hidden="1" x14ac:dyDescent="0.4">
      <c r="A532" s="7" t="s">
        <v>475</v>
      </c>
      <c r="B532" s="16" t="s">
        <v>451</v>
      </c>
      <c r="C532" s="8">
        <v>30460</v>
      </c>
      <c r="D532" s="9">
        <v>552792228</v>
      </c>
      <c r="E532" s="57">
        <v>546</v>
      </c>
      <c r="F532" s="10" t="s">
        <v>508</v>
      </c>
      <c r="G532" s="9">
        <f>Geral!G532</f>
        <v>0</v>
      </c>
      <c r="H532" s="9">
        <f t="shared" si="27"/>
        <v>0</v>
      </c>
      <c r="I532" s="11">
        <f t="shared" ca="1" si="28"/>
        <v>46119</v>
      </c>
      <c r="J532" s="11">
        <f t="shared" ca="1" si="29"/>
        <v>46118</v>
      </c>
      <c r="K532" s="8" t="s">
        <v>727</v>
      </c>
    </row>
    <row r="533" spans="1:11" ht="18" hidden="1" x14ac:dyDescent="0.4">
      <c r="A533" s="7" t="s">
        <v>475</v>
      </c>
      <c r="B533" s="16" t="s">
        <v>451</v>
      </c>
      <c r="C533" s="8">
        <v>30460</v>
      </c>
      <c r="D533" s="9">
        <v>59507209</v>
      </c>
      <c r="E533" s="57">
        <v>450</v>
      </c>
      <c r="F533" s="10" t="s">
        <v>509</v>
      </c>
      <c r="G533" s="9">
        <v>3600</v>
      </c>
      <c r="H533" s="9">
        <f t="shared" si="27"/>
        <v>8</v>
      </c>
      <c r="I533" s="11">
        <f t="shared" ca="1" si="28"/>
        <v>46119</v>
      </c>
      <c r="J533" s="11">
        <f t="shared" ca="1" si="29"/>
        <v>46118</v>
      </c>
      <c r="K533" s="8" t="s">
        <v>727</v>
      </c>
    </row>
    <row r="534" spans="1:11" ht="18" hidden="1" x14ac:dyDescent="0.4">
      <c r="A534" s="7" t="s">
        <v>475</v>
      </c>
      <c r="B534" s="16" t="s">
        <v>451</v>
      </c>
      <c r="C534" s="8">
        <v>30460</v>
      </c>
      <c r="D534" s="9">
        <v>77894039</v>
      </c>
      <c r="E534" s="57">
        <v>2880</v>
      </c>
      <c r="F534" s="10" t="s">
        <v>510</v>
      </c>
      <c r="G534" s="9">
        <f>Geral!G534</f>
        <v>0</v>
      </c>
      <c r="H534" s="9">
        <f t="shared" si="27"/>
        <v>0</v>
      </c>
      <c r="I534" s="11">
        <f t="shared" ca="1" si="28"/>
        <v>46119</v>
      </c>
      <c r="J534" s="11">
        <f t="shared" ca="1" si="29"/>
        <v>46118</v>
      </c>
      <c r="K534" s="8" t="s">
        <v>727</v>
      </c>
    </row>
    <row r="535" spans="1:11" ht="18" hidden="1" x14ac:dyDescent="0.4">
      <c r="A535" s="7" t="s">
        <v>475</v>
      </c>
      <c r="B535" s="16" t="s">
        <v>451</v>
      </c>
      <c r="C535" s="8">
        <v>30460</v>
      </c>
      <c r="D535" s="9">
        <v>551955737</v>
      </c>
      <c r="E535" s="57">
        <v>700</v>
      </c>
      <c r="F535" s="10" t="s">
        <v>511</v>
      </c>
      <c r="G535" s="9">
        <v>2100</v>
      </c>
      <c r="H535" s="9">
        <f t="shared" si="27"/>
        <v>3</v>
      </c>
      <c r="I535" s="11">
        <f t="shared" ca="1" si="28"/>
        <v>46119</v>
      </c>
      <c r="J535" s="11">
        <f t="shared" ca="1" si="29"/>
        <v>46118</v>
      </c>
      <c r="K535" s="8" t="s">
        <v>727</v>
      </c>
    </row>
    <row r="536" spans="1:11" ht="18" hidden="1" x14ac:dyDescent="0.4">
      <c r="A536" s="7" t="s">
        <v>475</v>
      </c>
      <c r="B536" s="16" t="s">
        <v>451</v>
      </c>
      <c r="C536" s="8">
        <v>30460</v>
      </c>
      <c r="D536" s="9">
        <v>551955748</v>
      </c>
      <c r="E536" s="57">
        <v>700</v>
      </c>
      <c r="F536" s="10" t="s">
        <v>512</v>
      </c>
      <c r="G536" s="9">
        <f>Geral!G536</f>
        <v>0</v>
      </c>
      <c r="H536" s="9">
        <f t="shared" si="27"/>
        <v>0</v>
      </c>
      <c r="I536" s="11">
        <f t="shared" ca="1" si="28"/>
        <v>46119</v>
      </c>
      <c r="J536" s="11">
        <f t="shared" ca="1" si="29"/>
        <v>46118</v>
      </c>
      <c r="K536" s="8" t="s">
        <v>727</v>
      </c>
    </row>
    <row r="537" spans="1:11" ht="18" hidden="1" x14ac:dyDescent="0.4">
      <c r="A537" s="7" t="s">
        <v>475</v>
      </c>
      <c r="B537" s="16" t="s">
        <v>451</v>
      </c>
      <c r="C537" s="8">
        <v>30460</v>
      </c>
      <c r="D537" s="9">
        <v>552792238</v>
      </c>
      <c r="E537" s="57">
        <v>700</v>
      </c>
      <c r="F537" s="10" t="s">
        <v>513</v>
      </c>
      <c r="G537" s="9">
        <f>Geral!G537</f>
        <v>0</v>
      </c>
      <c r="H537" s="9">
        <f t="shared" si="27"/>
        <v>0</v>
      </c>
      <c r="I537" s="11">
        <f t="shared" ca="1" si="28"/>
        <v>46119</v>
      </c>
      <c r="J537" s="11">
        <f t="shared" ca="1" si="29"/>
        <v>46118</v>
      </c>
      <c r="K537" s="8" t="s">
        <v>727</v>
      </c>
    </row>
    <row r="538" spans="1:11" ht="18" hidden="1" x14ac:dyDescent="0.4">
      <c r="A538" s="60" t="s">
        <v>475</v>
      </c>
      <c r="B538" s="81" t="s">
        <v>451</v>
      </c>
      <c r="C538" s="60">
        <v>30460</v>
      </c>
      <c r="D538" s="61">
        <v>463458098</v>
      </c>
      <c r="E538" s="57">
        <v>1650</v>
      </c>
      <c r="F538" s="10" t="s">
        <v>514</v>
      </c>
      <c r="G538" s="9">
        <f>Geral!G538</f>
        <v>1650</v>
      </c>
      <c r="H538" s="9">
        <f t="shared" si="27"/>
        <v>1</v>
      </c>
      <c r="I538" s="11">
        <f t="shared" ca="1" si="28"/>
        <v>46119</v>
      </c>
      <c r="J538" s="11">
        <f t="shared" ca="1" si="29"/>
        <v>46118</v>
      </c>
      <c r="K538" s="60" t="s">
        <v>727</v>
      </c>
    </row>
    <row r="539" spans="1:11" ht="18" hidden="1" x14ac:dyDescent="0.4">
      <c r="A539" s="7" t="s">
        <v>475</v>
      </c>
      <c r="B539" s="7" t="s">
        <v>95</v>
      </c>
      <c r="C539" s="8">
        <v>45150</v>
      </c>
      <c r="D539" s="9">
        <v>77894011</v>
      </c>
      <c r="E539" s="57">
        <v>300</v>
      </c>
      <c r="F539" s="10" t="s">
        <v>515</v>
      </c>
      <c r="G539" s="61">
        <v>600</v>
      </c>
      <c r="H539" s="9">
        <f t="shared" si="27"/>
        <v>2</v>
      </c>
      <c r="I539" s="11">
        <f ca="1">I537</f>
        <v>46119</v>
      </c>
      <c r="J539" s="11">
        <f t="shared" ca="1" si="29"/>
        <v>46118</v>
      </c>
      <c r="K539" s="60" t="s">
        <v>728</v>
      </c>
    </row>
    <row r="540" spans="1:11" ht="18" hidden="1" x14ac:dyDescent="0.4">
      <c r="A540" s="7" t="s">
        <v>475</v>
      </c>
      <c r="B540" s="7" t="s">
        <v>95</v>
      </c>
      <c r="C540" s="8">
        <v>45150</v>
      </c>
      <c r="D540" s="9">
        <v>467721611</v>
      </c>
      <c r="E540" s="57">
        <v>240</v>
      </c>
      <c r="F540" s="10" t="s">
        <v>516</v>
      </c>
      <c r="G540" s="61">
        <v>720</v>
      </c>
      <c r="H540" s="9">
        <f t="shared" si="27"/>
        <v>3</v>
      </c>
      <c r="I540" s="11">
        <f t="shared" ca="1" si="28"/>
        <v>46119</v>
      </c>
      <c r="J540" s="11">
        <f t="shared" ca="1" si="29"/>
        <v>46118</v>
      </c>
      <c r="K540" s="60" t="s">
        <v>728</v>
      </c>
    </row>
    <row r="541" spans="1:11" ht="18" hidden="1" x14ac:dyDescent="0.4">
      <c r="A541" s="60" t="s">
        <v>475</v>
      </c>
      <c r="B541" s="60" t="s">
        <v>517</v>
      </c>
      <c r="C541" s="60">
        <v>46051</v>
      </c>
      <c r="D541" s="61">
        <v>463559961</v>
      </c>
      <c r="E541" s="57">
        <v>270</v>
      </c>
      <c r="F541" s="10" t="s">
        <v>518</v>
      </c>
      <c r="G541" s="9">
        <f>Geral!G541</f>
        <v>0</v>
      </c>
      <c r="H541" s="9">
        <f t="shared" si="27"/>
        <v>0</v>
      </c>
      <c r="I541" s="11">
        <f t="shared" ca="1" si="28"/>
        <v>46119</v>
      </c>
      <c r="J541" s="11">
        <f t="shared" ca="1" si="29"/>
        <v>46118</v>
      </c>
      <c r="K541" s="60"/>
    </row>
    <row r="542" spans="1:11" ht="18" hidden="1" x14ac:dyDescent="0.4">
      <c r="A542" s="7" t="s">
        <v>475</v>
      </c>
      <c r="B542" s="7" t="s">
        <v>517</v>
      </c>
      <c r="C542" s="8">
        <v>46051</v>
      </c>
      <c r="D542" s="9">
        <v>75821121</v>
      </c>
      <c r="E542" s="57">
        <v>270</v>
      </c>
      <c r="F542" s="10" t="s">
        <v>519</v>
      </c>
      <c r="G542" s="9">
        <f>Geral!G542</f>
        <v>0</v>
      </c>
      <c r="H542" s="9">
        <f t="shared" si="27"/>
        <v>0</v>
      </c>
      <c r="I542" s="11">
        <f ca="1">I540</f>
        <v>46119</v>
      </c>
      <c r="J542" s="11">
        <f t="shared" ca="1" si="29"/>
        <v>46118</v>
      </c>
      <c r="K542" s="8"/>
    </row>
    <row r="543" spans="1:11" ht="18" hidden="1" x14ac:dyDescent="0.4">
      <c r="A543" s="7" t="s">
        <v>475</v>
      </c>
      <c r="B543" s="7" t="s">
        <v>517</v>
      </c>
      <c r="C543" s="8">
        <v>46051</v>
      </c>
      <c r="D543" s="9">
        <v>463433241</v>
      </c>
      <c r="E543" s="57">
        <v>270</v>
      </c>
      <c r="F543" s="10" t="s">
        <v>520</v>
      </c>
      <c r="G543" s="9">
        <f>1620+540</f>
        <v>2160</v>
      </c>
      <c r="H543" s="9">
        <f t="shared" si="27"/>
        <v>8</v>
      </c>
      <c r="I543" s="11">
        <f t="shared" ca="1" si="28"/>
        <v>46119</v>
      </c>
      <c r="J543" s="11">
        <f t="shared" ca="1" si="29"/>
        <v>46118</v>
      </c>
      <c r="K543" s="60" t="s">
        <v>729</v>
      </c>
    </row>
    <row r="544" spans="1:11" ht="18" hidden="1" x14ac:dyDescent="0.4">
      <c r="A544" s="7" t="s">
        <v>475</v>
      </c>
      <c r="B544" s="7" t="s">
        <v>517</v>
      </c>
      <c r="C544" s="8">
        <v>46051</v>
      </c>
      <c r="D544" s="9">
        <v>464420321</v>
      </c>
      <c r="E544" s="57">
        <v>270</v>
      </c>
      <c r="F544" s="10" t="s">
        <v>521</v>
      </c>
      <c r="G544" s="9">
        <f>Geral!G544</f>
        <v>0</v>
      </c>
      <c r="H544" s="9">
        <f t="shared" si="27"/>
        <v>0</v>
      </c>
      <c r="I544" s="11">
        <f t="shared" ca="1" si="28"/>
        <v>46119</v>
      </c>
      <c r="J544" s="11">
        <f t="shared" ca="1" si="29"/>
        <v>46118</v>
      </c>
      <c r="K544" s="8"/>
    </row>
    <row r="545" spans="1:11" ht="18" hidden="1" x14ac:dyDescent="0.4">
      <c r="A545" s="7" t="s">
        <v>475</v>
      </c>
      <c r="B545" s="7" t="s">
        <v>517</v>
      </c>
      <c r="C545" s="8">
        <v>46051</v>
      </c>
      <c r="D545" s="9">
        <v>465555151</v>
      </c>
      <c r="E545" s="57">
        <v>270</v>
      </c>
      <c r="F545" s="10" t="s">
        <v>522</v>
      </c>
      <c r="G545" s="9">
        <f>Geral!G545</f>
        <v>0</v>
      </c>
      <c r="H545" s="9">
        <f t="shared" si="27"/>
        <v>0</v>
      </c>
      <c r="I545" s="11">
        <f t="shared" ca="1" si="28"/>
        <v>46119</v>
      </c>
      <c r="J545" s="11">
        <f t="shared" ca="1" si="29"/>
        <v>46118</v>
      </c>
      <c r="K545" s="8"/>
    </row>
    <row r="546" spans="1:11" ht="18" hidden="1" x14ac:dyDescent="0.4">
      <c r="A546" s="7" t="s">
        <v>475</v>
      </c>
      <c r="B546" s="7" t="s">
        <v>517</v>
      </c>
      <c r="C546" s="8">
        <v>46051</v>
      </c>
      <c r="D546" s="9">
        <v>552694438</v>
      </c>
      <c r="E546" s="57">
        <v>270</v>
      </c>
      <c r="F546" s="10" t="s">
        <v>523</v>
      </c>
      <c r="G546" s="9">
        <f>Geral!G546</f>
        <v>0</v>
      </c>
      <c r="H546" s="9">
        <f t="shared" si="27"/>
        <v>0</v>
      </c>
      <c r="I546" s="11">
        <f t="shared" ca="1" si="28"/>
        <v>46119</v>
      </c>
      <c r="J546" s="11">
        <f t="shared" ca="1" si="29"/>
        <v>46118</v>
      </c>
      <c r="K546" s="8"/>
    </row>
    <row r="547" spans="1:11" ht="18" hidden="1" x14ac:dyDescent="0.4">
      <c r="A547" s="7" t="s">
        <v>475</v>
      </c>
      <c r="B547" s="7" t="s">
        <v>517</v>
      </c>
      <c r="C547" s="8">
        <v>46051</v>
      </c>
      <c r="D547" s="9">
        <v>464197038</v>
      </c>
      <c r="E547" s="57">
        <v>270</v>
      </c>
      <c r="F547" s="10" t="s">
        <v>524</v>
      </c>
      <c r="G547" s="9">
        <f>Geral!G547</f>
        <v>0</v>
      </c>
      <c r="H547" s="9">
        <f t="shared" si="27"/>
        <v>0</v>
      </c>
      <c r="I547" s="11">
        <f t="shared" ca="1" si="28"/>
        <v>46119</v>
      </c>
      <c r="J547" s="11">
        <f t="shared" ca="1" si="29"/>
        <v>46118</v>
      </c>
      <c r="K547" s="8"/>
    </row>
    <row r="548" spans="1:11" ht="18" hidden="1" x14ac:dyDescent="0.4">
      <c r="A548" s="7" t="s">
        <v>475</v>
      </c>
      <c r="B548" s="7" t="s">
        <v>517</v>
      </c>
      <c r="C548" s="8">
        <v>46051</v>
      </c>
      <c r="D548" s="9">
        <v>77603518</v>
      </c>
      <c r="E548" s="57">
        <v>270</v>
      </c>
      <c r="F548" s="10" t="s">
        <v>525</v>
      </c>
      <c r="G548" s="9">
        <f>Geral!G548</f>
        <v>0</v>
      </c>
      <c r="H548" s="9">
        <f t="shared" si="27"/>
        <v>0</v>
      </c>
      <c r="I548" s="11">
        <f t="shared" ca="1" si="28"/>
        <v>46119</v>
      </c>
      <c r="J548" s="11">
        <f t="shared" ca="1" si="29"/>
        <v>46118</v>
      </c>
      <c r="K548" s="8"/>
    </row>
    <row r="549" spans="1:11" ht="18" hidden="1" x14ac:dyDescent="0.4">
      <c r="A549" s="60" t="s">
        <v>475</v>
      </c>
      <c r="B549" s="60" t="s">
        <v>517</v>
      </c>
      <c r="C549" s="60">
        <v>46051</v>
      </c>
      <c r="D549" s="61">
        <v>463559978</v>
      </c>
      <c r="E549" s="57">
        <v>270</v>
      </c>
      <c r="F549" s="37" t="s">
        <v>526</v>
      </c>
      <c r="G549" s="9">
        <f>Geral!G549</f>
        <v>0</v>
      </c>
      <c r="H549" s="9">
        <f t="shared" si="27"/>
        <v>0</v>
      </c>
      <c r="I549" s="11">
        <f t="shared" ca="1" si="28"/>
        <v>46119</v>
      </c>
      <c r="J549" s="11">
        <f t="shared" ca="1" si="29"/>
        <v>46118</v>
      </c>
      <c r="K549" s="8"/>
    </row>
    <row r="550" spans="1:11" ht="18" hidden="1" x14ac:dyDescent="0.4">
      <c r="A550" s="7" t="s">
        <v>475</v>
      </c>
      <c r="B550" s="7" t="s">
        <v>517</v>
      </c>
      <c r="C550" s="8">
        <v>46051</v>
      </c>
      <c r="D550" s="9">
        <v>463433238</v>
      </c>
      <c r="E550" s="57">
        <v>270</v>
      </c>
      <c r="F550" s="37" t="s">
        <v>527</v>
      </c>
      <c r="G550" s="9">
        <f>Geral!G550</f>
        <v>0</v>
      </c>
      <c r="H550" s="9">
        <f t="shared" si="27"/>
        <v>0</v>
      </c>
      <c r="I550" s="11">
        <f ca="1">I548</f>
        <v>46119</v>
      </c>
      <c r="J550" s="11">
        <f t="shared" ca="1" si="29"/>
        <v>46118</v>
      </c>
      <c r="K550" s="8"/>
    </row>
    <row r="551" spans="1:11" ht="18" hidden="1" x14ac:dyDescent="0.4">
      <c r="A551" s="60" t="s">
        <v>475</v>
      </c>
      <c r="B551" s="60" t="s">
        <v>517</v>
      </c>
      <c r="C551" s="60">
        <v>46051</v>
      </c>
      <c r="D551" s="61">
        <v>463585598</v>
      </c>
      <c r="E551" s="57">
        <v>270</v>
      </c>
      <c r="F551" s="37" t="s">
        <v>527</v>
      </c>
      <c r="G551" s="9">
        <f>Geral!G551</f>
        <v>810</v>
      </c>
      <c r="H551" s="9">
        <f t="shared" si="27"/>
        <v>3</v>
      </c>
      <c r="I551" s="11">
        <f ca="1">I549</f>
        <v>46119</v>
      </c>
      <c r="J551" s="11">
        <f t="shared" ca="1" si="29"/>
        <v>46118</v>
      </c>
      <c r="K551" s="8"/>
    </row>
    <row r="552" spans="1:11" ht="18" hidden="1" x14ac:dyDescent="0.4">
      <c r="A552" s="7" t="s">
        <v>475</v>
      </c>
      <c r="B552" s="7" t="s">
        <v>517</v>
      </c>
      <c r="C552" s="8">
        <v>46051</v>
      </c>
      <c r="D552" s="9">
        <v>465555148</v>
      </c>
      <c r="E552" s="57">
        <v>270</v>
      </c>
      <c r="F552" s="37" t="s">
        <v>528</v>
      </c>
      <c r="G552" s="9">
        <f>Geral!G552</f>
        <v>0</v>
      </c>
      <c r="H552" s="9">
        <f t="shared" si="27"/>
        <v>0</v>
      </c>
      <c r="I552" s="11">
        <f ca="1">I550</f>
        <v>46119</v>
      </c>
      <c r="J552" s="11">
        <f t="shared" ca="1" si="29"/>
        <v>46118</v>
      </c>
      <c r="K552" s="8"/>
    </row>
    <row r="553" spans="1:11" ht="18" hidden="1" x14ac:dyDescent="0.4">
      <c r="A553" s="7" t="s">
        <v>475</v>
      </c>
      <c r="B553" s="7" t="s">
        <v>517</v>
      </c>
      <c r="C553" s="8">
        <v>46051</v>
      </c>
      <c r="D553" s="9">
        <v>463496858</v>
      </c>
      <c r="E553" s="57">
        <v>270</v>
      </c>
      <c r="F553" s="37" t="s">
        <v>529</v>
      </c>
      <c r="G553" s="9">
        <f>Geral!G553</f>
        <v>0</v>
      </c>
      <c r="H553" s="9">
        <f t="shared" si="27"/>
        <v>0</v>
      </c>
      <c r="I553" s="11">
        <f t="shared" ca="1" si="28"/>
        <v>46119</v>
      </c>
      <c r="J553" s="11">
        <f t="shared" ca="1" si="29"/>
        <v>46118</v>
      </c>
      <c r="K553" s="8"/>
    </row>
    <row r="554" spans="1:11" ht="18" hidden="1" x14ac:dyDescent="0.4">
      <c r="A554" s="7" t="s">
        <v>475</v>
      </c>
      <c r="B554" s="7" t="s">
        <v>517</v>
      </c>
      <c r="C554" s="8">
        <v>46051</v>
      </c>
      <c r="D554" s="9">
        <v>463535748</v>
      </c>
      <c r="E554" s="57">
        <v>270</v>
      </c>
      <c r="F554" s="37" t="s">
        <v>528</v>
      </c>
      <c r="G554" s="9">
        <f>Geral!G554</f>
        <v>540</v>
      </c>
      <c r="H554" s="9">
        <f t="shared" si="27"/>
        <v>2</v>
      </c>
      <c r="I554" s="11">
        <f t="shared" ca="1" si="28"/>
        <v>46119</v>
      </c>
      <c r="J554" s="11">
        <f t="shared" ca="1" si="29"/>
        <v>46118</v>
      </c>
      <c r="K554" s="8"/>
    </row>
    <row r="555" spans="1:11" ht="18" hidden="1" x14ac:dyDescent="0.4">
      <c r="A555" s="7" t="s">
        <v>475</v>
      </c>
      <c r="B555" s="7" t="s">
        <v>517</v>
      </c>
      <c r="C555" s="8">
        <v>46051</v>
      </c>
      <c r="D555" s="9">
        <v>552694428</v>
      </c>
      <c r="E555" s="57">
        <v>270</v>
      </c>
      <c r="F555" s="10" t="s">
        <v>530</v>
      </c>
      <c r="G555" s="9">
        <f>Geral!G555</f>
        <v>0</v>
      </c>
      <c r="H555" s="9">
        <f t="shared" si="27"/>
        <v>0</v>
      </c>
      <c r="I555" s="11">
        <f t="shared" ca="1" si="28"/>
        <v>46119</v>
      </c>
      <c r="J555" s="11">
        <f t="shared" ca="1" si="29"/>
        <v>46118</v>
      </c>
      <c r="K555" s="8"/>
    </row>
    <row r="556" spans="1:11" ht="18" hidden="1" x14ac:dyDescent="0.4">
      <c r="A556" s="7" t="s">
        <v>475</v>
      </c>
      <c r="B556" s="7" t="s">
        <v>517</v>
      </c>
      <c r="C556" s="8">
        <v>46051</v>
      </c>
      <c r="D556" s="9">
        <v>552571388</v>
      </c>
      <c r="E556" s="57">
        <v>270</v>
      </c>
      <c r="F556" s="37" t="s">
        <v>531</v>
      </c>
      <c r="G556" s="9">
        <f>Geral!G556</f>
        <v>0</v>
      </c>
      <c r="H556" s="9">
        <f t="shared" si="27"/>
        <v>0</v>
      </c>
      <c r="I556" s="11">
        <f t="shared" ca="1" si="28"/>
        <v>46119</v>
      </c>
      <c r="J556" s="11">
        <f t="shared" ca="1" si="29"/>
        <v>46118</v>
      </c>
      <c r="K556" s="8"/>
    </row>
    <row r="557" spans="1:11" ht="18" hidden="1" x14ac:dyDescent="0.4">
      <c r="A557" s="7" t="s">
        <v>475</v>
      </c>
      <c r="B557" s="7" t="s">
        <v>517</v>
      </c>
      <c r="C557" s="8">
        <v>46051</v>
      </c>
      <c r="D557" s="9">
        <v>552774808</v>
      </c>
      <c r="E557" s="57">
        <v>270</v>
      </c>
      <c r="F557" s="37" t="s">
        <v>532</v>
      </c>
      <c r="G557" s="9">
        <f>Geral!G557</f>
        <v>0</v>
      </c>
      <c r="H557" s="9">
        <f t="shared" si="27"/>
        <v>0</v>
      </c>
      <c r="I557" s="11">
        <f t="shared" ca="1" si="28"/>
        <v>46119</v>
      </c>
      <c r="J557" s="11">
        <f t="shared" ca="1" si="29"/>
        <v>46118</v>
      </c>
      <c r="K557" s="8"/>
    </row>
    <row r="558" spans="1:11" ht="18" hidden="1" x14ac:dyDescent="0.4">
      <c r="A558" s="7" t="s">
        <v>475</v>
      </c>
      <c r="B558" s="7" t="s">
        <v>517</v>
      </c>
      <c r="C558" s="8">
        <v>46051</v>
      </c>
      <c r="D558" s="9">
        <v>463496828</v>
      </c>
      <c r="E558" s="57">
        <v>270</v>
      </c>
      <c r="F558" s="37" t="s">
        <v>533</v>
      </c>
      <c r="G558" s="9">
        <f>Geral!G558</f>
        <v>0</v>
      </c>
      <c r="H558" s="9">
        <f t="shared" si="27"/>
        <v>0</v>
      </c>
      <c r="I558" s="11">
        <f t="shared" ca="1" si="28"/>
        <v>46119</v>
      </c>
      <c r="J558" s="11">
        <f t="shared" ca="1" si="29"/>
        <v>46118</v>
      </c>
      <c r="K558" s="8"/>
    </row>
    <row r="559" spans="1:11" ht="18" hidden="1" x14ac:dyDescent="0.4">
      <c r="A559" s="7" t="s">
        <v>475</v>
      </c>
      <c r="B559" s="7" t="s">
        <v>517</v>
      </c>
      <c r="C559" s="8">
        <v>46051</v>
      </c>
      <c r="D559" s="9">
        <v>552825828</v>
      </c>
      <c r="E559" s="57">
        <v>270</v>
      </c>
      <c r="F559" s="37" t="s">
        <v>534</v>
      </c>
      <c r="G559" s="9">
        <f>Geral!G559</f>
        <v>0</v>
      </c>
      <c r="H559" s="9">
        <f t="shared" ref="H559:H622" si="30">G559/E559</f>
        <v>0</v>
      </c>
      <c r="I559" s="11">
        <f t="shared" ca="1" si="28"/>
        <v>46119</v>
      </c>
      <c r="J559" s="11">
        <f t="shared" ca="1" si="29"/>
        <v>46118</v>
      </c>
      <c r="K559" s="8"/>
    </row>
    <row r="560" spans="1:11" ht="18" hidden="1" x14ac:dyDescent="0.4">
      <c r="A560" s="7" t="s">
        <v>475</v>
      </c>
      <c r="B560" s="7" t="s">
        <v>517</v>
      </c>
      <c r="C560" s="8">
        <v>46051</v>
      </c>
      <c r="D560" s="9">
        <v>552835168</v>
      </c>
      <c r="E560" s="57">
        <v>270</v>
      </c>
      <c r="F560" s="37" t="s">
        <v>535</v>
      </c>
      <c r="G560" s="9">
        <f>Geral!G560</f>
        <v>0</v>
      </c>
      <c r="H560" s="9">
        <f t="shared" si="30"/>
        <v>0</v>
      </c>
      <c r="I560" s="11">
        <f t="shared" ca="1" si="28"/>
        <v>46119</v>
      </c>
      <c r="J560" s="11">
        <f t="shared" ca="1" si="29"/>
        <v>46118</v>
      </c>
      <c r="K560" s="8"/>
    </row>
    <row r="561" spans="1:11" ht="18" hidden="1" x14ac:dyDescent="0.4">
      <c r="A561" s="7" t="s">
        <v>475</v>
      </c>
      <c r="B561" s="7" t="s">
        <v>517</v>
      </c>
      <c r="C561" s="8">
        <v>46051</v>
      </c>
      <c r="D561" s="9">
        <v>551957818</v>
      </c>
      <c r="E561" s="57">
        <v>270</v>
      </c>
      <c r="F561" s="37" t="s">
        <v>536</v>
      </c>
      <c r="G561" s="9">
        <f>Geral!G561</f>
        <v>0</v>
      </c>
      <c r="H561" s="9">
        <f t="shared" si="30"/>
        <v>0</v>
      </c>
      <c r="I561" s="11">
        <f t="shared" ca="1" si="28"/>
        <v>46119</v>
      </c>
      <c r="J561" s="11">
        <f t="shared" ca="1" si="29"/>
        <v>46118</v>
      </c>
      <c r="K561" s="8"/>
    </row>
    <row r="562" spans="1:11" ht="18" hidden="1" x14ac:dyDescent="0.4">
      <c r="A562" s="7" t="s">
        <v>475</v>
      </c>
      <c r="B562" s="7" t="s">
        <v>517</v>
      </c>
      <c r="C562" s="8">
        <v>46051</v>
      </c>
      <c r="D562" s="9">
        <v>463496838</v>
      </c>
      <c r="E562" s="57">
        <v>270</v>
      </c>
      <c r="F562" s="37" t="s">
        <v>536</v>
      </c>
      <c r="G562" s="9">
        <f>Geral!G562</f>
        <v>0</v>
      </c>
      <c r="H562" s="9">
        <f t="shared" si="30"/>
        <v>0</v>
      </c>
      <c r="I562" s="11">
        <f t="shared" ca="1" si="28"/>
        <v>46119</v>
      </c>
      <c r="J562" s="11">
        <f t="shared" ca="1" si="29"/>
        <v>46118</v>
      </c>
      <c r="K562" s="8"/>
    </row>
    <row r="563" spans="1:11" ht="18" hidden="1" x14ac:dyDescent="0.4">
      <c r="A563" s="7" t="s">
        <v>475</v>
      </c>
      <c r="B563" s="7" t="s">
        <v>517</v>
      </c>
      <c r="C563" s="8">
        <v>46051</v>
      </c>
      <c r="D563" s="9">
        <v>552284868</v>
      </c>
      <c r="E563" s="57">
        <v>270</v>
      </c>
      <c r="F563" s="37" t="s">
        <v>537</v>
      </c>
      <c r="G563" s="9">
        <f>Geral!G563</f>
        <v>0</v>
      </c>
      <c r="H563" s="9">
        <f t="shared" si="30"/>
        <v>0</v>
      </c>
      <c r="I563" s="11">
        <f t="shared" ca="1" si="28"/>
        <v>46119</v>
      </c>
      <c r="J563" s="11">
        <f t="shared" ca="1" si="29"/>
        <v>46118</v>
      </c>
      <c r="K563" s="8"/>
    </row>
    <row r="564" spans="1:11" ht="18" hidden="1" x14ac:dyDescent="0.4">
      <c r="A564" s="7" t="s">
        <v>475</v>
      </c>
      <c r="B564" s="7" t="s">
        <v>517</v>
      </c>
      <c r="C564" s="8">
        <v>46051</v>
      </c>
      <c r="D564" s="9">
        <v>463496848</v>
      </c>
      <c r="E564" s="57">
        <v>270</v>
      </c>
      <c r="F564" s="37" t="s">
        <v>538</v>
      </c>
      <c r="G564" s="9">
        <f>Geral!G564</f>
        <v>0</v>
      </c>
      <c r="H564" s="9">
        <f t="shared" si="30"/>
        <v>0</v>
      </c>
      <c r="I564" s="11">
        <f t="shared" ca="1" si="28"/>
        <v>46119</v>
      </c>
      <c r="J564" s="11">
        <f t="shared" ca="1" si="29"/>
        <v>46118</v>
      </c>
      <c r="K564" s="8"/>
    </row>
    <row r="565" spans="1:11" ht="18" hidden="1" x14ac:dyDescent="0.4">
      <c r="A565" s="7" t="s">
        <v>475</v>
      </c>
      <c r="B565" s="7" t="s">
        <v>517</v>
      </c>
      <c r="C565" s="8">
        <v>46051</v>
      </c>
      <c r="D565" s="9">
        <v>552696328</v>
      </c>
      <c r="E565" s="57">
        <v>180</v>
      </c>
      <c r="F565" s="37" t="s">
        <v>539</v>
      </c>
      <c r="G565" s="9">
        <f>Geral!G565</f>
        <v>0</v>
      </c>
      <c r="H565" s="9">
        <f t="shared" si="30"/>
        <v>0</v>
      </c>
      <c r="I565" s="11">
        <f t="shared" ref="I565:I628" ca="1" si="31">I564</f>
        <v>46119</v>
      </c>
      <c r="J565" s="11">
        <f t="shared" ca="1" si="29"/>
        <v>46118</v>
      </c>
      <c r="K565" s="8"/>
    </row>
    <row r="566" spans="1:11" ht="18" hidden="1" x14ac:dyDescent="0.4">
      <c r="A566" s="7" t="s">
        <v>475</v>
      </c>
      <c r="B566" s="7" t="s">
        <v>517</v>
      </c>
      <c r="C566" s="8">
        <v>46051</v>
      </c>
      <c r="D566" s="9">
        <v>463496868</v>
      </c>
      <c r="E566" s="57">
        <v>180</v>
      </c>
      <c r="F566" s="38" t="s">
        <v>540</v>
      </c>
      <c r="G566" s="9">
        <f>Geral!G566</f>
        <v>0</v>
      </c>
      <c r="H566" s="9">
        <f t="shared" si="30"/>
        <v>0</v>
      </c>
      <c r="I566" s="11">
        <f t="shared" ca="1" si="31"/>
        <v>46119</v>
      </c>
      <c r="J566" s="11">
        <f t="shared" ca="1" si="29"/>
        <v>46118</v>
      </c>
      <c r="K566" s="8"/>
    </row>
    <row r="567" spans="1:11" ht="18" hidden="1" x14ac:dyDescent="0.4">
      <c r="A567" s="39" t="s">
        <v>475</v>
      </c>
      <c r="B567" s="39" t="s">
        <v>517</v>
      </c>
      <c r="C567" s="40">
        <v>46051</v>
      </c>
      <c r="D567" s="41">
        <v>552727078</v>
      </c>
      <c r="E567" s="66">
        <v>180</v>
      </c>
      <c r="F567" s="42" t="s">
        <v>541</v>
      </c>
      <c r="G567" s="9">
        <f>Geral!G567</f>
        <v>0</v>
      </c>
      <c r="H567" s="41">
        <f t="shared" si="30"/>
        <v>0</v>
      </c>
      <c r="I567" s="11">
        <f t="shared" ca="1" si="31"/>
        <v>46119</v>
      </c>
      <c r="J567" s="11">
        <f t="shared" ca="1" si="29"/>
        <v>46118</v>
      </c>
      <c r="K567" s="8"/>
    </row>
    <row r="568" spans="1:11" ht="33" hidden="1" customHeight="1" x14ac:dyDescent="0.4">
      <c r="A568" s="39" t="s">
        <v>475</v>
      </c>
      <c r="B568" s="39" t="s">
        <v>517</v>
      </c>
      <c r="C568" s="40">
        <v>46051</v>
      </c>
      <c r="D568" s="41">
        <v>552770948</v>
      </c>
      <c r="E568" s="66">
        <v>180</v>
      </c>
      <c r="F568" s="42" t="s">
        <v>542</v>
      </c>
      <c r="G568" s="9">
        <f>Geral!G568</f>
        <v>0</v>
      </c>
      <c r="H568" s="41">
        <f t="shared" si="30"/>
        <v>0</v>
      </c>
      <c r="I568" s="11">
        <f t="shared" ca="1" si="31"/>
        <v>46119</v>
      </c>
      <c r="J568" s="11">
        <f t="shared" ca="1" si="29"/>
        <v>46118</v>
      </c>
      <c r="K568" s="8"/>
    </row>
    <row r="569" spans="1:11" ht="18" hidden="1" x14ac:dyDescent="0.4">
      <c r="A569" s="7" t="s">
        <v>475</v>
      </c>
      <c r="B569" s="7" t="s">
        <v>517</v>
      </c>
      <c r="C569" s="8">
        <v>46051</v>
      </c>
      <c r="D569" s="9">
        <v>468084498</v>
      </c>
      <c r="E569" s="57">
        <v>180</v>
      </c>
      <c r="F569" s="37" t="s">
        <v>543</v>
      </c>
      <c r="G569" s="9">
        <f>Geral!G569</f>
        <v>0</v>
      </c>
      <c r="H569" s="9">
        <f t="shared" si="30"/>
        <v>0</v>
      </c>
      <c r="I569" s="11">
        <f t="shared" ca="1" si="31"/>
        <v>46119</v>
      </c>
      <c r="J569" s="11">
        <f t="shared" ca="1" si="29"/>
        <v>46118</v>
      </c>
      <c r="K569" s="8"/>
    </row>
    <row r="570" spans="1:11" ht="18" hidden="1" x14ac:dyDescent="0.4">
      <c r="A570" s="7" t="s">
        <v>475</v>
      </c>
      <c r="B570" s="7" t="s">
        <v>517</v>
      </c>
      <c r="C570" s="8">
        <v>46051</v>
      </c>
      <c r="D570" s="9">
        <v>463496808</v>
      </c>
      <c r="E570" s="57">
        <v>180</v>
      </c>
      <c r="F570" s="37" t="s">
        <v>543</v>
      </c>
      <c r="G570" s="9">
        <f>Geral!G570</f>
        <v>0</v>
      </c>
      <c r="H570" s="9">
        <f t="shared" si="30"/>
        <v>0</v>
      </c>
      <c r="I570" s="11">
        <f t="shared" ca="1" si="31"/>
        <v>46119</v>
      </c>
      <c r="J570" s="11">
        <f t="shared" ca="1" si="29"/>
        <v>46118</v>
      </c>
      <c r="K570" s="8"/>
    </row>
    <row r="571" spans="1:11" ht="18" hidden="1" x14ac:dyDescent="0.4">
      <c r="A571" s="7" t="s">
        <v>475</v>
      </c>
      <c r="B571" s="7" t="s">
        <v>517</v>
      </c>
      <c r="C571" s="8">
        <v>46051</v>
      </c>
      <c r="D571" s="9">
        <v>552792188</v>
      </c>
      <c r="E571" s="57">
        <v>180</v>
      </c>
      <c r="F571" s="37" t="s">
        <v>544</v>
      </c>
      <c r="G571" s="9">
        <f>Geral!G571</f>
        <v>0</v>
      </c>
      <c r="H571" s="9">
        <f t="shared" si="30"/>
        <v>0</v>
      </c>
      <c r="I571" s="11">
        <f t="shared" ca="1" si="31"/>
        <v>46119</v>
      </c>
      <c r="J571" s="11">
        <f t="shared" ca="1" si="29"/>
        <v>46118</v>
      </c>
      <c r="K571" s="8"/>
    </row>
    <row r="572" spans="1:11" ht="18" hidden="1" x14ac:dyDescent="0.4">
      <c r="A572" s="7" t="s">
        <v>475</v>
      </c>
      <c r="B572" s="7" t="s">
        <v>517</v>
      </c>
      <c r="C572" s="8">
        <v>46051</v>
      </c>
      <c r="D572" s="9">
        <v>463504548</v>
      </c>
      <c r="E572" s="57">
        <v>180</v>
      </c>
      <c r="F572" s="37" t="s">
        <v>545</v>
      </c>
      <c r="G572" s="9">
        <f>Geral!G572</f>
        <v>0</v>
      </c>
      <c r="H572" s="9">
        <f t="shared" si="30"/>
        <v>0</v>
      </c>
      <c r="I572" s="11">
        <f t="shared" ca="1" si="31"/>
        <v>46119</v>
      </c>
      <c r="J572" s="11">
        <f t="shared" ca="1" si="29"/>
        <v>46118</v>
      </c>
      <c r="K572" s="8"/>
    </row>
    <row r="573" spans="1:11" ht="18" hidden="1" x14ac:dyDescent="0.4">
      <c r="A573" s="7" t="s">
        <v>475</v>
      </c>
      <c r="B573" s="7" t="s">
        <v>517</v>
      </c>
      <c r="C573" s="8">
        <v>46051</v>
      </c>
      <c r="D573" s="9">
        <v>468085168</v>
      </c>
      <c r="E573" s="57">
        <v>180</v>
      </c>
      <c r="F573" s="37" t="s">
        <v>546</v>
      </c>
      <c r="G573" s="9">
        <f>Geral!G573</f>
        <v>0</v>
      </c>
      <c r="H573" s="9">
        <f t="shared" si="30"/>
        <v>0</v>
      </c>
      <c r="I573" s="11">
        <f t="shared" ca="1" si="31"/>
        <v>46119</v>
      </c>
      <c r="J573" s="11">
        <f t="shared" ca="1" si="29"/>
        <v>46118</v>
      </c>
      <c r="K573" s="8"/>
    </row>
    <row r="574" spans="1:11" ht="18" hidden="1" x14ac:dyDescent="0.4">
      <c r="A574" s="7" t="s">
        <v>475</v>
      </c>
      <c r="B574" s="7" t="s">
        <v>517</v>
      </c>
      <c r="C574" s="8">
        <v>46051</v>
      </c>
      <c r="D574" s="9">
        <v>468085188</v>
      </c>
      <c r="E574" s="57">
        <v>180</v>
      </c>
      <c r="F574" s="37" t="s">
        <v>547</v>
      </c>
      <c r="G574" s="9">
        <f>Geral!G574</f>
        <v>0</v>
      </c>
      <c r="H574" s="9">
        <f t="shared" si="30"/>
        <v>0</v>
      </c>
      <c r="I574" s="11">
        <f t="shared" ca="1" si="31"/>
        <v>46119</v>
      </c>
      <c r="J574" s="11">
        <f t="shared" ca="1" si="29"/>
        <v>46118</v>
      </c>
      <c r="K574" s="8"/>
    </row>
    <row r="575" spans="1:11" ht="18" hidden="1" x14ac:dyDescent="0.4">
      <c r="A575" s="7" t="s">
        <v>475</v>
      </c>
      <c r="B575" s="7" t="s">
        <v>517</v>
      </c>
      <c r="C575" s="8">
        <v>46051</v>
      </c>
      <c r="D575" s="9">
        <v>552049748</v>
      </c>
      <c r="E575" s="57">
        <v>180</v>
      </c>
      <c r="F575" s="37" t="s">
        <v>545</v>
      </c>
      <c r="G575" s="9">
        <f>Geral!G575</f>
        <v>0</v>
      </c>
      <c r="H575" s="9">
        <f t="shared" si="30"/>
        <v>0</v>
      </c>
      <c r="I575" s="11">
        <f t="shared" ca="1" si="31"/>
        <v>46119</v>
      </c>
      <c r="J575" s="11">
        <f t="shared" ca="1" si="29"/>
        <v>46118</v>
      </c>
      <c r="K575" s="8"/>
    </row>
    <row r="576" spans="1:11" ht="18" hidden="1" x14ac:dyDescent="0.4">
      <c r="A576" s="7" t="s">
        <v>475</v>
      </c>
      <c r="B576" s="7" t="s">
        <v>517</v>
      </c>
      <c r="C576" s="8">
        <v>46051</v>
      </c>
      <c r="D576" s="9">
        <v>552486488</v>
      </c>
      <c r="E576" s="57">
        <v>180</v>
      </c>
      <c r="F576" s="37" t="s">
        <v>548</v>
      </c>
      <c r="G576" s="9">
        <f>Geral!G576</f>
        <v>0</v>
      </c>
      <c r="H576" s="9">
        <f t="shared" si="30"/>
        <v>0</v>
      </c>
      <c r="I576" s="11">
        <f t="shared" ca="1" si="31"/>
        <v>46119</v>
      </c>
      <c r="J576" s="11">
        <f t="shared" ca="1" si="29"/>
        <v>46118</v>
      </c>
      <c r="K576" s="8"/>
    </row>
    <row r="577" spans="1:14" ht="18" hidden="1" x14ac:dyDescent="0.4">
      <c r="A577" s="7" t="s">
        <v>475</v>
      </c>
      <c r="B577" s="7" t="s">
        <v>517</v>
      </c>
      <c r="C577" s="8">
        <v>46051</v>
      </c>
      <c r="D577" s="9">
        <v>463508568</v>
      </c>
      <c r="E577" s="57">
        <v>180</v>
      </c>
      <c r="F577" s="37" t="s">
        <v>549</v>
      </c>
      <c r="G577" s="9">
        <v>1800</v>
      </c>
      <c r="H577" s="9">
        <f t="shared" si="30"/>
        <v>10</v>
      </c>
      <c r="I577" s="11">
        <f t="shared" ca="1" si="31"/>
        <v>46119</v>
      </c>
      <c r="J577" s="11">
        <f t="shared" ca="1" si="29"/>
        <v>46118</v>
      </c>
      <c r="K577" s="60" t="s">
        <v>729</v>
      </c>
      <c r="N577" s="26"/>
    </row>
    <row r="578" spans="1:14" ht="18" hidden="1" x14ac:dyDescent="0.4">
      <c r="A578" s="7" t="s">
        <v>475</v>
      </c>
      <c r="B578" s="7" t="s">
        <v>517</v>
      </c>
      <c r="C578" s="8">
        <v>46051</v>
      </c>
      <c r="D578" s="9">
        <v>463503948</v>
      </c>
      <c r="E578" s="57">
        <v>180</v>
      </c>
      <c r="F578" s="37" t="s">
        <v>550</v>
      </c>
      <c r="G578" s="9">
        <f>Geral!G578</f>
        <v>0</v>
      </c>
      <c r="H578" s="9">
        <f t="shared" si="30"/>
        <v>0</v>
      </c>
      <c r="I578" s="11">
        <f t="shared" ca="1" si="31"/>
        <v>46119</v>
      </c>
      <c r="J578" s="11">
        <f t="shared" ca="1" si="29"/>
        <v>46118</v>
      </c>
      <c r="K578" s="8"/>
    </row>
    <row r="579" spans="1:14" ht="18" hidden="1" x14ac:dyDescent="0.4">
      <c r="A579" s="7" t="s">
        <v>475</v>
      </c>
      <c r="B579" s="7" t="s">
        <v>517</v>
      </c>
      <c r="C579" s="8">
        <v>46051</v>
      </c>
      <c r="D579" s="9">
        <v>463496798</v>
      </c>
      <c r="E579" s="57">
        <v>180</v>
      </c>
      <c r="F579" s="37" t="s">
        <v>551</v>
      </c>
      <c r="G579" s="9">
        <f>Geral!G579</f>
        <v>0</v>
      </c>
      <c r="H579" s="9">
        <f t="shared" si="30"/>
        <v>0</v>
      </c>
      <c r="I579" s="11">
        <f t="shared" ca="1" si="31"/>
        <v>46119</v>
      </c>
      <c r="J579" s="11">
        <f t="shared" ca="1" si="29"/>
        <v>46118</v>
      </c>
      <c r="K579" s="8"/>
    </row>
    <row r="580" spans="1:14" ht="18" hidden="1" x14ac:dyDescent="0.4">
      <c r="A580" s="7" t="s">
        <v>475</v>
      </c>
      <c r="B580" s="7" t="s">
        <v>517</v>
      </c>
      <c r="C580" s="8">
        <v>46051</v>
      </c>
      <c r="D580" s="9">
        <v>552696318</v>
      </c>
      <c r="E580" s="57">
        <v>180</v>
      </c>
      <c r="F580" s="37" t="s">
        <v>551</v>
      </c>
      <c r="G580" s="9">
        <f>Geral!G580</f>
        <v>0</v>
      </c>
      <c r="H580" s="9">
        <f t="shared" si="30"/>
        <v>0</v>
      </c>
      <c r="I580" s="11">
        <f t="shared" ca="1" si="31"/>
        <v>46119</v>
      </c>
      <c r="J580" s="11">
        <f t="shared" ref="J580:J643" ca="1" si="32">TODAY()</f>
        <v>46118</v>
      </c>
      <c r="K580" s="8"/>
    </row>
    <row r="581" spans="1:14" ht="18" hidden="1" x14ac:dyDescent="0.4">
      <c r="A581" s="92" t="s">
        <v>475</v>
      </c>
      <c r="B581" s="22" t="s">
        <v>552</v>
      </c>
      <c r="C581" s="23">
        <v>19414</v>
      </c>
      <c r="D581" s="24">
        <v>76779780</v>
      </c>
      <c r="E581" s="67">
        <v>300</v>
      </c>
      <c r="F581" s="25" t="s">
        <v>553</v>
      </c>
      <c r="G581" s="98">
        <v>0</v>
      </c>
      <c r="H581" s="24">
        <f t="shared" si="30"/>
        <v>0</v>
      </c>
      <c r="I581" s="11">
        <f t="shared" ca="1" si="31"/>
        <v>46119</v>
      </c>
      <c r="J581" s="11">
        <f t="shared" ca="1" si="32"/>
        <v>46118</v>
      </c>
      <c r="K581" s="13"/>
    </row>
    <row r="582" spans="1:14" ht="18" hidden="1" x14ac:dyDescent="0.4">
      <c r="A582" s="93" t="s">
        <v>475</v>
      </c>
      <c r="B582" s="16" t="s">
        <v>552</v>
      </c>
      <c r="C582" s="8">
        <v>19414</v>
      </c>
      <c r="D582" s="9">
        <v>135549210</v>
      </c>
      <c r="E582" s="57">
        <v>250</v>
      </c>
      <c r="F582" s="10" t="s">
        <v>554</v>
      </c>
      <c r="G582" s="98">
        <v>0</v>
      </c>
      <c r="H582" s="9">
        <f t="shared" si="30"/>
        <v>0</v>
      </c>
      <c r="I582" s="11">
        <f t="shared" ca="1" si="31"/>
        <v>46119</v>
      </c>
      <c r="J582" s="11">
        <f t="shared" ca="1" si="32"/>
        <v>46118</v>
      </c>
      <c r="K582" s="13"/>
    </row>
    <row r="583" spans="1:14" ht="18" hidden="1" x14ac:dyDescent="0.4">
      <c r="A583" s="93" t="s">
        <v>475</v>
      </c>
      <c r="B583" s="16" t="s">
        <v>552</v>
      </c>
      <c r="C583" s="8">
        <v>19414</v>
      </c>
      <c r="D583" s="9">
        <v>149359240</v>
      </c>
      <c r="E583" s="57">
        <v>1000</v>
      </c>
      <c r="F583" s="10" t="s">
        <v>555</v>
      </c>
      <c r="G583" s="98">
        <v>0</v>
      </c>
      <c r="H583" s="9">
        <f t="shared" si="30"/>
        <v>0</v>
      </c>
      <c r="I583" s="11">
        <f t="shared" ca="1" si="31"/>
        <v>46119</v>
      </c>
      <c r="J583" s="11">
        <f t="shared" ca="1" si="32"/>
        <v>46118</v>
      </c>
      <c r="K583" s="13"/>
    </row>
    <row r="584" spans="1:14" ht="18" hidden="1" x14ac:dyDescent="0.4">
      <c r="A584" s="93" t="s">
        <v>475</v>
      </c>
      <c r="B584" s="16" t="s">
        <v>552</v>
      </c>
      <c r="C584" s="8">
        <v>19414</v>
      </c>
      <c r="D584" s="9">
        <v>162876210</v>
      </c>
      <c r="E584" s="57">
        <v>500</v>
      </c>
      <c r="F584" s="10" t="s">
        <v>556</v>
      </c>
      <c r="G584" s="98">
        <v>0</v>
      </c>
      <c r="H584" s="9">
        <f t="shared" si="30"/>
        <v>0</v>
      </c>
      <c r="I584" s="11">
        <f t="shared" ca="1" si="31"/>
        <v>46119</v>
      </c>
      <c r="J584" s="11">
        <f t="shared" ca="1" si="32"/>
        <v>46118</v>
      </c>
      <c r="K584" s="13"/>
    </row>
    <row r="585" spans="1:14" ht="18" hidden="1" x14ac:dyDescent="0.4">
      <c r="A585" s="93" t="s">
        <v>475</v>
      </c>
      <c r="B585" s="16" t="s">
        <v>552</v>
      </c>
      <c r="C585" s="8">
        <v>19414</v>
      </c>
      <c r="D585" s="9">
        <v>162885240</v>
      </c>
      <c r="E585" s="57">
        <v>300</v>
      </c>
      <c r="F585" s="10" t="s">
        <v>557</v>
      </c>
      <c r="G585" s="98">
        <v>0</v>
      </c>
      <c r="H585" s="9">
        <f t="shared" si="30"/>
        <v>0</v>
      </c>
      <c r="I585" s="11">
        <f t="shared" ca="1" si="31"/>
        <v>46119</v>
      </c>
      <c r="J585" s="11">
        <f t="shared" ca="1" si="32"/>
        <v>46118</v>
      </c>
      <c r="K585" s="13"/>
    </row>
    <row r="586" spans="1:14" ht="18" hidden="1" x14ac:dyDescent="0.4">
      <c r="A586" s="93" t="s">
        <v>475</v>
      </c>
      <c r="B586" s="16" t="s">
        <v>552</v>
      </c>
      <c r="C586" s="8">
        <v>19414</v>
      </c>
      <c r="D586" s="9">
        <v>187519210</v>
      </c>
      <c r="E586" s="57">
        <v>400</v>
      </c>
      <c r="F586" s="10" t="s">
        <v>558</v>
      </c>
      <c r="G586" s="98">
        <v>0</v>
      </c>
      <c r="H586" s="9">
        <f t="shared" si="30"/>
        <v>0</v>
      </c>
      <c r="I586" s="11">
        <f t="shared" ca="1" si="31"/>
        <v>46119</v>
      </c>
      <c r="J586" s="11">
        <f t="shared" ca="1" si="32"/>
        <v>46118</v>
      </c>
      <c r="K586" s="13"/>
    </row>
    <row r="587" spans="1:14" ht="18" hidden="1" x14ac:dyDescent="0.4">
      <c r="A587" s="93" t="s">
        <v>475</v>
      </c>
      <c r="B587" s="16" t="s">
        <v>552</v>
      </c>
      <c r="C587" s="8">
        <v>19414</v>
      </c>
      <c r="D587" s="9">
        <v>187525210</v>
      </c>
      <c r="E587" s="57">
        <v>500</v>
      </c>
      <c r="F587" s="10" t="s">
        <v>559</v>
      </c>
      <c r="G587" s="98">
        <v>0</v>
      </c>
      <c r="H587" s="9">
        <f t="shared" si="30"/>
        <v>0</v>
      </c>
      <c r="I587" s="11">
        <f t="shared" ca="1" si="31"/>
        <v>46119</v>
      </c>
      <c r="J587" s="11">
        <f t="shared" ca="1" si="32"/>
        <v>46118</v>
      </c>
      <c r="K587" s="13"/>
    </row>
    <row r="588" spans="1:14" ht="18" hidden="1" x14ac:dyDescent="0.4">
      <c r="A588" s="93" t="s">
        <v>475</v>
      </c>
      <c r="B588" s="16" t="s">
        <v>552</v>
      </c>
      <c r="C588" s="8">
        <v>19414</v>
      </c>
      <c r="D588" s="9">
        <v>187527210</v>
      </c>
      <c r="E588" s="57">
        <v>500</v>
      </c>
      <c r="F588" s="10" t="s">
        <v>560</v>
      </c>
      <c r="G588" s="98">
        <v>0</v>
      </c>
      <c r="H588" s="9">
        <f t="shared" si="30"/>
        <v>0</v>
      </c>
      <c r="I588" s="11">
        <f t="shared" ca="1" si="31"/>
        <v>46119</v>
      </c>
      <c r="J588" s="11">
        <f t="shared" ca="1" si="32"/>
        <v>46118</v>
      </c>
      <c r="K588" s="13"/>
    </row>
    <row r="589" spans="1:14" ht="18" hidden="1" x14ac:dyDescent="0.4">
      <c r="A589" s="93" t="s">
        <v>475</v>
      </c>
      <c r="B589" s="16" t="s">
        <v>552</v>
      </c>
      <c r="C589" s="8">
        <v>19414</v>
      </c>
      <c r="D589" s="9">
        <v>187530210</v>
      </c>
      <c r="E589" s="57">
        <v>500</v>
      </c>
      <c r="F589" s="10" t="s">
        <v>561</v>
      </c>
      <c r="G589" s="98">
        <v>0</v>
      </c>
      <c r="H589" s="9">
        <f t="shared" si="30"/>
        <v>0</v>
      </c>
      <c r="I589" s="11">
        <f t="shared" ca="1" si="31"/>
        <v>46119</v>
      </c>
      <c r="J589" s="11">
        <f t="shared" ca="1" si="32"/>
        <v>46118</v>
      </c>
      <c r="K589" s="13"/>
    </row>
    <row r="590" spans="1:14" ht="18" hidden="1" x14ac:dyDescent="0.4">
      <c r="A590" s="93" t="s">
        <v>475</v>
      </c>
      <c r="B590" s="16" t="s">
        <v>552</v>
      </c>
      <c r="C590" s="8">
        <v>19414</v>
      </c>
      <c r="D590" s="9">
        <v>464555000</v>
      </c>
      <c r="E590" s="57">
        <v>250</v>
      </c>
      <c r="F590" s="10" t="s">
        <v>562</v>
      </c>
      <c r="G590" s="98">
        <v>0</v>
      </c>
      <c r="H590" s="9">
        <f t="shared" si="30"/>
        <v>0</v>
      </c>
      <c r="I590" s="11">
        <f t="shared" ca="1" si="31"/>
        <v>46119</v>
      </c>
      <c r="J590" s="11">
        <f t="shared" ca="1" si="32"/>
        <v>46118</v>
      </c>
      <c r="K590" s="13"/>
    </row>
    <row r="591" spans="1:14" ht="18" hidden="1" x14ac:dyDescent="0.4">
      <c r="A591" s="93" t="s">
        <v>475</v>
      </c>
      <c r="B591" s="16" t="s">
        <v>552</v>
      </c>
      <c r="C591" s="8">
        <v>19414</v>
      </c>
      <c r="D591" s="9">
        <v>43913530</v>
      </c>
      <c r="E591" s="57">
        <v>400</v>
      </c>
      <c r="F591" s="10" t="s">
        <v>563</v>
      </c>
      <c r="G591" s="98">
        <v>0</v>
      </c>
      <c r="H591" s="9">
        <f t="shared" si="30"/>
        <v>0</v>
      </c>
      <c r="I591" s="11">
        <f t="shared" ca="1" si="31"/>
        <v>46119</v>
      </c>
      <c r="J591" s="11">
        <f t="shared" ca="1" si="32"/>
        <v>46118</v>
      </c>
      <c r="K591" s="13"/>
    </row>
    <row r="592" spans="1:14" ht="18" hidden="1" x14ac:dyDescent="0.4">
      <c r="A592" s="93" t="s">
        <v>475</v>
      </c>
      <c r="B592" s="16" t="s">
        <v>552</v>
      </c>
      <c r="C592" s="8">
        <v>19414</v>
      </c>
      <c r="D592" s="9">
        <v>75754720</v>
      </c>
      <c r="E592" s="57">
        <v>1500</v>
      </c>
      <c r="F592" s="10" t="s">
        <v>564</v>
      </c>
      <c r="G592" s="98">
        <v>0</v>
      </c>
      <c r="H592" s="9">
        <f t="shared" si="30"/>
        <v>0</v>
      </c>
      <c r="I592" s="11">
        <f t="shared" ca="1" si="31"/>
        <v>46119</v>
      </c>
      <c r="J592" s="11">
        <f t="shared" ca="1" si="32"/>
        <v>46118</v>
      </c>
      <c r="K592" s="13"/>
    </row>
    <row r="593" spans="1:11" ht="18" hidden="1" x14ac:dyDescent="0.4">
      <c r="A593" s="93" t="s">
        <v>475</v>
      </c>
      <c r="B593" s="16" t="s">
        <v>552</v>
      </c>
      <c r="C593" s="8">
        <v>19414</v>
      </c>
      <c r="D593" s="9">
        <v>76648820</v>
      </c>
      <c r="E593" s="57">
        <v>300</v>
      </c>
      <c r="F593" s="10" t="s">
        <v>565</v>
      </c>
      <c r="G593" s="98">
        <v>0</v>
      </c>
      <c r="H593" s="9">
        <f t="shared" si="30"/>
        <v>0</v>
      </c>
      <c r="I593" s="11">
        <f t="shared" ca="1" si="31"/>
        <v>46119</v>
      </c>
      <c r="J593" s="11">
        <f t="shared" ca="1" si="32"/>
        <v>46118</v>
      </c>
      <c r="K593" s="13"/>
    </row>
    <row r="594" spans="1:11" ht="18" hidden="1" x14ac:dyDescent="0.4">
      <c r="A594" s="93" t="s">
        <v>475</v>
      </c>
      <c r="B594" s="16" t="s">
        <v>552</v>
      </c>
      <c r="C594" s="8">
        <v>19414</v>
      </c>
      <c r="D594" s="9">
        <v>162970240</v>
      </c>
      <c r="E594" s="57">
        <v>1200</v>
      </c>
      <c r="F594" s="10" t="s">
        <v>196</v>
      </c>
      <c r="G594" s="98">
        <v>0</v>
      </c>
      <c r="H594" s="9">
        <f t="shared" si="30"/>
        <v>0</v>
      </c>
      <c r="I594" s="11">
        <f t="shared" ca="1" si="31"/>
        <v>46119</v>
      </c>
      <c r="J594" s="11">
        <f t="shared" ca="1" si="32"/>
        <v>46118</v>
      </c>
      <c r="K594" s="13"/>
    </row>
    <row r="595" spans="1:11" ht="18" hidden="1" x14ac:dyDescent="0.4">
      <c r="A595" s="93" t="s">
        <v>475</v>
      </c>
      <c r="B595" s="7" t="s">
        <v>552</v>
      </c>
      <c r="C595" s="8">
        <v>19414</v>
      </c>
      <c r="D595" s="9">
        <v>552599580</v>
      </c>
      <c r="E595" s="57">
        <v>800</v>
      </c>
      <c r="F595" s="18" t="s">
        <v>566</v>
      </c>
      <c r="G595" s="98">
        <v>0</v>
      </c>
      <c r="H595" s="9">
        <f t="shared" si="30"/>
        <v>0</v>
      </c>
      <c r="I595" s="11">
        <f t="shared" ca="1" si="31"/>
        <v>46119</v>
      </c>
      <c r="J595" s="11">
        <f t="shared" ca="1" si="32"/>
        <v>46118</v>
      </c>
      <c r="K595" s="13"/>
    </row>
    <row r="596" spans="1:11" ht="18" hidden="1" x14ac:dyDescent="0.4">
      <c r="A596" s="93" t="s">
        <v>475</v>
      </c>
      <c r="B596" s="7" t="s">
        <v>552</v>
      </c>
      <c r="C596" s="8">
        <v>19414</v>
      </c>
      <c r="D596" s="9">
        <v>552599570</v>
      </c>
      <c r="E596" s="57">
        <v>1400</v>
      </c>
      <c r="F596" s="18" t="s">
        <v>566</v>
      </c>
      <c r="G596" s="98">
        <v>0</v>
      </c>
      <c r="H596" s="9">
        <f t="shared" si="30"/>
        <v>0</v>
      </c>
      <c r="I596" s="11">
        <f t="shared" ca="1" si="31"/>
        <v>46119</v>
      </c>
      <c r="J596" s="11">
        <f t="shared" ca="1" si="32"/>
        <v>46118</v>
      </c>
      <c r="K596" s="13"/>
    </row>
    <row r="597" spans="1:11" ht="18" hidden="1" x14ac:dyDescent="0.4">
      <c r="A597" s="93" t="s">
        <v>475</v>
      </c>
      <c r="B597" s="7" t="s">
        <v>567</v>
      </c>
      <c r="C597" s="8">
        <v>19271</v>
      </c>
      <c r="D597" s="9">
        <v>75810590</v>
      </c>
      <c r="E597" s="57">
        <v>900</v>
      </c>
      <c r="F597" s="18" t="s">
        <v>568</v>
      </c>
      <c r="G597" s="98">
        <v>1800</v>
      </c>
      <c r="H597" s="9">
        <f t="shared" si="30"/>
        <v>2</v>
      </c>
      <c r="I597" s="11">
        <f t="shared" ca="1" si="31"/>
        <v>46119</v>
      </c>
      <c r="J597" s="11">
        <f t="shared" ca="1" si="32"/>
        <v>46118</v>
      </c>
      <c r="K597" s="13" t="s">
        <v>730</v>
      </c>
    </row>
    <row r="598" spans="1:11" ht="18" hidden="1" x14ac:dyDescent="0.4">
      <c r="A598" s="93" t="s">
        <v>475</v>
      </c>
      <c r="B598" s="7" t="s">
        <v>567</v>
      </c>
      <c r="C598" s="8">
        <v>19271</v>
      </c>
      <c r="D598" s="9">
        <v>465162750</v>
      </c>
      <c r="E598" s="57">
        <v>1620</v>
      </c>
      <c r="F598" s="18" t="s">
        <v>569</v>
      </c>
      <c r="G598" s="98">
        <v>0</v>
      </c>
      <c r="H598" s="9">
        <f t="shared" si="30"/>
        <v>0</v>
      </c>
      <c r="I598" s="11">
        <f t="shared" ca="1" si="31"/>
        <v>46119</v>
      </c>
      <c r="J598" s="11">
        <f t="shared" ca="1" si="32"/>
        <v>46118</v>
      </c>
      <c r="K598" s="13"/>
    </row>
    <row r="599" spans="1:11" ht="18" hidden="1" x14ac:dyDescent="0.4">
      <c r="A599" s="93" t="s">
        <v>475</v>
      </c>
      <c r="B599" s="7" t="s">
        <v>567</v>
      </c>
      <c r="C599" s="8">
        <v>19271</v>
      </c>
      <c r="D599" s="9">
        <v>468147230</v>
      </c>
      <c r="E599" s="57">
        <v>1600</v>
      </c>
      <c r="F599" s="18" t="s">
        <v>570</v>
      </c>
      <c r="G599" s="98">
        <v>1600</v>
      </c>
      <c r="H599" s="9">
        <f t="shared" si="30"/>
        <v>1</v>
      </c>
      <c r="I599" s="11">
        <f t="shared" ca="1" si="31"/>
        <v>46119</v>
      </c>
      <c r="J599" s="11">
        <f t="shared" ca="1" si="32"/>
        <v>46118</v>
      </c>
      <c r="K599" s="13" t="s">
        <v>730</v>
      </c>
    </row>
    <row r="600" spans="1:11" ht="18" hidden="1" x14ac:dyDescent="0.4">
      <c r="A600" s="93" t="s">
        <v>475</v>
      </c>
      <c r="B600" s="7" t="s">
        <v>567</v>
      </c>
      <c r="C600" s="8">
        <v>19271</v>
      </c>
      <c r="D600" s="9">
        <v>552547090</v>
      </c>
      <c r="E600" s="57">
        <v>270</v>
      </c>
      <c r="F600" s="18" t="s">
        <v>571</v>
      </c>
      <c r="G600" s="98">
        <v>0</v>
      </c>
      <c r="H600" s="9">
        <f t="shared" si="30"/>
        <v>0</v>
      </c>
      <c r="I600" s="11">
        <f t="shared" ca="1" si="31"/>
        <v>46119</v>
      </c>
      <c r="J600" s="11">
        <f t="shared" ca="1" si="32"/>
        <v>46118</v>
      </c>
      <c r="K600" s="13"/>
    </row>
    <row r="601" spans="1:11" ht="18" hidden="1" x14ac:dyDescent="0.4">
      <c r="A601" s="93" t="s">
        <v>475</v>
      </c>
      <c r="B601" s="7" t="s">
        <v>567</v>
      </c>
      <c r="C601" s="8">
        <v>19271</v>
      </c>
      <c r="D601" s="9">
        <v>552551360</v>
      </c>
      <c r="E601" s="57">
        <v>360</v>
      </c>
      <c r="F601" s="18" t="s">
        <v>572</v>
      </c>
      <c r="G601" s="98">
        <v>0</v>
      </c>
      <c r="H601" s="9">
        <f t="shared" si="30"/>
        <v>0</v>
      </c>
      <c r="I601" s="11">
        <f t="shared" ca="1" si="31"/>
        <v>46119</v>
      </c>
      <c r="J601" s="11">
        <f t="shared" ca="1" si="32"/>
        <v>46118</v>
      </c>
      <c r="K601" s="13"/>
    </row>
    <row r="602" spans="1:11" ht="18" hidden="1" x14ac:dyDescent="0.4">
      <c r="A602" s="93" t="s">
        <v>475</v>
      </c>
      <c r="B602" s="7" t="s">
        <v>567</v>
      </c>
      <c r="C602" s="8">
        <v>19271</v>
      </c>
      <c r="D602" s="9">
        <v>735017020</v>
      </c>
      <c r="E602" s="57">
        <v>1440</v>
      </c>
      <c r="F602" s="18" t="s">
        <v>573</v>
      </c>
      <c r="G602" s="98">
        <v>1440</v>
      </c>
      <c r="H602" s="9">
        <f t="shared" si="30"/>
        <v>1</v>
      </c>
      <c r="I602" s="11">
        <f t="shared" ca="1" si="31"/>
        <v>46119</v>
      </c>
      <c r="J602" s="11">
        <f t="shared" ca="1" si="32"/>
        <v>46118</v>
      </c>
      <c r="K602" s="13" t="s">
        <v>730</v>
      </c>
    </row>
    <row r="603" spans="1:11" ht="18" hidden="1" x14ac:dyDescent="0.4">
      <c r="A603" s="93" t="s">
        <v>475</v>
      </c>
      <c r="B603" s="7" t="s">
        <v>567</v>
      </c>
      <c r="C603" s="8">
        <v>19271</v>
      </c>
      <c r="D603" s="9">
        <v>552054650</v>
      </c>
      <c r="E603" s="57">
        <v>1440</v>
      </c>
      <c r="F603" s="18" t="s">
        <v>574</v>
      </c>
      <c r="G603" s="98">
        <v>0</v>
      </c>
      <c r="H603" s="9">
        <f t="shared" si="30"/>
        <v>0</v>
      </c>
      <c r="I603" s="11">
        <f t="shared" ca="1" si="31"/>
        <v>46119</v>
      </c>
      <c r="J603" s="11">
        <f t="shared" ca="1" si="32"/>
        <v>46118</v>
      </c>
      <c r="K603" s="13"/>
    </row>
    <row r="604" spans="1:11" ht="18" hidden="1" x14ac:dyDescent="0.4">
      <c r="A604" s="93" t="s">
        <v>475</v>
      </c>
      <c r="B604" s="16" t="s">
        <v>567</v>
      </c>
      <c r="C604" s="8">
        <v>19271</v>
      </c>
      <c r="D604" s="9">
        <v>463409620</v>
      </c>
      <c r="E604" s="57">
        <v>360</v>
      </c>
      <c r="F604" s="10" t="s">
        <v>572</v>
      </c>
      <c r="G604" s="98">
        <v>0</v>
      </c>
      <c r="H604" s="9">
        <f t="shared" si="30"/>
        <v>0</v>
      </c>
      <c r="I604" s="11">
        <f t="shared" ca="1" si="31"/>
        <v>46119</v>
      </c>
      <c r="J604" s="11">
        <f t="shared" ca="1" si="32"/>
        <v>46118</v>
      </c>
      <c r="K604" s="13"/>
    </row>
    <row r="605" spans="1:11" ht="18" hidden="1" x14ac:dyDescent="0.4">
      <c r="A605" s="93" t="s">
        <v>475</v>
      </c>
      <c r="B605" s="16" t="s">
        <v>567</v>
      </c>
      <c r="C605" s="8">
        <v>19271</v>
      </c>
      <c r="D605" s="9">
        <v>463409610</v>
      </c>
      <c r="E605" s="57">
        <v>360</v>
      </c>
      <c r="F605" s="10" t="s">
        <v>575</v>
      </c>
      <c r="G605" s="98">
        <v>1440</v>
      </c>
      <c r="H605" s="9">
        <f t="shared" si="30"/>
        <v>4</v>
      </c>
      <c r="I605" s="11">
        <f t="shared" ca="1" si="31"/>
        <v>46119</v>
      </c>
      <c r="J605" s="11">
        <f t="shared" ca="1" si="32"/>
        <v>46118</v>
      </c>
      <c r="K605" s="13" t="s">
        <v>730</v>
      </c>
    </row>
    <row r="606" spans="1:11" ht="18" hidden="1" x14ac:dyDescent="0.4">
      <c r="A606" s="93" t="s">
        <v>475</v>
      </c>
      <c r="B606" s="16" t="s">
        <v>576</v>
      </c>
      <c r="C606" s="8">
        <v>19807</v>
      </c>
      <c r="D606" s="9">
        <v>552594720</v>
      </c>
      <c r="E606" s="57">
        <v>900</v>
      </c>
      <c r="F606" s="10" t="s">
        <v>577</v>
      </c>
      <c r="G606" s="98">
        <v>0</v>
      </c>
      <c r="H606" s="9">
        <f t="shared" si="30"/>
        <v>0</v>
      </c>
      <c r="I606" s="11">
        <f t="shared" ca="1" si="31"/>
        <v>46119</v>
      </c>
      <c r="J606" s="11">
        <f t="shared" ca="1" si="32"/>
        <v>46118</v>
      </c>
      <c r="K606" s="13"/>
    </row>
    <row r="607" spans="1:11" ht="18" hidden="1" x14ac:dyDescent="0.4">
      <c r="A607" s="93" t="s">
        <v>475</v>
      </c>
      <c r="B607" s="16" t="s">
        <v>576</v>
      </c>
      <c r="C607" s="8">
        <v>19807</v>
      </c>
      <c r="D607" s="9">
        <v>552594730</v>
      </c>
      <c r="E607" s="57">
        <v>900</v>
      </c>
      <c r="F607" s="10" t="s">
        <v>578</v>
      </c>
      <c r="G607" s="98">
        <v>0</v>
      </c>
      <c r="H607" s="9">
        <f t="shared" si="30"/>
        <v>0</v>
      </c>
      <c r="I607" s="11">
        <f t="shared" ca="1" si="31"/>
        <v>46119</v>
      </c>
      <c r="J607" s="11">
        <f t="shared" ca="1" si="32"/>
        <v>46118</v>
      </c>
      <c r="K607" s="13"/>
    </row>
    <row r="608" spans="1:11" ht="18" hidden="1" x14ac:dyDescent="0.4">
      <c r="A608" s="93" t="s">
        <v>475</v>
      </c>
      <c r="B608" s="16" t="s">
        <v>576</v>
      </c>
      <c r="C608" s="8">
        <v>19807</v>
      </c>
      <c r="D608" s="9">
        <v>468209930</v>
      </c>
      <c r="E608" s="57">
        <v>900</v>
      </c>
      <c r="F608" s="10" t="s">
        <v>579</v>
      </c>
      <c r="G608" s="98">
        <v>0</v>
      </c>
      <c r="H608" s="9">
        <f t="shared" si="30"/>
        <v>0</v>
      </c>
      <c r="I608" s="11">
        <f t="shared" ca="1" si="31"/>
        <v>46119</v>
      </c>
      <c r="J608" s="11">
        <f t="shared" ca="1" si="32"/>
        <v>46118</v>
      </c>
      <c r="K608" s="13"/>
    </row>
    <row r="609" spans="1:11" ht="18" hidden="1" x14ac:dyDescent="0.4">
      <c r="A609" s="93" t="s">
        <v>475</v>
      </c>
      <c r="B609" s="16" t="s">
        <v>576</v>
      </c>
      <c r="C609" s="8">
        <v>19807</v>
      </c>
      <c r="D609" s="9">
        <v>468209950</v>
      </c>
      <c r="E609" s="57">
        <v>900</v>
      </c>
      <c r="F609" s="10" t="s">
        <v>580</v>
      </c>
      <c r="G609" s="98">
        <v>0</v>
      </c>
      <c r="H609" s="9">
        <f t="shared" si="30"/>
        <v>0</v>
      </c>
      <c r="I609" s="11">
        <f t="shared" ca="1" si="31"/>
        <v>46119</v>
      </c>
      <c r="J609" s="11">
        <f t="shared" ca="1" si="32"/>
        <v>46118</v>
      </c>
      <c r="K609" s="13"/>
    </row>
    <row r="610" spans="1:11" ht="18" hidden="1" x14ac:dyDescent="0.4">
      <c r="A610" s="93" t="s">
        <v>475</v>
      </c>
      <c r="B610" s="16" t="s">
        <v>372</v>
      </c>
      <c r="C610" s="8">
        <v>27951</v>
      </c>
      <c r="D610" s="9">
        <v>76779780</v>
      </c>
      <c r="E610" s="57">
        <v>300</v>
      </c>
      <c r="F610" s="10" t="s">
        <v>553</v>
      </c>
      <c r="G610" s="98">
        <v>0</v>
      </c>
      <c r="H610" s="9">
        <f t="shared" si="30"/>
        <v>0</v>
      </c>
      <c r="I610" s="11">
        <f t="shared" ca="1" si="31"/>
        <v>46119</v>
      </c>
      <c r="J610" s="11">
        <f t="shared" ca="1" si="32"/>
        <v>46118</v>
      </c>
      <c r="K610" s="13"/>
    </row>
    <row r="611" spans="1:11" ht="18" hidden="1" x14ac:dyDescent="0.4">
      <c r="A611" s="93" t="s">
        <v>475</v>
      </c>
      <c r="B611" s="16" t="s">
        <v>372</v>
      </c>
      <c r="C611" s="8">
        <v>27951</v>
      </c>
      <c r="D611" s="9">
        <v>187538210</v>
      </c>
      <c r="E611" s="57">
        <v>180</v>
      </c>
      <c r="F611" s="10" t="s">
        <v>581</v>
      </c>
      <c r="G611" s="98">
        <v>0</v>
      </c>
      <c r="H611" s="9">
        <f t="shared" si="30"/>
        <v>0</v>
      </c>
      <c r="I611" s="11">
        <f t="shared" ca="1" si="31"/>
        <v>46119</v>
      </c>
      <c r="J611" s="11">
        <f t="shared" ca="1" si="32"/>
        <v>46118</v>
      </c>
      <c r="K611" s="13"/>
    </row>
    <row r="612" spans="1:11" ht="18" hidden="1" x14ac:dyDescent="0.4">
      <c r="A612" s="93" t="s">
        <v>475</v>
      </c>
      <c r="B612" s="16" t="s">
        <v>372</v>
      </c>
      <c r="C612" s="8">
        <v>27951</v>
      </c>
      <c r="D612" s="9">
        <v>463436280</v>
      </c>
      <c r="E612" s="57">
        <v>600</v>
      </c>
      <c r="F612" s="10" t="s">
        <v>582</v>
      </c>
      <c r="G612" s="98">
        <v>0</v>
      </c>
      <c r="H612" s="9">
        <f t="shared" si="30"/>
        <v>0</v>
      </c>
      <c r="I612" s="11">
        <f t="shared" ca="1" si="31"/>
        <v>46119</v>
      </c>
      <c r="J612" s="11">
        <f t="shared" ca="1" si="32"/>
        <v>46118</v>
      </c>
      <c r="K612" s="13"/>
    </row>
    <row r="613" spans="1:11" ht="18" hidden="1" x14ac:dyDescent="0.4">
      <c r="A613" s="93" t="s">
        <v>475</v>
      </c>
      <c r="B613" s="16" t="s">
        <v>377</v>
      </c>
      <c r="C613" s="8">
        <v>36019</v>
      </c>
      <c r="D613" s="9">
        <v>160504340</v>
      </c>
      <c r="E613" s="57">
        <v>400</v>
      </c>
      <c r="F613" s="10" t="s">
        <v>583</v>
      </c>
      <c r="G613" s="98">
        <v>0</v>
      </c>
      <c r="H613" s="9">
        <f t="shared" si="30"/>
        <v>0</v>
      </c>
      <c r="I613" s="11">
        <f t="shared" ca="1" si="31"/>
        <v>46119</v>
      </c>
      <c r="J613" s="11">
        <f t="shared" ca="1" si="32"/>
        <v>46118</v>
      </c>
      <c r="K613" s="13"/>
    </row>
    <row r="614" spans="1:11" ht="18" hidden="1" x14ac:dyDescent="0.4">
      <c r="A614" s="93" t="s">
        <v>475</v>
      </c>
      <c r="B614" s="16" t="s">
        <v>377</v>
      </c>
      <c r="C614" s="8">
        <v>36019</v>
      </c>
      <c r="D614" s="9">
        <v>468130270</v>
      </c>
      <c r="E614" s="57">
        <v>1200</v>
      </c>
      <c r="F614" s="10" t="s">
        <v>584</v>
      </c>
      <c r="G614" s="98">
        <v>0</v>
      </c>
      <c r="H614" s="9">
        <f t="shared" si="30"/>
        <v>0</v>
      </c>
      <c r="I614" s="11">
        <f t="shared" ca="1" si="31"/>
        <v>46119</v>
      </c>
      <c r="J614" s="11">
        <f t="shared" ca="1" si="32"/>
        <v>46118</v>
      </c>
      <c r="K614" s="13"/>
    </row>
    <row r="615" spans="1:11" ht="18" hidden="1" x14ac:dyDescent="0.4">
      <c r="A615" s="93" t="s">
        <v>475</v>
      </c>
      <c r="B615" s="16" t="s">
        <v>585</v>
      </c>
      <c r="C615" s="8">
        <v>10429</v>
      </c>
      <c r="D615" s="9">
        <v>467670560</v>
      </c>
      <c r="E615" s="57">
        <v>1152</v>
      </c>
      <c r="F615" s="10" t="s">
        <v>586</v>
      </c>
      <c r="G615" s="98">
        <v>0</v>
      </c>
      <c r="H615" s="9">
        <f t="shared" si="30"/>
        <v>0</v>
      </c>
      <c r="I615" s="11">
        <f t="shared" ca="1" si="31"/>
        <v>46119</v>
      </c>
      <c r="J615" s="11">
        <f t="shared" ca="1" si="32"/>
        <v>46118</v>
      </c>
      <c r="K615" s="13"/>
    </row>
    <row r="616" spans="1:11" ht="18" hidden="1" x14ac:dyDescent="0.4">
      <c r="A616" s="93" t="s">
        <v>475</v>
      </c>
      <c r="B616" s="16" t="s">
        <v>585</v>
      </c>
      <c r="C616" s="8">
        <v>10429</v>
      </c>
      <c r="D616" s="9">
        <v>467689270</v>
      </c>
      <c r="E616" s="57">
        <v>1440</v>
      </c>
      <c r="F616" s="10" t="s">
        <v>587</v>
      </c>
      <c r="G616" s="98">
        <v>0</v>
      </c>
      <c r="H616" s="9">
        <f t="shared" si="30"/>
        <v>0</v>
      </c>
      <c r="I616" s="11">
        <f t="shared" ca="1" si="31"/>
        <v>46119</v>
      </c>
      <c r="J616" s="11">
        <f t="shared" ca="1" si="32"/>
        <v>46118</v>
      </c>
      <c r="K616" s="13"/>
    </row>
    <row r="617" spans="1:11" ht="18" hidden="1" x14ac:dyDescent="0.4">
      <c r="A617" s="93" t="s">
        <v>475</v>
      </c>
      <c r="B617" s="16" t="s">
        <v>585</v>
      </c>
      <c r="C617" s="8">
        <v>10429</v>
      </c>
      <c r="D617" s="9">
        <v>467761970</v>
      </c>
      <c r="E617" s="57">
        <v>1200</v>
      </c>
      <c r="F617" s="10" t="s">
        <v>588</v>
      </c>
      <c r="G617" s="98">
        <v>0</v>
      </c>
      <c r="H617" s="9">
        <f t="shared" si="30"/>
        <v>0</v>
      </c>
      <c r="I617" s="11">
        <f t="shared" ca="1" si="31"/>
        <v>46119</v>
      </c>
      <c r="J617" s="11">
        <f t="shared" ca="1" si="32"/>
        <v>46118</v>
      </c>
      <c r="K617" s="13"/>
    </row>
    <row r="618" spans="1:11" ht="18" hidden="1" x14ac:dyDescent="0.4">
      <c r="A618" s="93" t="s">
        <v>475</v>
      </c>
      <c r="B618" s="16" t="s">
        <v>585</v>
      </c>
      <c r="C618" s="8">
        <v>10429</v>
      </c>
      <c r="D618" s="9">
        <v>467761990</v>
      </c>
      <c r="E618" s="57">
        <v>864</v>
      </c>
      <c r="F618" s="10" t="s">
        <v>589</v>
      </c>
      <c r="G618" s="98">
        <v>0</v>
      </c>
      <c r="H618" s="9">
        <f t="shared" si="30"/>
        <v>0</v>
      </c>
      <c r="I618" s="11">
        <f t="shared" ca="1" si="31"/>
        <v>46119</v>
      </c>
      <c r="J618" s="11">
        <f t="shared" ca="1" si="32"/>
        <v>46118</v>
      </c>
      <c r="K618" s="13"/>
    </row>
    <row r="619" spans="1:11" ht="18" hidden="1" x14ac:dyDescent="0.4">
      <c r="A619" s="93" t="s">
        <v>475</v>
      </c>
      <c r="B619" s="16" t="s">
        <v>585</v>
      </c>
      <c r="C619" s="8">
        <v>10429</v>
      </c>
      <c r="D619" s="9">
        <v>552597100</v>
      </c>
      <c r="E619" s="57">
        <v>1152</v>
      </c>
      <c r="F619" s="10" t="s">
        <v>590</v>
      </c>
      <c r="G619" s="98">
        <v>0</v>
      </c>
      <c r="H619" s="9">
        <f t="shared" si="30"/>
        <v>0</v>
      </c>
      <c r="I619" s="11">
        <f t="shared" ca="1" si="31"/>
        <v>46119</v>
      </c>
      <c r="J619" s="11">
        <f t="shared" ca="1" si="32"/>
        <v>46118</v>
      </c>
      <c r="K619" s="13"/>
    </row>
    <row r="620" spans="1:11" ht="18" hidden="1" x14ac:dyDescent="0.4">
      <c r="A620" s="93" t="s">
        <v>475</v>
      </c>
      <c r="B620" s="16" t="s">
        <v>591</v>
      </c>
      <c r="C620" s="8">
        <v>43749</v>
      </c>
      <c r="D620" s="9">
        <v>400047600</v>
      </c>
      <c r="E620" s="57">
        <v>480</v>
      </c>
      <c r="F620" s="10" t="s">
        <v>592</v>
      </c>
      <c r="G620" s="98">
        <v>0</v>
      </c>
      <c r="H620" s="9">
        <f t="shared" si="30"/>
        <v>0</v>
      </c>
      <c r="I620" s="11">
        <f t="shared" ca="1" si="31"/>
        <v>46119</v>
      </c>
      <c r="J620" s="11">
        <f t="shared" ca="1" si="32"/>
        <v>46118</v>
      </c>
      <c r="K620" s="13"/>
    </row>
    <row r="621" spans="1:11" ht="18" hidden="1" x14ac:dyDescent="0.4">
      <c r="A621" s="93" t="s">
        <v>475</v>
      </c>
      <c r="B621" s="16" t="s">
        <v>591</v>
      </c>
      <c r="C621" s="8">
        <v>43749</v>
      </c>
      <c r="D621" s="9">
        <v>400048200</v>
      </c>
      <c r="E621" s="57">
        <v>780</v>
      </c>
      <c r="F621" s="10" t="s">
        <v>593</v>
      </c>
      <c r="G621" s="98">
        <v>0</v>
      </c>
      <c r="H621" s="9">
        <f t="shared" si="30"/>
        <v>0</v>
      </c>
      <c r="I621" s="11">
        <f t="shared" ca="1" si="31"/>
        <v>46119</v>
      </c>
      <c r="J621" s="11">
        <f t="shared" ca="1" si="32"/>
        <v>46118</v>
      </c>
      <c r="K621" s="13"/>
    </row>
    <row r="622" spans="1:11" ht="18" hidden="1" x14ac:dyDescent="0.4">
      <c r="A622" s="93" t="s">
        <v>475</v>
      </c>
      <c r="B622" s="16" t="s">
        <v>594</v>
      </c>
      <c r="C622" s="8">
        <v>31107</v>
      </c>
      <c r="D622" s="9">
        <v>552600330</v>
      </c>
      <c r="E622" s="57">
        <v>2700</v>
      </c>
      <c r="F622" s="10" t="s">
        <v>595</v>
      </c>
      <c r="G622" s="98">
        <v>0</v>
      </c>
      <c r="H622" s="9">
        <f t="shared" si="30"/>
        <v>0</v>
      </c>
      <c r="I622" s="11">
        <f t="shared" ca="1" si="31"/>
        <v>46119</v>
      </c>
      <c r="J622" s="11">
        <f t="shared" ca="1" si="32"/>
        <v>46118</v>
      </c>
      <c r="K622" s="13"/>
    </row>
    <row r="623" spans="1:11" ht="18" hidden="1" x14ac:dyDescent="0.4">
      <c r="A623" s="93" t="s">
        <v>475</v>
      </c>
      <c r="B623" s="16" t="s">
        <v>596</v>
      </c>
      <c r="C623" s="8">
        <v>33301</v>
      </c>
      <c r="D623" s="9">
        <v>552294200</v>
      </c>
      <c r="E623" s="57">
        <v>240</v>
      </c>
      <c r="F623" s="10" t="s">
        <v>597</v>
      </c>
      <c r="G623" s="98">
        <v>0</v>
      </c>
      <c r="H623" s="9">
        <f t="shared" ref="H623:H686" si="33">G623/E623</f>
        <v>0</v>
      </c>
      <c r="I623" s="11">
        <f t="shared" ca="1" si="31"/>
        <v>46119</v>
      </c>
      <c r="J623" s="11">
        <f t="shared" ca="1" si="32"/>
        <v>46118</v>
      </c>
      <c r="K623" s="13"/>
    </row>
    <row r="624" spans="1:11" ht="18" hidden="1" x14ac:dyDescent="0.4">
      <c r="A624" s="93" t="s">
        <v>475</v>
      </c>
      <c r="B624" s="16" t="s">
        <v>596</v>
      </c>
      <c r="C624" s="8">
        <v>33301</v>
      </c>
      <c r="D624" s="9">
        <v>552340160</v>
      </c>
      <c r="E624" s="57">
        <v>240</v>
      </c>
      <c r="F624" s="10" t="s">
        <v>598</v>
      </c>
      <c r="G624" s="98">
        <v>0</v>
      </c>
      <c r="H624" s="9">
        <f t="shared" si="33"/>
        <v>0</v>
      </c>
      <c r="I624" s="11">
        <f t="shared" ca="1" si="31"/>
        <v>46119</v>
      </c>
      <c r="J624" s="11">
        <f t="shared" ca="1" si="32"/>
        <v>46118</v>
      </c>
      <c r="K624" s="13"/>
    </row>
    <row r="625" spans="1:11" ht="18" hidden="1" x14ac:dyDescent="0.4">
      <c r="A625" s="93" t="s">
        <v>475</v>
      </c>
      <c r="B625" s="16" t="s">
        <v>414</v>
      </c>
      <c r="C625" s="8">
        <v>21570</v>
      </c>
      <c r="D625" s="9">
        <v>552826500</v>
      </c>
      <c r="E625" s="57">
        <v>900</v>
      </c>
      <c r="F625" s="10" t="s">
        <v>599</v>
      </c>
      <c r="G625" s="98">
        <v>0</v>
      </c>
      <c r="H625" s="9">
        <f t="shared" si="33"/>
        <v>0</v>
      </c>
      <c r="I625" s="11">
        <f t="shared" ca="1" si="31"/>
        <v>46119</v>
      </c>
      <c r="J625" s="11">
        <f t="shared" ca="1" si="32"/>
        <v>46118</v>
      </c>
      <c r="K625" s="13"/>
    </row>
    <row r="626" spans="1:11" ht="18" hidden="1" x14ac:dyDescent="0.4">
      <c r="A626" s="93" t="s">
        <v>475</v>
      </c>
      <c r="B626" s="16" t="s">
        <v>414</v>
      </c>
      <c r="C626" s="8">
        <v>21570</v>
      </c>
      <c r="D626" s="9">
        <v>552826470</v>
      </c>
      <c r="E626" s="57">
        <v>1500</v>
      </c>
      <c r="F626" s="10" t="s">
        <v>600</v>
      </c>
      <c r="G626" s="98">
        <v>0</v>
      </c>
      <c r="H626" s="9">
        <f t="shared" si="33"/>
        <v>0</v>
      </c>
      <c r="I626" s="11">
        <f t="shared" ca="1" si="31"/>
        <v>46119</v>
      </c>
      <c r="J626" s="11">
        <f t="shared" ca="1" si="32"/>
        <v>46118</v>
      </c>
      <c r="K626" s="13"/>
    </row>
    <row r="627" spans="1:11" ht="18" hidden="1" x14ac:dyDescent="0.4">
      <c r="A627" s="93" t="s">
        <v>475</v>
      </c>
      <c r="B627" s="16" t="s">
        <v>414</v>
      </c>
      <c r="C627" s="8">
        <v>21570</v>
      </c>
      <c r="D627" s="9">
        <v>552826490</v>
      </c>
      <c r="E627" s="57">
        <v>200</v>
      </c>
      <c r="F627" s="10" t="s">
        <v>601</v>
      </c>
      <c r="G627" s="98">
        <v>0</v>
      </c>
      <c r="H627" s="9">
        <f t="shared" si="33"/>
        <v>0</v>
      </c>
      <c r="I627" s="11">
        <f t="shared" ca="1" si="31"/>
        <v>46119</v>
      </c>
      <c r="J627" s="11">
        <f t="shared" ca="1" si="32"/>
        <v>46118</v>
      </c>
      <c r="K627" s="13"/>
    </row>
    <row r="628" spans="1:11" ht="18" hidden="1" x14ac:dyDescent="0.4">
      <c r="A628" s="93" t="s">
        <v>475</v>
      </c>
      <c r="B628" s="16" t="s">
        <v>414</v>
      </c>
      <c r="C628" s="8">
        <v>21570</v>
      </c>
      <c r="D628" s="9">
        <v>552826480</v>
      </c>
      <c r="E628" s="57">
        <v>200</v>
      </c>
      <c r="F628" s="10" t="s">
        <v>602</v>
      </c>
      <c r="G628" s="98">
        <v>0</v>
      </c>
      <c r="H628" s="9">
        <f t="shared" si="33"/>
        <v>0</v>
      </c>
      <c r="I628" s="11">
        <f t="shared" ca="1" si="31"/>
        <v>46119</v>
      </c>
      <c r="J628" s="11">
        <f t="shared" ca="1" si="32"/>
        <v>46118</v>
      </c>
      <c r="K628" s="13"/>
    </row>
    <row r="629" spans="1:11" ht="18" hidden="1" x14ac:dyDescent="0.4">
      <c r="A629" s="93" t="s">
        <v>475</v>
      </c>
      <c r="B629" s="16" t="s">
        <v>439</v>
      </c>
      <c r="C629" s="8">
        <v>40840</v>
      </c>
      <c r="D629" s="9">
        <v>187521210</v>
      </c>
      <c r="E629" s="57">
        <v>900</v>
      </c>
      <c r="F629" s="10" t="s">
        <v>312</v>
      </c>
      <c r="G629" s="98">
        <v>0</v>
      </c>
      <c r="H629" s="9">
        <f t="shared" si="33"/>
        <v>0</v>
      </c>
      <c r="I629" s="11">
        <f t="shared" ref="I629:I692" ca="1" si="34">I628</f>
        <v>46119</v>
      </c>
      <c r="J629" s="11">
        <f t="shared" ca="1" si="32"/>
        <v>46118</v>
      </c>
      <c r="K629" s="13"/>
    </row>
    <row r="630" spans="1:11" ht="18" hidden="1" x14ac:dyDescent="0.4">
      <c r="A630" s="93" t="s">
        <v>475</v>
      </c>
      <c r="B630" s="16" t="s">
        <v>439</v>
      </c>
      <c r="C630" s="8">
        <v>40840</v>
      </c>
      <c r="D630" s="9">
        <v>187543240</v>
      </c>
      <c r="E630" s="57">
        <v>400</v>
      </c>
      <c r="F630" s="10" t="s">
        <v>565</v>
      </c>
      <c r="G630" s="98">
        <v>0</v>
      </c>
      <c r="H630" s="9">
        <f t="shared" si="33"/>
        <v>0</v>
      </c>
      <c r="I630" s="11">
        <f ca="1">I629</f>
        <v>46119</v>
      </c>
      <c r="J630" s="11">
        <f t="shared" ca="1" si="32"/>
        <v>46118</v>
      </c>
      <c r="K630" s="13"/>
    </row>
    <row r="631" spans="1:11" ht="18" hidden="1" x14ac:dyDescent="0.4">
      <c r="A631" s="93" t="s">
        <v>475</v>
      </c>
      <c r="B631" s="16" t="s">
        <v>439</v>
      </c>
      <c r="C631" s="8">
        <v>40840</v>
      </c>
      <c r="D631" s="9">
        <v>187532210</v>
      </c>
      <c r="E631" s="57">
        <v>350</v>
      </c>
      <c r="F631" s="10" t="s">
        <v>603</v>
      </c>
      <c r="G631" s="98">
        <v>0</v>
      </c>
      <c r="H631" s="9">
        <f t="shared" si="33"/>
        <v>0</v>
      </c>
      <c r="I631" s="11">
        <f t="shared" ca="1" si="34"/>
        <v>46119</v>
      </c>
      <c r="J631" s="11">
        <f t="shared" ca="1" si="32"/>
        <v>46118</v>
      </c>
      <c r="K631" s="13"/>
    </row>
    <row r="632" spans="1:11" ht="18" hidden="1" x14ac:dyDescent="0.4">
      <c r="A632" s="93" t="s">
        <v>475</v>
      </c>
      <c r="B632" s="16" t="s">
        <v>439</v>
      </c>
      <c r="C632" s="8">
        <v>40840</v>
      </c>
      <c r="D632" s="9">
        <v>109026210</v>
      </c>
      <c r="E632" s="57">
        <v>1500</v>
      </c>
      <c r="F632" s="10" t="s">
        <v>604</v>
      </c>
      <c r="G632" s="98">
        <v>0</v>
      </c>
      <c r="H632" s="9">
        <f t="shared" si="33"/>
        <v>0</v>
      </c>
      <c r="I632" s="11">
        <f t="shared" ca="1" si="34"/>
        <v>46119</v>
      </c>
      <c r="J632" s="11">
        <f t="shared" ca="1" si="32"/>
        <v>46118</v>
      </c>
      <c r="K632" s="13"/>
    </row>
    <row r="633" spans="1:11" ht="18" hidden="1" x14ac:dyDescent="0.4">
      <c r="A633" s="93" t="s">
        <v>475</v>
      </c>
      <c r="B633" s="16" t="s">
        <v>439</v>
      </c>
      <c r="C633" s="8">
        <v>40840</v>
      </c>
      <c r="D633" s="9">
        <v>162860210</v>
      </c>
      <c r="E633" s="57">
        <v>1750</v>
      </c>
      <c r="F633" s="10" t="s">
        <v>605</v>
      </c>
      <c r="G633" s="98">
        <v>0</v>
      </c>
      <c r="H633" s="9">
        <f t="shared" si="33"/>
        <v>0</v>
      </c>
      <c r="I633" s="11">
        <f t="shared" ca="1" si="34"/>
        <v>46119</v>
      </c>
      <c r="J633" s="11">
        <f t="shared" ca="1" si="32"/>
        <v>46118</v>
      </c>
      <c r="K633" s="13"/>
    </row>
    <row r="634" spans="1:11" ht="18" hidden="1" x14ac:dyDescent="0.4">
      <c r="A634" s="93" t="s">
        <v>475</v>
      </c>
      <c r="B634" s="16" t="s">
        <v>606</v>
      </c>
      <c r="C634" s="8">
        <v>23480</v>
      </c>
      <c r="D634" s="9">
        <v>43283640</v>
      </c>
      <c r="E634" s="57">
        <v>2000</v>
      </c>
      <c r="F634" s="10" t="s">
        <v>607</v>
      </c>
      <c r="G634" s="98">
        <v>0</v>
      </c>
      <c r="H634" s="9">
        <f t="shared" si="33"/>
        <v>0</v>
      </c>
      <c r="I634" s="11">
        <f t="shared" ca="1" si="34"/>
        <v>46119</v>
      </c>
      <c r="J634" s="11">
        <f t="shared" ca="1" si="32"/>
        <v>46118</v>
      </c>
      <c r="K634" s="13"/>
    </row>
    <row r="635" spans="1:11" ht="18" hidden="1" x14ac:dyDescent="0.4">
      <c r="A635" s="93" t="s">
        <v>475</v>
      </c>
      <c r="B635" s="16" t="s">
        <v>606</v>
      </c>
      <c r="C635" s="8">
        <v>23480</v>
      </c>
      <c r="D635" s="9">
        <v>75395980</v>
      </c>
      <c r="E635" s="57">
        <v>4000</v>
      </c>
      <c r="F635" s="10" t="s">
        <v>608</v>
      </c>
      <c r="G635" s="98">
        <v>0</v>
      </c>
      <c r="H635" s="9">
        <f t="shared" si="33"/>
        <v>0</v>
      </c>
      <c r="I635" s="11">
        <f t="shared" ca="1" si="34"/>
        <v>46119</v>
      </c>
      <c r="J635" s="11">
        <f t="shared" ca="1" si="32"/>
        <v>46118</v>
      </c>
      <c r="K635" s="13"/>
    </row>
    <row r="636" spans="1:11" ht="18" hidden="1" x14ac:dyDescent="0.4">
      <c r="A636" s="93" t="s">
        <v>475</v>
      </c>
      <c r="B636" s="7" t="s">
        <v>606</v>
      </c>
      <c r="C636" s="8">
        <v>23480</v>
      </c>
      <c r="D636" s="9">
        <v>144557800</v>
      </c>
      <c r="E636" s="57">
        <v>1000</v>
      </c>
      <c r="F636" s="10" t="s">
        <v>609</v>
      </c>
      <c r="G636" s="98">
        <v>0</v>
      </c>
      <c r="H636" s="9">
        <f t="shared" si="33"/>
        <v>0</v>
      </c>
      <c r="I636" s="11">
        <f t="shared" ca="1" si="34"/>
        <v>46119</v>
      </c>
      <c r="J636" s="11">
        <f t="shared" ca="1" si="32"/>
        <v>46118</v>
      </c>
      <c r="K636" s="13"/>
    </row>
    <row r="637" spans="1:11" ht="18" hidden="1" x14ac:dyDescent="0.4">
      <c r="A637" s="93" t="s">
        <v>475</v>
      </c>
      <c r="B637" s="16" t="s">
        <v>606</v>
      </c>
      <c r="C637" s="8">
        <v>23480</v>
      </c>
      <c r="D637" s="9">
        <v>500080480</v>
      </c>
      <c r="E637" s="57">
        <v>3000</v>
      </c>
      <c r="F637" s="10" t="s">
        <v>610</v>
      </c>
      <c r="G637" s="98">
        <v>0</v>
      </c>
      <c r="H637" s="9">
        <f t="shared" si="33"/>
        <v>0</v>
      </c>
      <c r="I637" s="11">
        <f t="shared" ca="1" si="34"/>
        <v>46119</v>
      </c>
      <c r="J637" s="11">
        <f t="shared" ca="1" si="32"/>
        <v>46118</v>
      </c>
      <c r="K637" s="13"/>
    </row>
    <row r="638" spans="1:11" ht="18" hidden="1" x14ac:dyDescent="0.4">
      <c r="A638" s="93" t="s">
        <v>475</v>
      </c>
      <c r="B638" s="16" t="s">
        <v>611</v>
      </c>
      <c r="C638" s="8">
        <v>42998</v>
      </c>
      <c r="D638" s="9">
        <v>463545200</v>
      </c>
      <c r="E638" s="57">
        <v>600</v>
      </c>
      <c r="F638" s="10" t="s">
        <v>612</v>
      </c>
      <c r="G638" s="98">
        <v>0</v>
      </c>
      <c r="H638" s="9">
        <f t="shared" si="33"/>
        <v>0</v>
      </c>
      <c r="I638" s="11">
        <f t="shared" ca="1" si="34"/>
        <v>46119</v>
      </c>
      <c r="J638" s="11">
        <f t="shared" ca="1" si="32"/>
        <v>46118</v>
      </c>
      <c r="K638" s="13"/>
    </row>
    <row r="639" spans="1:11" ht="18" hidden="1" x14ac:dyDescent="0.4">
      <c r="A639" s="93" t="s">
        <v>475</v>
      </c>
      <c r="B639" s="16" t="s">
        <v>473</v>
      </c>
      <c r="C639" s="8">
        <v>31775</v>
      </c>
      <c r="D639" s="9">
        <v>552597070</v>
      </c>
      <c r="E639" s="57">
        <v>900</v>
      </c>
      <c r="F639" s="10" t="s">
        <v>613</v>
      </c>
      <c r="G639" s="98">
        <v>0</v>
      </c>
      <c r="H639" s="9">
        <f t="shared" si="33"/>
        <v>0</v>
      </c>
      <c r="I639" s="11">
        <f t="shared" ca="1" si="34"/>
        <v>46119</v>
      </c>
      <c r="J639" s="11">
        <f t="shared" ca="1" si="32"/>
        <v>46118</v>
      </c>
      <c r="K639" s="13"/>
    </row>
    <row r="640" spans="1:11" ht="18" hidden="1" x14ac:dyDescent="0.4">
      <c r="A640" s="93" t="s">
        <v>475</v>
      </c>
      <c r="B640" s="16" t="s">
        <v>614</v>
      </c>
      <c r="C640" s="8">
        <v>10627</v>
      </c>
      <c r="D640" s="9">
        <v>77132900</v>
      </c>
      <c r="E640" s="57">
        <v>2500</v>
      </c>
      <c r="F640" s="10" t="s">
        <v>615</v>
      </c>
      <c r="G640" s="98">
        <v>0</v>
      </c>
      <c r="H640" s="9">
        <f t="shared" si="33"/>
        <v>0</v>
      </c>
      <c r="I640" s="11">
        <f t="shared" ca="1" si="34"/>
        <v>46119</v>
      </c>
      <c r="J640" s="11">
        <f t="shared" ca="1" si="32"/>
        <v>46118</v>
      </c>
      <c r="K640" s="13"/>
    </row>
    <row r="641" spans="1:11" ht="19.5" hidden="1" x14ac:dyDescent="0.55000000000000004">
      <c r="A641" s="93" t="s">
        <v>475</v>
      </c>
      <c r="B641" s="16" t="s">
        <v>616</v>
      </c>
      <c r="C641" s="8">
        <v>50050</v>
      </c>
      <c r="D641" s="9">
        <v>552807940</v>
      </c>
      <c r="E641" s="57">
        <v>360</v>
      </c>
      <c r="F641" s="10" t="s">
        <v>617</v>
      </c>
      <c r="G641" s="98">
        <v>0</v>
      </c>
      <c r="H641" s="9">
        <f t="shared" si="33"/>
        <v>0</v>
      </c>
      <c r="I641" s="11">
        <f t="shared" ca="1" si="34"/>
        <v>46119</v>
      </c>
      <c r="J641" s="11">
        <f t="shared" ca="1" si="32"/>
        <v>46118</v>
      </c>
      <c r="K641" s="58"/>
    </row>
    <row r="642" spans="1:11" ht="19.5" hidden="1" x14ac:dyDescent="0.55000000000000004">
      <c r="A642" s="93" t="s">
        <v>475</v>
      </c>
      <c r="B642" s="16" t="s">
        <v>616</v>
      </c>
      <c r="C642" s="8">
        <v>50050</v>
      </c>
      <c r="D642" s="9">
        <v>552807950</v>
      </c>
      <c r="E642" s="57">
        <v>360</v>
      </c>
      <c r="F642" s="10" t="s">
        <v>618</v>
      </c>
      <c r="G642" s="98">
        <v>0</v>
      </c>
      <c r="H642" s="9">
        <f t="shared" si="33"/>
        <v>0</v>
      </c>
      <c r="I642" s="11">
        <f t="shared" ca="1" si="34"/>
        <v>46119</v>
      </c>
      <c r="J642" s="11">
        <f t="shared" ca="1" si="32"/>
        <v>46118</v>
      </c>
      <c r="K642" s="58"/>
    </row>
    <row r="643" spans="1:11" ht="19.5" hidden="1" x14ac:dyDescent="0.55000000000000004">
      <c r="A643" s="93" t="s">
        <v>475</v>
      </c>
      <c r="B643" s="16" t="s">
        <v>616</v>
      </c>
      <c r="C643" s="8">
        <v>50050</v>
      </c>
      <c r="D643" s="9">
        <v>552810000</v>
      </c>
      <c r="E643" s="57">
        <v>450</v>
      </c>
      <c r="F643" s="10" t="s">
        <v>619</v>
      </c>
      <c r="G643" s="98">
        <v>0</v>
      </c>
      <c r="H643" s="9">
        <f t="shared" si="33"/>
        <v>0</v>
      </c>
      <c r="I643" s="11">
        <f t="shared" ca="1" si="34"/>
        <v>46119</v>
      </c>
      <c r="J643" s="11">
        <f t="shared" ca="1" si="32"/>
        <v>46118</v>
      </c>
      <c r="K643" s="58"/>
    </row>
    <row r="644" spans="1:11" ht="19.5" hidden="1" x14ac:dyDescent="0.55000000000000004">
      <c r="A644" s="93" t="s">
        <v>475</v>
      </c>
      <c r="B644" s="16" t="s">
        <v>616</v>
      </c>
      <c r="C644" s="8">
        <v>50050</v>
      </c>
      <c r="D644" s="9">
        <v>552807960</v>
      </c>
      <c r="E644" s="57">
        <v>180</v>
      </c>
      <c r="F644" s="10" t="s">
        <v>620</v>
      </c>
      <c r="G644" s="98">
        <v>0</v>
      </c>
      <c r="H644" s="9">
        <f t="shared" si="33"/>
        <v>0</v>
      </c>
      <c r="I644" s="11">
        <f t="shared" ca="1" si="34"/>
        <v>46119</v>
      </c>
      <c r="J644" s="11">
        <f t="shared" ref="J644:J712" ca="1" si="35">TODAY()</f>
        <v>46118</v>
      </c>
      <c r="K644" s="58"/>
    </row>
    <row r="645" spans="1:11" ht="19.5" hidden="1" x14ac:dyDescent="0.55000000000000004">
      <c r="A645" s="93" t="s">
        <v>475</v>
      </c>
      <c r="B645" s="16" t="s">
        <v>616</v>
      </c>
      <c r="C645" s="8">
        <v>50050</v>
      </c>
      <c r="D645" s="9">
        <v>552512680</v>
      </c>
      <c r="E645" s="57">
        <v>1800</v>
      </c>
      <c r="F645" s="10" t="s">
        <v>621</v>
      </c>
      <c r="G645" s="98">
        <v>0</v>
      </c>
      <c r="H645" s="9">
        <f t="shared" si="33"/>
        <v>0</v>
      </c>
      <c r="I645" s="11">
        <f t="shared" ca="1" si="34"/>
        <v>46119</v>
      </c>
      <c r="J645" s="11">
        <f t="shared" ca="1" si="35"/>
        <v>46118</v>
      </c>
      <c r="K645" s="58"/>
    </row>
    <row r="646" spans="1:11" ht="19.5" hidden="1" x14ac:dyDescent="0.55000000000000004">
      <c r="A646" s="93" t="s">
        <v>475</v>
      </c>
      <c r="B646" s="16" t="s">
        <v>616</v>
      </c>
      <c r="C646" s="8">
        <v>50050</v>
      </c>
      <c r="D646" s="9">
        <v>552500530</v>
      </c>
      <c r="E646" s="57">
        <v>2400</v>
      </c>
      <c r="F646" s="10" t="s">
        <v>621</v>
      </c>
      <c r="G646" s="98">
        <v>0</v>
      </c>
      <c r="H646" s="9">
        <f t="shared" si="33"/>
        <v>0</v>
      </c>
      <c r="I646" s="11">
        <f t="shared" ca="1" si="34"/>
        <v>46119</v>
      </c>
      <c r="J646" s="11">
        <f t="shared" ca="1" si="35"/>
        <v>46118</v>
      </c>
      <c r="K646" s="58"/>
    </row>
    <row r="647" spans="1:11" ht="19.5" hidden="1" x14ac:dyDescent="0.55000000000000004">
      <c r="A647" s="93" t="s">
        <v>475</v>
      </c>
      <c r="B647" s="16" t="s">
        <v>616</v>
      </c>
      <c r="C647" s="8">
        <v>50050</v>
      </c>
      <c r="D647" s="9">
        <v>552807970</v>
      </c>
      <c r="E647" s="57">
        <v>180</v>
      </c>
      <c r="F647" s="10" t="s">
        <v>622</v>
      </c>
      <c r="G647" s="98">
        <v>0</v>
      </c>
      <c r="H647" s="9">
        <f t="shared" si="33"/>
        <v>0</v>
      </c>
      <c r="I647" s="11">
        <f t="shared" ca="1" si="34"/>
        <v>46119</v>
      </c>
      <c r="J647" s="11">
        <f t="shared" ca="1" si="35"/>
        <v>46118</v>
      </c>
      <c r="K647" s="58"/>
    </row>
    <row r="648" spans="1:11" ht="19.5" hidden="1" x14ac:dyDescent="0.55000000000000004">
      <c r="A648" s="93" t="s">
        <v>475</v>
      </c>
      <c r="B648" s="16" t="s">
        <v>286</v>
      </c>
      <c r="C648" s="8">
        <v>51625</v>
      </c>
      <c r="D648" s="9">
        <v>463458000</v>
      </c>
      <c r="E648" s="57">
        <v>1800</v>
      </c>
      <c r="F648" s="10" t="s">
        <v>623</v>
      </c>
      <c r="G648" s="98">
        <v>0</v>
      </c>
      <c r="H648" s="9">
        <f t="shared" si="33"/>
        <v>0</v>
      </c>
      <c r="I648" s="11">
        <f t="shared" ca="1" si="34"/>
        <v>46119</v>
      </c>
      <c r="J648" s="11">
        <f t="shared" ca="1" si="35"/>
        <v>46118</v>
      </c>
      <c r="K648" s="58"/>
    </row>
    <row r="649" spans="1:11" ht="19.5" hidden="1" x14ac:dyDescent="0.55000000000000004">
      <c r="A649" s="93" t="s">
        <v>475</v>
      </c>
      <c r="B649" s="16" t="s">
        <v>286</v>
      </c>
      <c r="C649" s="8">
        <v>51625</v>
      </c>
      <c r="D649" s="9">
        <v>463457980</v>
      </c>
      <c r="E649" s="57">
        <v>1600</v>
      </c>
      <c r="F649" s="10" t="s">
        <v>624</v>
      </c>
      <c r="G649" s="98">
        <v>0</v>
      </c>
      <c r="H649" s="9">
        <f t="shared" si="33"/>
        <v>0</v>
      </c>
      <c r="I649" s="11">
        <f t="shared" ca="1" si="34"/>
        <v>46119</v>
      </c>
      <c r="J649" s="11">
        <f t="shared" ca="1" si="35"/>
        <v>46118</v>
      </c>
      <c r="K649" s="58"/>
    </row>
    <row r="650" spans="1:11" ht="19.5" hidden="1" x14ac:dyDescent="0.55000000000000004">
      <c r="A650" s="93" t="s">
        <v>475</v>
      </c>
      <c r="B650" s="16" t="s">
        <v>286</v>
      </c>
      <c r="C650" s="8">
        <v>51625</v>
      </c>
      <c r="D650" s="9">
        <v>463457990</v>
      </c>
      <c r="E650" s="57">
        <v>1920</v>
      </c>
      <c r="F650" s="10" t="s">
        <v>625</v>
      </c>
      <c r="G650" s="98">
        <v>0</v>
      </c>
      <c r="H650" s="9">
        <f t="shared" si="33"/>
        <v>0</v>
      </c>
      <c r="I650" s="11">
        <f t="shared" ca="1" si="34"/>
        <v>46119</v>
      </c>
      <c r="J650" s="11">
        <f t="shared" ca="1" si="35"/>
        <v>46118</v>
      </c>
      <c r="K650" s="58"/>
    </row>
    <row r="651" spans="1:11" ht="18" hidden="1" x14ac:dyDescent="0.4">
      <c r="A651" s="93" t="s">
        <v>475</v>
      </c>
      <c r="B651" s="16" t="s">
        <v>626</v>
      </c>
      <c r="C651" s="8">
        <v>13093</v>
      </c>
      <c r="D651" s="9">
        <v>552679890</v>
      </c>
      <c r="E651" s="57">
        <v>150</v>
      </c>
      <c r="F651" s="10" t="s">
        <v>627</v>
      </c>
      <c r="G651" s="98">
        <v>0</v>
      </c>
      <c r="H651" s="9">
        <f t="shared" si="33"/>
        <v>0</v>
      </c>
      <c r="I651" s="11">
        <f t="shared" ca="1" si="34"/>
        <v>46119</v>
      </c>
      <c r="J651" s="11">
        <f t="shared" ca="1" si="35"/>
        <v>46118</v>
      </c>
      <c r="K651" s="13"/>
    </row>
    <row r="652" spans="1:11" ht="18" hidden="1" x14ac:dyDescent="0.4">
      <c r="A652" s="93" t="s">
        <v>475</v>
      </c>
      <c r="B652" s="16" t="s">
        <v>628</v>
      </c>
      <c r="C652" s="8">
        <v>30467</v>
      </c>
      <c r="D652" s="9">
        <v>552757120</v>
      </c>
      <c r="E652" s="57">
        <v>300</v>
      </c>
      <c r="F652" s="10" t="s">
        <v>629</v>
      </c>
      <c r="G652" s="98">
        <v>0</v>
      </c>
      <c r="H652" s="9">
        <f t="shared" si="33"/>
        <v>0</v>
      </c>
      <c r="I652" s="11">
        <f t="shared" ca="1" si="34"/>
        <v>46119</v>
      </c>
      <c r="J652" s="11">
        <f t="shared" ca="1" si="35"/>
        <v>46118</v>
      </c>
      <c r="K652" s="13"/>
    </row>
    <row r="653" spans="1:11" ht="18" hidden="1" x14ac:dyDescent="0.4">
      <c r="A653" s="93" t="s">
        <v>475</v>
      </c>
      <c r="B653" s="16" t="s">
        <v>628</v>
      </c>
      <c r="C653" s="8">
        <v>30467</v>
      </c>
      <c r="D653" s="9">
        <v>77894039</v>
      </c>
      <c r="E653" s="57">
        <v>2880</v>
      </c>
      <c r="F653" s="10" t="s">
        <v>510</v>
      </c>
      <c r="G653" s="98">
        <v>0</v>
      </c>
      <c r="H653" s="9">
        <f>G653/E653</f>
        <v>0</v>
      </c>
      <c r="I653" s="11">
        <f ca="1">I652</f>
        <v>46119</v>
      </c>
      <c r="J653" s="11">
        <f ca="1">TODAY()</f>
        <v>46118</v>
      </c>
      <c r="K653" s="13"/>
    </row>
    <row r="654" spans="1:11" ht="18" hidden="1" x14ac:dyDescent="0.4">
      <c r="A654" s="93" t="s">
        <v>475</v>
      </c>
      <c r="B654" s="16" t="s">
        <v>628</v>
      </c>
      <c r="C654" s="8">
        <v>30467</v>
      </c>
      <c r="D654" s="9">
        <v>463458088</v>
      </c>
      <c r="E654" s="57">
        <v>1440</v>
      </c>
      <c r="F654" s="10" t="s">
        <v>630</v>
      </c>
      <c r="G654" s="98">
        <v>0</v>
      </c>
      <c r="H654" s="9">
        <f>G654/E654</f>
        <v>0</v>
      </c>
      <c r="I654" s="11">
        <f ca="1">I653</f>
        <v>46119</v>
      </c>
      <c r="J654" s="11">
        <f ca="1">TODAY()</f>
        <v>46118</v>
      </c>
      <c r="K654" s="13"/>
    </row>
    <row r="655" spans="1:11" ht="18" hidden="1" x14ac:dyDescent="0.4">
      <c r="A655" s="93" t="s">
        <v>475</v>
      </c>
      <c r="B655" s="16" t="s">
        <v>631</v>
      </c>
      <c r="C655" s="8">
        <v>60644</v>
      </c>
      <c r="D655" s="9">
        <v>75742790</v>
      </c>
      <c r="E655" s="57">
        <v>400</v>
      </c>
      <c r="F655" s="10" t="s">
        <v>632</v>
      </c>
      <c r="G655" s="98">
        <v>0</v>
      </c>
      <c r="H655" s="9">
        <f>G655/E655</f>
        <v>0</v>
      </c>
      <c r="I655" s="11">
        <f ca="1">I652</f>
        <v>46119</v>
      </c>
      <c r="J655" s="11">
        <f t="shared" ca="1" si="35"/>
        <v>46118</v>
      </c>
      <c r="K655" s="13"/>
    </row>
    <row r="656" spans="1:11" ht="18" hidden="1" x14ac:dyDescent="0.4">
      <c r="A656" s="93" t="s">
        <v>475</v>
      </c>
      <c r="B656" s="16" t="s">
        <v>631</v>
      </c>
      <c r="C656" s="8">
        <v>60644</v>
      </c>
      <c r="D656" s="9">
        <v>464600430</v>
      </c>
      <c r="E656" s="57">
        <v>72</v>
      </c>
      <c r="F656" s="10" t="s">
        <v>633</v>
      </c>
      <c r="G656" s="98">
        <v>0</v>
      </c>
      <c r="H656" s="9">
        <f t="shared" si="33"/>
        <v>0</v>
      </c>
      <c r="I656" s="11">
        <f t="shared" ca="1" si="34"/>
        <v>46119</v>
      </c>
      <c r="J656" s="11">
        <f t="shared" ca="1" si="35"/>
        <v>46118</v>
      </c>
      <c r="K656" s="13"/>
    </row>
    <row r="657" spans="1:11" ht="19.5" hidden="1" x14ac:dyDescent="0.55000000000000004">
      <c r="A657" s="93" t="s">
        <v>475</v>
      </c>
      <c r="B657" s="16" t="s">
        <v>634</v>
      </c>
      <c r="C657" s="8">
        <v>63192</v>
      </c>
      <c r="D657" s="9">
        <v>552044480</v>
      </c>
      <c r="E657" s="57">
        <v>45</v>
      </c>
      <c r="F657" s="10" t="s">
        <v>635</v>
      </c>
      <c r="G657" s="98">
        <v>0</v>
      </c>
      <c r="H657" s="9">
        <f t="shared" si="33"/>
        <v>0</v>
      </c>
      <c r="I657" s="11">
        <f t="shared" ca="1" si="34"/>
        <v>46119</v>
      </c>
      <c r="J657" s="11">
        <f t="shared" ca="1" si="35"/>
        <v>46118</v>
      </c>
      <c r="K657" s="59"/>
    </row>
    <row r="658" spans="1:11" ht="19.5" hidden="1" x14ac:dyDescent="0.55000000000000004">
      <c r="A658" s="93" t="s">
        <v>475</v>
      </c>
      <c r="B658" s="16" t="s">
        <v>634</v>
      </c>
      <c r="C658" s="8">
        <v>63192</v>
      </c>
      <c r="D658" s="9">
        <v>552044490</v>
      </c>
      <c r="E658" s="57">
        <v>45</v>
      </c>
      <c r="F658" s="10" t="s">
        <v>635</v>
      </c>
      <c r="G658" s="98">
        <v>0</v>
      </c>
      <c r="H658" s="9">
        <f t="shared" si="33"/>
        <v>0</v>
      </c>
      <c r="I658" s="11">
        <f t="shared" ca="1" si="34"/>
        <v>46119</v>
      </c>
      <c r="J658" s="11">
        <f t="shared" ca="1" si="35"/>
        <v>46118</v>
      </c>
      <c r="K658" s="59"/>
    </row>
    <row r="659" spans="1:11" ht="18" hidden="1" x14ac:dyDescent="0.4">
      <c r="A659" s="93" t="s">
        <v>475</v>
      </c>
      <c r="B659" s="16" t="s">
        <v>637</v>
      </c>
      <c r="C659" s="8">
        <v>64641</v>
      </c>
      <c r="D659" s="9">
        <v>143253110</v>
      </c>
      <c r="E659" s="57">
        <v>350</v>
      </c>
      <c r="F659" s="10" t="s">
        <v>638</v>
      </c>
      <c r="G659" s="98">
        <v>0</v>
      </c>
      <c r="H659" s="9">
        <f t="shared" si="33"/>
        <v>0</v>
      </c>
      <c r="I659" s="11">
        <f t="shared" ca="1" si="34"/>
        <v>46119</v>
      </c>
      <c r="J659" s="11">
        <f t="shared" ca="1" si="35"/>
        <v>46118</v>
      </c>
      <c r="K659" s="13"/>
    </row>
    <row r="660" spans="1:11" ht="18" hidden="1" x14ac:dyDescent="0.4">
      <c r="A660" s="93" t="s">
        <v>475</v>
      </c>
      <c r="B660" s="16" t="s">
        <v>639</v>
      </c>
      <c r="C660" s="8">
        <v>29928</v>
      </c>
      <c r="D660" s="9">
        <v>400048200</v>
      </c>
      <c r="E660" s="57">
        <v>480</v>
      </c>
      <c r="F660" s="10" t="s">
        <v>593</v>
      </c>
      <c r="G660" s="98">
        <v>0</v>
      </c>
      <c r="H660" s="9">
        <f t="shared" si="33"/>
        <v>0</v>
      </c>
      <c r="I660" s="11">
        <f t="shared" ca="1" si="34"/>
        <v>46119</v>
      </c>
      <c r="J660" s="11">
        <f t="shared" ca="1" si="35"/>
        <v>46118</v>
      </c>
      <c r="K660" s="13"/>
    </row>
    <row r="661" spans="1:11" ht="18" hidden="1" x14ac:dyDescent="0.4">
      <c r="A661" s="93" t="s">
        <v>475</v>
      </c>
      <c r="B661" s="16" t="s">
        <v>640</v>
      </c>
      <c r="C661" s="8">
        <v>68265</v>
      </c>
      <c r="D661" s="9">
        <v>463415970</v>
      </c>
      <c r="E661" s="57">
        <v>360</v>
      </c>
      <c r="F661" s="10" t="s">
        <v>641</v>
      </c>
      <c r="G661" s="98">
        <v>0</v>
      </c>
      <c r="H661" s="9">
        <f t="shared" si="33"/>
        <v>0</v>
      </c>
      <c r="I661" s="11">
        <f t="shared" ca="1" si="34"/>
        <v>46119</v>
      </c>
      <c r="J661" s="11">
        <f t="shared" ca="1" si="35"/>
        <v>46118</v>
      </c>
      <c r="K661" s="13"/>
    </row>
    <row r="662" spans="1:11" ht="18" hidden="1" x14ac:dyDescent="0.4">
      <c r="A662" s="93" t="s">
        <v>475</v>
      </c>
      <c r="B662" s="16" t="s">
        <v>640</v>
      </c>
      <c r="C662" s="8">
        <v>68265</v>
      </c>
      <c r="D662" s="9">
        <v>551914710</v>
      </c>
      <c r="E662" s="57">
        <v>360</v>
      </c>
      <c r="F662" s="10" t="s">
        <v>642</v>
      </c>
      <c r="G662" s="98">
        <v>0</v>
      </c>
      <c r="H662" s="9">
        <f t="shared" si="33"/>
        <v>0</v>
      </c>
      <c r="I662" s="11">
        <f t="shared" ca="1" si="34"/>
        <v>46119</v>
      </c>
      <c r="J662" s="11">
        <f t="shared" ca="1" si="35"/>
        <v>46118</v>
      </c>
      <c r="K662" s="13"/>
    </row>
    <row r="663" spans="1:11" ht="18" hidden="1" x14ac:dyDescent="0.4">
      <c r="A663" s="93" t="s">
        <v>475</v>
      </c>
      <c r="B663" s="16" t="s">
        <v>640</v>
      </c>
      <c r="C663" s="8">
        <v>68265</v>
      </c>
      <c r="D663" s="9">
        <v>552444220</v>
      </c>
      <c r="E663" s="57">
        <v>180</v>
      </c>
      <c r="F663" s="10" t="s">
        <v>641</v>
      </c>
      <c r="G663" s="98">
        <v>0</v>
      </c>
      <c r="H663" s="9">
        <f t="shared" si="33"/>
        <v>0</v>
      </c>
      <c r="I663" s="11">
        <f t="shared" ca="1" si="34"/>
        <v>46119</v>
      </c>
      <c r="J663" s="11">
        <f t="shared" ca="1" si="35"/>
        <v>46118</v>
      </c>
      <c r="K663" s="13"/>
    </row>
    <row r="664" spans="1:11" ht="18" hidden="1" x14ac:dyDescent="0.4">
      <c r="A664" s="93" t="s">
        <v>475</v>
      </c>
      <c r="B664" s="16" t="s">
        <v>640</v>
      </c>
      <c r="C664" s="8">
        <v>68265</v>
      </c>
      <c r="D664" s="9">
        <v>552701450</v>
      </c>
      <c r="E664" s="57">
        <v>360</v>
      </c>
      <c r="F664" s="10" t="s">
        <v>643</v>
      </c>
      <c r="G664" s="98">
        <v>0</v>
      </c>
      <c r="H664" s="9">
        <f t="shared" si="33"/>
        <v>0</v>
      </c>
      <c r="I664" s="11">
        <f t="shared" ca="1" si="34"/>
        <v>46119</v>
      </c>
      <c r="J664" s="11">
        <f t="shared" ca="1" si="35"/>
        <v>46118</v>
      </c>
      <c r="K664" s="13"/>
    </row>
    <row r="665" spans="1:11" ht="18" hidden="1" x14ac:dyDescent="0.4">
      <c r="A665" s="93" t="s">
        <v>475</v>
      </c>
      <c r="B665" s="16" t="s">
        <v>644</v>
      </c>
      <c r="C665" s="8">
        <v>68265</v>
      </c>
      <c r="D665" s="9">
        <v>59999700</v>
      </c>
      <c r="E665" s="57">
        <v>102</v>
      </c>
      <c r="F665" s="10" t="s">
        <v>645</v>
      </c>
      <c r="G665" s="98">
        <v>0</v>
      </c>
      <c r="H665" s="9">
        <f t="shared" si="33"/>
        <v>0</v>
      </c>
      <c r="I665" s="11">
        <f t="shared" ca="1" si="34"/>
        <v>46119</v>
      </c>
      <c r="J665" s="11">
        <f t="shared" ca="1" si="35"/>
        <v>46118</v>
      </c>
      <c r="K665" s="13"/>
    </row>
    <row r="666" spans="1:11" ht="18" hidden="1" x14ac:dyDescent="0.4">
      <c r="A666" s="93" t="s">
        <v>475</v>
      </c>
      <c r="B666" s="16" t="s">
        <v>644</v>
      </c>
      <c r="C666" s="8">
        <v>68265</v>
      </c>
      <c r="D666" s="9">
        <v>75645190</v>
      </c>
      <c r="E666" s="57">
        <v>126</v>
      </c>
      <c r="F666" s="10" t="s">
        <v>646</v>
      </c>
      <c r="G666" s="98">
        <v>0</v>
      </c>
      <c r="H666" s="9">
        <f t="shared" si="33"/>
        <v>0</v>
      </c>
      <c r="I666" s="11">
        <f t="shared" ca="1" si="34"/>
        <v>46119</v>
      </c>
      <c r="J666" s="11">
        <f t="shared" ca="1" si="35"/>
        <v>46118</v>
      </c>
      <c r="K666" s="13"/>
    </row>
    <row r="667" spans="1:11" ht="18" hidden="1" x14ac:dyDescent="0.4">
      <c r="A667" s="93" t="s">
        <v>475</v>
      </c>
      <c r="B667" s="16" t="s">
        <v>644</v>
      </c>
      <c r="C667" s="8">
        <v>68265</v>
      </c>
      <c r="D667" s="9">
        <v>75645290</v>
      </c>
      <c r="E667" s="57">
        <v>144</v>
      </c>
      <c r="F667" s="10" t="s">
        <v>647</v>
      </c>
      <c r="G667" s="98">
        <v>0</v>
      </c>
      <c r="H667" s="9">
        <f t="shared" si="33"/>
        <v>0</v>
      </c>
      <c r="I667" s="11">
        <f t="shared" ca="1" si="34"/>
        <v>46119</v>
      </c>
      <c r="J667" s="11">
        <f t="shared" ca="1" si="35"/>
        <v>46118</v>
      </c>
      <c r="K667" s="13"/>
    </row>
    <row r="668" spans="1:11" ht="18" hidden="1" x14ac:dyDescent="0.4">
      <c r="A668" s="93" t="s">
        <v>475</v>
      </c>
      <c r="B668" s="16" t="s">
        <v>644</v>
      </c>
      <c r="C668" s="8">
        <v>68265</v>
      </c>
      <c r="D668" s="9">
        <v>75756860</v>
      </c>
      <c r="E668" s="57">
        <v>120</v>
      </c>
      <c r="F668" s="10" t="s">
        <v>648</v>
      </c>
      <c r="G668" s="98">
        <v>0</v>
      </c>
      <c r="H668" s="9">
        <f t="shared" si="33"/>
        <v>0</v>
      </c>
      <c r="I668" s="11">
        <f t="shared" ca="1" si="34"/>
        <v>46119</v>
      </c>
      <c r="J668" s="11">
        <f t="shared" ca="1" si="35"/>
        <v>46118</v>
      </c>
      <c r="K668" s="13"/>
    </row>
    <row r="669" spans="1:11" ht="18" hidden="1" x14ac:dyDescent="0.4">
      <c r="A669" s="93" t="s">
        <v>475</v>
      </c>
      <c r="B669" s="16" t="s">
        <v>644</v>
      </c>
      <c r="C669" s="8">
        <v>68265</v>
      </c>
      <c r="D669" s="9">
        <v>75756870</v>
      </c>
      <c r="E669" s="57">
        <v>204</v>
      </c>
      <c r="F669" s="10" t="s">
        <v>649</v>
      </c>
      <c r="G669" s="98">
        <v>0</v>
      </c>
      <c r="H669" s="9">
        <f t="shared" si="33"/>
        <v>0</v>
      </c>
      <c r="I669" s="11">
        <f t="shared" ca="1" si="34"/>
        <v>46119</v>
      </c>
      <c r="J669" s="11">
        <f t="shared" ca="1" si="35"/>
        <v>46118</v>
      </c>
      <c r="K669" s="13"/>
    </row>
    <row r="670" spans="1:11" ht="18" hidden="1" x14ac:dyDescent="0.4">
      <c r="A670" s="93" t="s">
        <v>475</v>
      </c>
      <c r="B670" s="16" t="s">
        <v>644</v>
      </c>
      <c r="C670" s="8">
        <v>68265</v>
      </c>
      <c r="D670" s="9">
        <v>465364600</v>
      </c>
      <c r="E670" s="57">
        <v>90</v>
      </c>
      <c r="F670" s="10" t="s">
        <v>650</v>
      </c>
      <c r="G670" s="98">
        <v>0</v>
      </c>
      <c r="H670" s="9">
        <f t="shared" si="33"/>
        <v>0</v>
      </c>
      <c r="I670" s="11">
        <f t="shared" ca="1" si="34"/>
        <v>46119</v>
      </c>
      <c r="J670" s="11">
        <f t="shared" ca="1" si="35"/>
        <v>46118</v>
      </c>
      <c r="K670" s="13"/>
    </row>
    <row r="671" spans="1:11" ht="18" hidden="1" x14ac:dyDescent="0.4">
      <c r="A671" s="93" t="s">
        <v>475</v>
      </c>
      <c r="B671" s="16" t="s">
        <v>644</v>
      </c>
      <c r="C671" s="8">
        <v>68265</v>
      </c>
      <c r="D671" s="9">
        <v>463457970</v>
      </c>
      <c r="E671" s="57">
        <v>2000</v>
      </c>
      <c r="F671" s="10" t="s">
        <v>651</v>
      </c>
      <c r="G671" s="98">
        <v>0</v>
      </c>
      <c r="H671" s="9">
        <f t="shared" si="33"/>
        <v>0</v>
      </c>
      <c r="I671" s="11">
        <f t="shared" ca="1" si="34"/>
        <v>46119</v>
      </c>
      <c r="J671" s="11">
        <f t="shared" ca="1" si="35"/>
        <v>46118</v>
      </c>
      <c r="K671" s="13"/>
    </row>
    <row r="672" spans="1:11" ht="18" hidden="1" x14ac:dyDescent="0.4">
      <c r="A672" s="93" t="s">
        <v>475</v>
      </c>
      <c r="B672" s="16" t="s">
        <v>644</v>
      </c>
      <c r="C672" s="8">
        <v>68265</v>
      </c>
      <c r="D672" s="9">
        <v>467761980</v>
      </c>
      <c r="E672" s="57">
        <v>96</v>
      </c>
      <c r="F672" s="10" t="s">
        <v>652</v>
      </c>
      <c r="G672" s="98">
        <v>0</v>
      </c>
      <c r="H672" s="9">
        <f t="shared" si="33"/>
        <v>0</v>
      </c>
      <c r="I672" s="11">
        <f t="shared" ca="1" si="34"/>
        <v>46119</v>
      </c>
      <c r="J672" s="11">
        <f t="shared" ca="1" si="35"/>
        <v>46118</v>
      </c>
      <c r="K672" s="13"/>
    </row>
    <row r="673" spans="1:11" ht="18" hidden="1" x14ac:dyDescent="0.4">
      <c r="A673" s="93" t="s">
        <v>475</v>
      </c>
      <c r="B673" s="16" t="s">
        <v>644</v>
      </c>
      <c r="C673" s="8">
        <v>68265</v>
      </c>
      <c r="D673" s="9">
        <v>467984770</v>
      </c>
      <c r="E673" s="57">
        <v>216</v>
      </c>
      <c r="F673" s="10" t="s">
        <v>653</v>
      </c>
      <c r="G673" s="98">
        <v>0</v>
      </c>
      <c r="H673" s="9">
        <f t="shared" si="33"/>
        <v>0</v>
      </c>
      <c r="I673" s="11">
        <f t="shared" ca="1" si="34"/>
        <v>46119</v>
      </c>
      <c r="J673" s="11">
        <f t="shared" ca="1" si="35"/>
        <v>46118</v>
      </c>
      <c r="K673" s="13"/>
    </row>
    <row r="674" spans="1:11" ht="18" hidden="1" x14ac:dyDescent="0.4">
      <c r="A674" s="93" t="s">
        <v>475</v>
      </c>
      <c r="B674" s="16" t="s">
        <v>644</v>
      </c>
      <c r="C674" s="8">
        <v>68265</v>
      </c>
      <c r="D674" s="9">
        <v>552180370</v>
      </c>
      <c r="E674" s="57">
        <v>39</v>
      </c>
      <c r="F674" s="10" t="s">
        <v>654</v>
      </c>
      <c r="G674" s="98">
        <v>0</v>
      </c>
      <c r="H674" s="9">
        <f t="shared" si="33"/>
        <v>0</v>
      </c>
      <c r="I674" s="11">
        <f t="shared" ca="1" si="34"/>
        <v>46119</v>
      </c>
      <c r="J674" s="11">
        <f t="shared" ca="1" si="35"/>
        <v>46118</v>
      </c>
      <c r="K674" s="13"/>
    </row>
    <row r="675" spans="1:11" ht="18" hidden="1" x14ac:dyDescent="0.4">
      <c r="A675" s="93" t="s">
        <v>475</v>
      </c>
      <c r="B675" s="16" t="s">
        <v>644</v>
      </c>
      <c r="C675" s="8">
        <v>68265</v>
      </c>
      <c r="D675" s="9">
        <v>463559990</v>
      </c>
      <c r="E675" s="57">
        <v>102</v>
      </c>
      <c r="F675" s="10" t="s">
        <v>655</v>
      </c>
      <c r="G675" s="98">
        <v>0</v>
      </c>
      <c r="H675" s="9">
        <f t="shared" si="33"/>
        <v>0</v>
      </c>
      <c r="I675" s="11">
        <f t="shared" ca="1" si="34"/>
        <v>46119</v>
      </c>
      <c r="J675" s="11">
        <f t="shared" ca="1" si="35"/>
        <v>46118</v>
      </c>
      <c r="K675" s="13"/>
    </row>
    <row r="676" spans="1:11" ht="18" hidden="1" x14ac:dyDescent="0.4">
      <c r="A676" s="93" t="s">
        <v>475</v>
      </c>
      <c r="B676" s="16" t="s">
        <v>656</v>
      </c>
      <c r="C676" s="8">
        <v>70930</v>
      </c>
      <c r="D676" s="9">
        <v>75095320</v>
      </c>
      <c r="E676" s="57">
        <v>600</v>
      </c>
      <c r="F676" s="10" t="s">
        <v>657</v>
      </c>
      <c r="G676" s="98">
        <v>0</v>
      </c>
      <c r="H676" s="9">
        <f t="shared" si="33"/>
        <v>0</v>
      </c>
      <c r="I676" s="11">
        <f t="shared" ca="1" si="34"/>
        <v>46119</v>
      </c>
      <c r="J676" s="11">
        <f t="shared" ca="1" si="35"/>
        <v>46118</v>
      </c>
      <c r="K676" s="13"/>
    </row>
    <row r="677" spans="1:11" ht="18" hidden="1" x14ac:dyDescent="0.4">
      <c r="A677" s="93" t="s">
        <v>475</v>
      </c>
      <c r="B677" s="16" t="s">
        <v>656</v>
      </c>
      <c r="C677" s="8">
        <v>70930</v>
      </c>
      <c r="D677" s="9">
        <v>75095330</v>
      </c>
      <c r="E677" s="57">
        <v>840</v>
      </c>
      <c r="F677" s="10" t="s">
        <v>658</v>
      </c>
      <c r="G677" s="98">
        <v>0</v>
      </c>
      <c r="H677" s="9">
        <f t="shared" si="33"/>
        <v>0</v>
      </c>
      <c r="I677" s="11">
        <f t="shared" ca="1" si="34"/>
        <v>46119</v>
      </c>
      <c r="J677" s="11">
        <f t="shared" ca="1" si="35"/>
        <v>46118</v>
      </c>
      <c r="K677" s="13"/>
    </row>
    <row r="678" spans="1:11" ht="18" hidden="1" x14ac:dyDescent="0.4">
      <c r="A678" s="93" t="s">
        <v>475</v>
      </c>
      <c r="B678" s="16" t="s">
        <v>656</v>
      </c>
      <c r="C678" s="8">
        <v>70930</v>
      </c>
      <c r="D678" s="9">
        <v>464752630</v>
      </c>
      <c r="E678" s="57">
        <v>3456</v>
      </c>
      <c r="F678" s="10" t="s">
        <v>659</v>
      </c>
      <c r="G678" s="98">
        <v>0</v>
      </c>
      <c r="H678" s="9">
        <f t="shared" si="33"/>
        <v>0</v>
      </c>
      <c r="I678" s="11">
        <f t="shared" ca="1" si="34"/>
        <v>46119</v>
      </c>
      <c r="J678" s="11">
        <f t="shared" ca="1" si="35"/>
        <v>46118</v>
      </c>
      <c r="K678" s="13"/>
    </row>
    <row r="679" spans="1:11" ht="18" hidden="1" x14ac:dyDescent="0.4">
      <c r="A679" s="93" t="s">
        <v>475</v>
      </c>
      <c r="B679" s="16" t="s">
        <v>656</v>
      </c>
      <c r="C679" s="8">
        <v>70930</v>
      </c>
      <c r="D679" s="9">
        <v>464133490</v>
      </c>
      <c r="E679" s="57">
        <v>1152</v>
      </c>
      <c r="F679" s="10" t="s">
        <v>660</v>
      </c>
      <c r="G679" s="98">
        <v>0</v>
      </c>
      <c r="H679" s="9">
        <f t="shared" si="33"/>
        <v>0</v>
      </c>
      <c r="I679" s="11">
        <f t="shared" ca="1" si="34"/>
        <v>46119</v>
      </c>
      <c r="J679" s="11">
        <f t="shared" ca="1" si="35"/>
        <v>46118</v>
      </c>
      <c r="K679" s="13"/>
    </row>
    <row r="680" spans="1:11" ht="18" hidden="1" x14ac:dyDescent="0.4">
      <c r="A680" s="93" t="s">
        <v>475</v>
      </c>
      <c r="B680" s="7" t="s">
        <v>656</v>
      </c>
      <c r="C680" s="8">
        <v>70930</v>
      </c>
      <c r="D680" s="9">
        <v>552261480</v>
      </c>
      <c r="E680" s="57">
        <v>1426</v>
      </c>
      <c r="F680" s="10" t="s">
        <v>661</v>
      </c>
      <c r="G680" s="98">
        <v>0</v>
      </c>
      <c r="H680" s="9">
        <f t="shared" si="33"/>
        <v>0</v>
      </c>
      <c r="I680" s="11">
        <f ca="1">I677</f>
        <v>46119</v>
      </c>
      <c r="J680" s="11">
        <f t="shared" ca="1" si="35"/>
        <v>46118</v>
      </c>
      <c r="K680" s="13"/>
    </row>
    <row r="681" spans="1:11" ht="18" hidden="1" x14ac:dyDescent="0.4">
      <c r="A681" s="93" t="s">
        <v>475</v>
      </c>
      <c r="B681" s="7" t="s">
        <v>656</v>
      </c>
      <c r="C681" s="8">
        <v>70930</v>
      </c>
      <c r="D681" s="9">
        <v>552261490</v>
      </c>
      <c r="E681" s="57">
        <v>1200</v>
      </c>
      <c r="F681" s="10" t="s">
        <v>662</v>
      </c>
      <c r="G681" s="98">
        <v>0</v>
      </c>
      <c r="H681" s="9">
        <f t="shared" si="33"/>
        <v>0</v>
      </c>
      <c r="I681" s="11">
        <f t="shared" ca="1" si="34"/>
        <v>46119</v>
      </c>
      <c r="J681" s="11">
        <f t="shared" ca="1" si="35"/>
        <v>46118</v>
      </c>
      <c r="K681" s="13"/>
    </row>
    <row r="682" spans="1:11" ht="18" hidden="1" x14ac:dyDescent="0.4">
      <c r="A682" s="93" t="s">
        <v>475</v>
      </c>
      <c r="B682" s="7" t="s">
        <v>663</v>
      </c>
      <c r="C682" s="8">
        <v>14872</v>
      </c>
      <c r="D682" s="9">
        <v>77131980</v>
      </c>
      <c r="E682" s="57">
        <v>1000</v>
      </c>
      <c r="F682" s="10" t="s">
        <v>664</v>
      </c>
      <c r="G682" s="98">
        <v>0</v>
      </c>
      <c r="H682" s="9">
        <f t="shared" si="33"/>
        <v>0</v>
      </c>
      <c r="I682" s="11">
        <f t="shared" ca="1" si="34"/>
        <v>46119</v>
      </c>
      <c r="J682" s="11">
        <f t="shared" ca="1" si="35"/>
        <v>46118</v>
      </c>
      <c r="K682" s="13"/>
    </row>
    <row r="683" spans="1:11" ht="18" hidden="1" x14ac:dyDescent="0.4">
      <c r="A683" s="93" t="s">
        <v>475</v>
      </c>
      <c r="B683" s="7" t="s">
        <v>663</v>
      </c>
      <c r="C683" s="8">
        <v>14872</v>
      </c>
      <c r="D683" s="9">
        <v>552759150</v>
      </c>
      <c r="E683" s="57">
        <v>1000</v>
      </c>
      <c r="F683" s="10" t="s">
        <v>664</v>
      </c>
      <c r="G683" s="98">
        <v>0</v>
      </c>
      <c r="H683" s="9">
        <f t="shared" si="33"/>
        <v>0</v>
      </c>
      <c r="I683" s="11">
        <f t="shared" ca="1" si="34"/>
        <v>46119</v>
      </c>
      <c r="J683" s="11">
        <f t="shared" ca="1" si="35"/>
        <v>46118</v>
      </c>
      <c r="K683" s="13"/>
    </row>
    <row r="684" spans="1:11" ht="18" hidden="1" x14ac:dyDescent="0.4">
      <c r="A684" s="93" t="s">
        <v>475</v>
      </c>
      <c r="B684" s="7" t="s">
        <v>663</v>
      </c>
      <c r="C684" s="8">
        <v>14872</v>
      </c>
      <c r="D684" s="9">
        <v>77289810</v>
      </c>
      <c r="E684" s="57">
        <v>400</v>
      </c>
      <c r="F684" s="10" t="s">
        <v>665</v>
      </c>
      <c r="G684" s="98">
        <v>0</v>
      </c>
      <c r="H684" s="9">
        <f t="shared" si="33"/>
        <v>0</v>
      </c>
      <c r="I684" s="11">
        <f ca="1">I682</f>
        <v>46119</v>
      </c>
      <c r="J684" s="11">
        <f t="shared" ca="1" si="35"/>
        <v>46118</v>
      </c>
      <c r="K684" s="13"/>
    </row>
    <row r="685" spans="1:11" ht="18" hidden="1" x14ac:dyDescent="0.4">
      <c r="A685" s="93" t="s">
        <v>475</v>
      </c>
      <c r="B685" s="7" t="s">
        <v>663</v>
      </c>
      <c r="C685" s="8">
        <v>14872</v>
      </c>
      <c r="D685" s="9">
        <v>77289820</v>
      </c>
      <c r="E685" s="57">
        <v>400</v>
      </c>
      <c r="F685" s="10" t="s">
        <v>666</v>
      </c>
      <c r="G685" s="98">
        <v>0</v>
      </c>
      <c r="H685" s="9">
        <f t="shared" si="33"/>
        <v>0</v>
      </c>
      <c r="I685" s="11">
        <f t="shared" ca="1" si="34"/>
        <v>46119</v>
      </c>
      <c r="J685" s="11">
        <f t="shared" ca="1" si="35"/>
        <v>46118</v>
      </c>
      <c r="K685" s="13"/>
    </row>
    <row r="686" spans="1:11" ht="18" hidden="1" x14ac:dyDescent="0.4">
      <c r="A686" s="93" t="s">
        <v>475</v>
      </c>
      <c r="B686" s="7" t="s">
        <v>663</v>
      </c>
      <c r="C686" s="8">
        <v>14872</v>
      </c>
      <c r="D686" s="9">
        <v>77289830</v>
      </c>
      <c r="E686" s="57">
        <v>400</v>
      </c>
      <c r="F686" s="10" t="s">
        <v>667</v>
      </c>
      <c r="G686" s="98">
        <v>0</v>
      </c>
      <c r="H686" s="9">
        <f t="shared" si="33"/>
        <v>0</v>
      </c>
      <c r="I686" s="11">
        <f t="shared" ca="1" si="34"/>
        <v>46119</v>
      </c>
      <c r="J686" s="11">
        <f t="shared" ca="1" si="35"/>
        <v>46118</v>
      </c>
      <c r="K686" s="13"/>
    </row>
    <row r="687" spans="1:11" ht="18" hidden="1" x14ac:dyDescent="0.4">
      <c r="A687" s="93" t="s">
        <v>475</v>
      </c>
      <c r="B687" s="7" t="s">
        <v>663</v>
      </c>
      <c r="C687" s="8">
        <v>14872</v>
      </c>
      <c r="D687" s="9">
        <v>77289840</v>
      </c>
      <c r="E687" s="57">
        <v>200</v>
      </c>
      <c r="F687" s="10" t="s">
        <v>668</v>
      </c>
      <c r="G687" s="98">
        <v>0</v>
      </c>
      <c r="H687" s="9">
        <f t="shared" ref="H687:H715" si="36">G687/E687</f>
        <v>0</v>
      </c>
      <c r="I687" s="11">
        <f t="shared" ca="1" si="34"/>
        <v>46119</v>
      </c>
      <c r="J687" s="11">
        <f t="shared" ca="1" si="35"/>
        <v>46118</v>
      </c>
      <c r="K687" s="13"/>
    </row>
    <row r="688" spans="1:11" ht="18" hidden="1" x14ac:dyDescent="0.4">
      <c r="A688" s="93" t="s">
        <v>475</v>
      </c>
      <c r="B688" s="7" t="s">
        <v>663</v>
      </c>
      <c r="C688" s="8">
        <v>14872</v>
      </c>
      <c r="D688" s="9">
        <v>77289850</v>
      </c>
      <c r="E688" s="57">
        <v>200</v>
      </c>
      <c r="F688" s="10" t="s">
        <v>669</v>
      </c>
      <c r="G688" s="98">
        <v>0</v>
      </c>
      <c r="H688" s="9">
        <f t="shared" si="36"/>
        <v>0</v>
      </c>
      <c r="I688" s="11">
        <f t="shared" ca="1" si="34"/>
        <v>46119</v>
      </c>
      <c r="J688" s="11">
        <f t="shared" ca="1" si="35"/>
        <v>46118</v>
      </c>
      <c r="K688" s="13"/>
    </row>
    <row r="689" spans="1:11" ht="18" hidden="1" x14ac:dyDescent="0.4">
      <c r="A689" s="93" t="s">
        <v>475</v>
      </c>
      <c r="B689" s="7" t="s">
        <v>663</v>
      </c>
      <c r="C689" s="8">
        <v>14872</v>
      </c>
      <c r="D689" s="9">
        <v>77289860</v>
      </c>
      <c r="E689" s="57">
        <v>150</v>
      </c>
      <c r="F689" s="10" t="s">
        <v>670</v>
      </c>
      <c r="G689" s="98">
        <v>0</v>
      </c>
      <c r="H689" s="9">
        <f t="shared" si="36"/>
        <v>0</v>
      </c>
      <c r="I689" s="11">
        <f t="shared" ca="1" si="34"/>
        <v>46119</v>
      </c>
      <c r="J689" s="11">
        <f t="shared" ca="1" si="35"/>
        <v>46118</v>
      </c>
      <c r="K689" s="13"/>
    </row>
    <row r="690" spans="1:11" ht="18" hidden="1" x14ac:dyDescent="0.4">
      <c r="A690" s="93" t="s">
        <v>475</v>
      </c>
      <c r="B690" s="7" t="s">
        <v>663</v>
      </c>
      <c r="C690" s="8">
        <v>14872</v>
      </c>
      <c r="D690" s="9">
        <v>77289870</v>
      </c>
      <c r="E690" s="57">
        <v>400</v>
      </c>
      <c r="F690" s="10" t="s">
        <v>671</v>
      </c>
      <c r="G690" s="98">
        <v>0</v>
      </c>
      <c r="H690" s="9">
        <f t="shared" si="36"/>
        <v>0</v>
      </c>
      <c r="I690" s="11">
        <f t="shared" ca="1" si="34"/>
        <v>46119</v>
      </c>
      <c r="J690" s="11">
        <f t="shared" ca="1" si="35"/>
        <v>46118</v>
      </c>
      <c r="K690" s="13"/>
    </row>
    <row r="691" spans="1:11" ht="18" hidden="1" x14ac:dyDescent="0.4">
      <c r="A691" s="93" t="s">
        <v>475</v>
      </c>
      <c r="B691" s="7" t="s">
        <v>663</v>
      </c>
      <c r="C691" s="8">
        <v>14872</v>
      </c>
      <c r="D691" s="9">
        <v>77894040</v>
      </c>
      <c r="E691" s="57">
        <v>200</v>
      </c>
      <c r="F691" s="10" t="s">
        <v>672</v>
      </c>
      <c r="G691" s="98">
        <v>0</v>
      </c>
      <c r="H691" s="9">
        <f t="shared" si="36"/>
        <v>0</v>
      </c>
      <c r="I691" s="11">
        <f t="shared" ca="1" si="34"/>
        <v>46119</v>
      </c>
      <c r="J691" s="11">
        <f t="shared" ca="1" si="35"/>
        <v>46118</v>
      </c>
      <c r="K691" s="13"/>
    </row>
    <row r="692" spans="1:11" ht="18" hidden="1" x14ac:dyDescent="0.4">
      <c r="A692" s="93" t="s">
        <v>475</v>
      </c>
      <c r="B692" s="7" t="s">
        <v>663</v>
      </c>
      <c r="C692" s="8">
        <v>14872</v>
      </c>
      <c r="D692" s="9">
        <v>77894530</v>
      </c>
      <c r="E692" s="57">
        <v>400</v>
      </c>
      <c r="F692" s="10" t="s">
        <v>673</v>
      </c>
      <c r="G692" s="98">
        <v>0</v>
      </c>
      <c r="H692" s="9">
        <f t="shared" si="36"/>
        <v>0</v>
      </c>
      <c r="I692" s="11">
        <f t="shared" ca="1" si="34"/>
        <v>46119</v>
      </c>
      <c r="J692" s="11">
        <f t="shared" ca="1" si="35"/>
        <v>46118</v>
      </c>
      <c r="K692" s="13"/>
    </row>
    <row r="693" spans="1:11" ht="18" hidden="1" x14ac:dyDescent="0.4">
      <c r="A693" s="93" t="s">
        <v>475</v>
      </c>
      <c r="B693" s="7" t="s">
        <v>663</v>
      </c>
      <c r="C693" s="8">
        <v>14872</v>
      </c>
      <c r="D693" s="9">
        <v>77894540</v>
      </c>
      <c r="E693" s="57">
        <v>480</v>
      </c>
      <c r="F693" s="10" t="s">
        <v>674</v>
      </c>
      <c r="G693" s="98">
        <v>0</v>
      </c>
      <c r="H693" s="9">
        <f t="shared" si="36"/>
        <v>0</v>
      </c>
      <c r="I693" s="11">
        <f t="shared" ref="I693:I715" ca="1" si="37">I692</f>
        <v>46119</v>
      </c>
      <c r="J693" s="11">
        <f t="shared" ca="1" si="35"/>
        <v>46118</v>
      </c>
      <c r="K693" s="13"/>
    </row>
    <row r="694" spans="1:11" ht="18" hidden="1" x14ac:dyDescent="0.4">
      <c r="A694" s="93" t="s">
        <v>475</v>
      </c>
      <c r="B694" s="7" t="s">
        <v>663</v>
      </c>
      <c r="C694" s="8">
        <v>14872</v>
      </c>
      <c r="D694" s="9">
        <v>77894550</v>
      </c>
      <c r="E694" s="57">
        <v>400</v>
      </c>
      <c r="F694" s="10" t="s">
        <v>675</v>
      </c>
      <c r="G694" s="98">
        <v>0</v>
      </c>
      <c r="H694" s="9">
        <f t="shared" si="36"/>
        <v>0</v>
      </c>
      <c r="I694" s="11">
        <f t="shared" ca="1" si="37"/>
        <v>46119</v>
      </c>
      <c r="J694" s="11">
        <f t="shared" ca="1" si="35"/>
        <v>46118</v>
      </c>
      <c r="K694" s="13"/>
    </row>
    <row r="695" spans="1:11" ht="18" hidden="1" x14ac:dyDescent="0.4">
      <c r="A695" s="93" t="s">
        <v>475</v>
      </c>
      <c r="B695" s="7" t="s">
        <v>663</v>
      </c>
      <c r="C695" s="8">
        <v>14872</v>
      </c>
      <c r="D695" s="9">
        <v>77894560</v>
      </c>
      <c r="E695" s="57">
        <v>400</v>
      </c>
      <c r="F695" s="10" t="s">
        <v>676</v>
      </c>
      <c r="G695" s="98">
        <v>0</v>
      </c>
      <c r="H695" s="9">
        <f t="shared" si="36"/>
        <v>0</v>
      </c>
      <c r="I695" s="11">
        <f t="shared" ca="1" si="37"/>
        <v>46119</v>
      </c>
      <c r="J695" s="11">
        <f t="shared" ca="1" si="35"/>
        <v>46118</v>
      </c>
      <c r="K695" s="13"/>
    </row>
    <row r="696" spans="1:11" ht="18" hidden="1" x14ac:dyDescent="0.4">
      <c r="A696" s="93" t="s">
        <v>475</v>
      </c>
      <c r="B696" s="7" t="s">
        <v>663</v>
      </c>
      <c r="C696" s="8">
        <v>14872</v>
      </c>
      <c r="D696" s="9">
        <v>77894570</v>
      </c>
      <c r="E696" s="57">
        <v>400</v>
      </c>
      <c r="F696" s="10" t="s">
        <v>677</v>
      </c>
      <c r="G696" s="98">
        <v>0</v>
      </c>
      <c r="H696" s="9">
        <f t="shared" si="36"/>
        <v>0</v>
      </c>
      <c r="I696" s="11">
        <f t="shared" ca="1" si="37"/>
        <v>46119</v>
      </c>
      <c r="J696" s="11">
        <f t="shared" ca="1" si="35"/>
        <v>46118</v>
      </c>
      <c r="K696" s="13"/>
    </row>
    <row r="697" spans="1:11" ht="18" hidden="1" x14ac:dyDescent="0.4">
      <c r="A697" s="93" t="s">
        <v>475</v>
      </c>
      <c r="B697" s="7" t="s">
        <v>663</v>
      </c>
      <c r="C697" s="8">
        <v>14872</v>
      </c>
      <c r="D697" s="9">
        <v>102980600</v>
      </c>
      <c r="E697" s="57">
        <v>2000</v>
      </c>
      <c r="F697" s="10" t="s">
        <v>678</v>
      </c>
      <c r="G697" s="98">
        <v>0</v>
      </c>
      <c r="H697" s="9">
        <f t="shared" si="36"/>
        <v>0</v>
      </c>
      <c r="I697" s="11">
        <f t="shared" ca="1" si="37"/>
        <v>46119</v>
      </c>
      <c r="J697" s="11">
        <f t="shared" ca="1" si="35"/>
        <v>46118</v>
      </c>
      <c r="K697" s="13"/>
    </row>
    <row r="698" spans="1:11" ht="18" hidden="1" x14ac:dyDescent="0.4">
      <c r="A698" s="93" t="s">
        <v>475</v>
      </c>
      <c r="B698" s="16" t="s">
        <v>663</v>
      </c>
      <c r="C698" s="8">
        <v>14872</v>
      </c>
      <c r="D698" s="9">
        <v>126444210</v>
      </c>
      <c r="E698" s="57">
        <v>450</v>
      </c>
      <c r="F698" s="10" t="s">
        <v>679</v>
      </c>
      <c r="G698" s="98">
        <v>0</v>
      </c>
      <c r="H698" s="9">
        <f t="shared" si="36"/>
        <v>0</v>
      </c>
      <c r="I698" s="11">
        <f t="shared" ca="1" si="37"/>
        <v>46119</v>
      </c>
      <c r="J698" s="11">
        <f t="shared" ca="1" si="35"/>
        <v>46118</v>
      </c>
      <c r="K698" s="13"/>
    </row>
    <row r="699" spans="1:11" ht="18" hidden="1" x14ac:dyDescent="0.4">
      <c r="A699" s="93" t="s">
        <v>475</v>
      </c>
      <c r="B699" s="16" t="s">
        <v>663</v>
      </c>
      <c r="C699" s="8">
        <v>14872</v>
      </c>
      <c r="D699" s="9">
        <v>552738480</v>
      </c>
      <c r="E699" s="57">
        <v>300</v>
      </c>
      <c r="F699" s="10" t="s">
        <v>680</v>
      </c>
      <c r="G699" s="98">
        <v>0</v>
      </c>
      <c r="H699" s="9">
        <f t="shared" si="36"/>
        <v>0</v>
      </c>
      <c r="I699" s="11">
        <f t="shared" ca="1" si="37"/>
        <v>46119</v>
      </c>
      <c r="J699" s="11">
        <f t="shared" ca="1" si="35"/>
        <v>46118</v>
      </c>
      <c r="K699" s="13"/>
    </row>
    <row r="700" spans="1:11" ht="18" hidden="1" x14ac:dyDescent="0.4">
      <c r="A700" s="93" t="s">
        <v>475</v>
      </c>
      <c r="B700" s="16" t="s">
        <v>681</v>
      </c>
      <c r="C700" s="8">
        <v>61950</v>
      </c>
      <c r="D700" s="9">
        <v>551942240</v>
      </c>
      <c r="E700" s="57">
        <v>100</v>
      </c>
      <c r="F700" s="10" t="s">
        <v>682</v>
      </c>
      <c r="G700" s="98">
        <v>0</v>
      </c>
      <c r="H700" s="9">
        <f t="shared" si="36"/>
        <v>0</v>
      </c>
      <c r="I700" s="11">
        <f t="shared" ca="1" si="37"/>
        <v>46119</v>
      </c>
      <c r="J700" s="11">
        <f t="shared" ca="1" si="35"/>
        <v>46118</v>
      </c>
      <c r="K700" s="13"/>
    </row>
    <row r="701" spans="1:11" ht="18" hidden="1" x14ac:dyDescent="0.4">
      <c r="A701" s="93" t="s">
        <v>475</v>
      </c>
      <c r="B701" s="16" t="s">
        <v>681</v>
      </c>
      <c r="C701" s="8">
        <v>61950</v>
      </c>
      <c r="D701" s="9">
        <v>552110600</v>
      </c>
      <c r="E701" s="57">
        <v>100</v>
      </c>
      <c r="F701" s="10" t="s">
        <v>682</v>
      </c>
      <c r="G701" s="98">
        <v>0</v>
      </c>
      <c r="H701" s="9">
        <f t="shared" si="36"/>
        <v>0</v>
      </c>
      <c r="I701" s="11">
        <f t="shared" ca="1" si="37"/>
        <v>46119</v>
      </c>
      <c r="J701" s="11">
        <f t="shared" ca="1" si="35"/>
        <v>46118</v>
      </c>
      <c r="K701" s="13"/>
    </row>
    <row r="702" spans="1:11" ht="18" hidden="1" x14ac:dyDescent="0.4">
      <c r="A702" s="93" t="s">
        <v>475</v>
      </c>
      <c r="B702" s="16" t="s">
        <v>683</v>
      </c>
      <c r="C702" s="8">
        <v>43317</v>
      </c>
      <c r="D702" s="9">
        <v>76047570</v>
      </c>
      <c r="E702" s="57">
        <v>684</v>
      </c>
      <c r="F702" s="10" t="s">
        <v>612</v>
      </c>
      <c r="G702" s="98">
        <v>0</v>
      </c>
      <c r="H702" s="9">
        <f t="shared" si="36"/>
        <v>0</v>
      </c>
      <c r="I702" s="11">
        <f t="shared" ca="1" si="37"/>
        <v>46119</v>
      </c>
      <c r="J702" s="11">
        <f t="shared" ca="1" si="35"/>
        <v>46118</v>
      </c>
      <c r="K702" s="13"/>
    </row>
    <row r="703" spans="1:11" ht="18" hidden="1" x14ac:dyDescent="0.4">
      <c r="A703" s="93" t="s">
        <v>475</v>
      </c>
      <c r="B703" s="7" t="s">
        <v>684</v>
      </c>
      <c r="C703" s="8">
        <v>41341</v>
      </c>
      <c r="D703" s="9">
        <v>75530320</v>
      </c>
      <c r="E703" s="57">
        <v>2500</v>
      </c>
      <c r="F703" s="10" t="s">
        <v>685</v>
      </c>
      <c r="G703" s="98">
        <v>0</v>
      </c>
      <c r="H703" s="9">
        <f t="shared" si="36"/>
        <v>0</v>
      </c>
      <c r="I703" s="11">
        <f t="shared" ca="1" si="37"/>
        <v>46119</v>
      </c>
      <c r="J703" s="11">
        <f t="shared" ca="1" si="35"/>
        <v>46118</v>
      </c>
      <c r="K703" s="13"/>
    </row>
    <row r="704" spans="1:11" ht="18" hidden="1" x14ac:dyDescent="0.4">
      <c r="A704" s="93" t="s">
        <v>475</v>
      </c>
      <c r="B704" s="7" t="s">
        <v>684</v>
      </c>
      <c r="C704" s="7">
        <v>41341</v>
      </c>
      <c r="D704" s="9">
        <v>464384590</v>
      </c>
      <c r="E704" s="57">
        <v>1200</v>
      </c>
      <c r="F704" s="19" t="s">
        <v>686</v>
      </c>
      <c r="G704" s="98">
        <v>0</v>
      </c>
      <c r="H704" s="9">
        <f t="shared" si="36"/>
        <v>0</v>
      </c>
      <c r="I704" s="11">
        <f t="shared" ca="1" si="37"/>
        <v>46119</v>
      </c>
      <c r="J704" s="11">
        <f t="shared" ca="1" si="35"/>
        <v>46118</v>
      </c>
      <c r="K704" s="8"/>
    </row>
    <row r="705" spans="1:11" ht="18" hidden="1" x14ac:dyDescent="0.4">
      <c r="A705" s="93" t="s">
        <v>475</v>
      </c>
      <c r="B705" s="7" t="s">
        <v>684</v>
      </c>
      <c r="C705" s="7">
        <v>41341</v>
      </c>
      <c r="D705" s="9">
        <v>552153790</v>
      </c>
      <c r="E705" s="57">
        <v>150</v>
      </c>
      <c r="F705" s="19" t="s">
        <v>687</v>
      </c>
      <c r="G705" s="98">
        <v>0</v>
      </c>
      <c r="H705" s="9">
        <f t="shared" si="36"/>
        <v>0</v>
      </c>
      <c r="I705" s="36">
        <f t="shared" ca="1" si="37"/>
        <v>46119</v>
      </c>
      <c r="J705" s="36">
        <f t="shared" ca="1" si="35"/>
        <v>46118</v>
      </c>
      <c r="K705" s="8"/>
    </row>
    <row r="706" spans="1:11" ht="18" hidden="1" x14ac:dyDescent="0.4">
      <c r="A706" s="27" t="s">
        <v>475</v>
      </c>
      <c r="B706" s="28" t="s">
        <v>200</v>
      </c>
      <c r="C706" s="28">
        <v>1073</v>
      </c>
      <c r="D706" s="29">
        <v>552795241</v>
      </c>
      <c r="E706" s="68">
        <v>28</v>
      </c>
      <c r="F706" s="30" t="s">
        <v>688</v>
      </c>
      <c r="G706" s="9">
        <v>0</v>
      </c>
      <c r="H706" s="29">
        <f t="shared" si="36"/>
        <v>0</v>
      </c>
      <c r="I706" s="11">
        <f t="shared" ca="1" si="37"/>
        <v>46119</v>
      </c>
      <c r="J706" s="11">
        <f t="shared" ca="1" si="35"/>
        <v>46118</v>
      </c>
      <c r="K706" s="31"/>
    </row>
    <row r="707" spans="1:11" ht="18" hidden="1" x14ac:dyDescent="0.4">
      <c r="A707" s="7" t="s">
        <v>475</v>
      </c>
      <c r="B707" s="7" t="s">
        <v>200</v>
      </c>
      <c r="C707" s="7">
        <v>1073</v>
      </c>
      <c r="D707" s="9">
        <v>552649671</v>
      </c>
      <c r="E707" s="57">
        <v>48</v>
      </c>
      <c r="F707" s="19" t="s">
        <v>689</v>
      </c>
      <c r="G707" s="9">
        <v>0</v>
      </c>
      <c r="H707" s="9">
        <f t="shared" si="36"/>
        <v>0</v>
      </c>
      <c r="I707" s="11">
        <f t="shared" ca="1" si="37"/>
        <v>46119</v>
      </c>
      <c r="J707" s="11">
        <f t="shared" ca="1" si="35"/>
        <v>46118</v>
      </c>
      <c r="K707" s="13"/>
    </row>
    <row r="708" spans="1:11" ht="18" hidden="1" x14ac:dyDescent="0.4">
      <c r="A708" s="7" t="s">
        <v>475</v>
      </c>
      <c r="B708" s="7" t="s">
        <v>200</v>
      </c>
      <c r="C708" s="7">
        <v>1073</v>
      </c>
      <c r="D708" s="9">
        <v>463516451</v>
      </c>
      <c r="E708" s="57">
        <v>28</v>
      </c>
      <c r="F708" s="96" t="s">
        <v>690</v>
      </c>
      <c r="G708" s="61">
        <v>0</v>
      </c>
      <c r="H708" s="9">
        <f t="shared" si="36"/>
        <v>0</v>
      </c>
      <c r="I708" s="11">
        <f t="shared" ca="1" si="37"/>
        <v>46119</v>
      </c>
      <c r="J708" s="11">
        <f t="shared" ca="1" si="35"/>
        <v>46118</v>
      </c>
      <c r="K708" s="13" t="s">
        <v>731</v>
      </c>
    </row>
    <row r="709" spans="1:11" ht="18" hidden="1" x14ac:dyDescent="0.4">
      <c r="A709" s="7" t="s">
        <v>475</v>
      </c>
      <c r="B709" s="7" t="s">
        <v>200</v>
      </c>
      <c r="C709" s="7">
        <v>1073</v>
      </c>
      <c r="D709" s="9">
        <v>552649651</v>
      </c>
      <c r="E709" s="57">
        <v>24</v>
      </c>
      <c r="F709" s="19" t="s">
        <v>691</v>
      </c>
      <c r="G709" s="9">
        <v>0</v>
      </c>
      <c r="H709" s="9">
        <f t="shared" si="36"/>
        <v>0</v>
      </c>
      <c r="I709" s="11">
        <f t="shared" ca="1" si="37"/>
        <v>46119</v>
      </c>
      <c r="J709" s="11">
        <f t="shared" ca="1" si="35"/>
        <v>46118</v>
      </c>
      <c r="K709" s="8"/>
    </row>
    <row r="710" spans="1:11" ht="18" hidden="1" x14ac:dyDescent="0.4">
      <c r="A710" s="7" t="s">
        <v>475</v>
      </c>
      <c r="B710" s="7" t="s">
        <v>200</v>
      </c>
      <c r="C710" s="7">
        <v>1073</v>
      </c>
      <c r="D710" s="9">
        <v>463471951</v>
      </c>
      <c r="E710" s="57">
        <v>48</v>
      </c>
      <c r="F710" s="19" t="s">
        <v>692</v>
      </c>
      <c r="G710" s="9">
        <v>0</v>
      </c>
      <c r="H710" s="9">
        <f t="shared" si="36"/>
        <v>0</v>
      </c>
      <c r="I710" s="11">
        <f t="shared" ca="1" si="37"/>
        <v>46119</v>
      </c>
      <c r="J710" s="11">
        <f t="shared" ca="1" si="35"/>
        <v>46118</v>
      </c>
      <c r="K710" s="8"/>
    </row>
    <row r="711" spans="1:11" ht="18" hidden="1" x14ac:dyDescent="0.4">
      <c r="A711" s="7" t="s">
        <v>475</v>
      </c>
      <c r="B711" s="7" t="s">
        <v>452</v>
      </c>
      <c r="C711" s="7">
        <v>56589</v>
      </c>
      <c r="D711" s="9">
        <v>976510460</v>
      </c>
      <c r="E711" s="57">
        <v>30</v>
      </c>
      <c r="F711" s="19" t="s">
        <v>693</v>
      </c>
      <c r="G711" s="9">
        <v>0</v>
      </c>
      <c r="H711" s="9">
        <f t="shared" si="36"/>
        <v>0</v>
      </c>
      <c r="I711" s="11">
        <f t="shared" ca="1" si="37"/>
        <v>46119</v>
      </c>
      <c r="J711" s="11">
        <f t="shared" ca="1" si="35"/>
        <v>46118</v>
      </c>
      <c r="K711" s="8"/>
    </row>
    <row r="712" spans="1:11" ht="18" hidden="1" x14ac:dyDescent="0.4">
      <c r="A712" s="7" t="s">
        <v>475</v>
      </c>
      <c r="B712" s="7" t="s">
        <v>452</v>
      </c>
      <c r="C712" s="7">
        <v>56589</v>
      </c>
      <c r="D712" s="9">
        <v>976510450</v>
      </c>
      <c r="E712" s="57">
        <v>50</v>
      </c>
      <c r="F712" s="19" t="s">
        <v>694</v>
      </c>
      <c r="G712" s="9">
        <v>0</v>
      </c>
      <c r="H712" s="9">
        <f t="shared" si="36"/>
        <v>0</v>
      </c>
      <c r="I712" s="11">
        <f t="shared" ca="1" si="37"/>
        <v>46119</v>
      </c>
      <c r="J712" s="11">
        <f t="shared" ca="1" si="35"/>
        <v>46118</v>
      </c>
      <c r="K712" s="8"/>
    </row>
    <row r="713" spans="1:11" ht="18" hidden="1" x14ac:dyDescent="0.4">
      <c r="A713" s="7" t="s">
        <v>475</v>
      </c>
      <c r="B713" s="7" t="s">
        <v>452</v>
      </c>
      <c r="C713" s="7">
        <v>56589</v>
      </c>
      <c r="D713" s="9">
        <v>463528128</v>
      </c>
      <c r="E713" s="57">
        <v>50</v>
      </c>
      <c r="F713" s="96" t="s">
        <v>695</v>
      </c>
      <c r="G713" s="9">
        <v>500</v>
      </c>
      <c r="H713" s="9">
        <f t="shared" si="36"/>
        <v>10</v>
      </c>
      <c r="I713" s="11">
        <f t="shared" ca="1" si="37"/>
        <v>46119</v>
      </c>
      <c r="J713" s="11">
        <f t="shared" ref="J713:J715" ca="1" si="38">TODAY()</f>
        <v>46118</v>
      </c>
      <c r="K713" s="8" t="s">
        <v>732</v>
      </c>
    </row>
    <row r="714" spans="1:11" ht="18" hidden="1" x14ac:dyDescent="0.4">
      <c r="A714" s="7" t="s">
        <v>475</v>
      </c>
      <c r="B714" s="7" t="s">
        <v>452</v>
      </c>
      <c r="C714" s="7">
        <v>56589</v>
      </c>
      <c r="D714" s="9">
        <v>552553318</v>
      </c>
      <c r="E714" s="57">
        <v>30</v>
      </c>
      <c r="F714" s="19" t="s">
        <v>688</v>
      </c>
      <c r="G714" s="9">
        <v>0</v>
      </c>
      <c r="H714" s="9">
        <f t="shared" si="36"/>
        <v>0</v>
      </c>
      <c r="I714" s="11">
        <f t="shared" ca="1" si="37"/>
        <v>46119</v>
      </c>
      <c r="J714" s="11">
        <f t="shared" ca="1" si="38"/>
        <v>46118</v>
      </c>
      <c r="K714" s="8"/>
    </row>
    <row r="715" spans="1:11" ht="18" hidden="1" x14ac:dyDescent="0.4">
      <c r="A715" s="7" t="s">
        <v>475</v>
      </c>
      <c r="B715" s="7" t="s">
        <v>452</v>
      </c>
      <c r="C715" s="7">
        <v>56589</v>
      </c>
      <c r="D715" s="9">
        <v>463530718</v>
      </c>
      <c r="E715" s="57">
        <v>30</v>
      </c>
      <c r="F715" s="96" t="s">
        <v>696</v>
      </c>
      <c r="G715" s="9">
        <v>540</v>
      </c>
      <c r="H715" s="9">
        <f t="shared" si="36"/>
        <v>18</v>
      </c>
      <c r="I715" s="11">
        <f t="shared" ca="1" si="37"/>
        <v>46119</v>
      </c>
      <c r="J715" s="11">
        <f t="shared" ca="1" si="38"/>
        <v>46118</v>
      </c>
      <c r="K715" s="8" t="s">
        <v>732</v>
      </c>
    </row>
    <row r="716" spans="1:11" ht="18" x14ac:dyDescent="0.4">
      <c r="A716" s="20"/>
      <c r="B716" s="16"/>
      <c r="C716" s="16"/>
      <c r="D716" s="9"/>
      <c r="E716" s="63"/>
      <c r="F716" s="16"/>
      <c r="G716" s="16"/>
      <c r="H716" s="16"/>
      <c r="I716" s="11"/>
      <c r="J716" s="16"/>
      <c r="K716" s="21"/>
    </row>
    <row r="717" spans="1:11" ht="18" x14ac:dyDescent="0.4">
      <c r="A717" s="20"/>
      <c r="B717" s="16"/>
      <c r="C717" s="16"/>
      <c r="D717" s="9"/>
      <c r="E717" s="63"/>
      <c r="F717" s="16"/>
      <c r="G717" s="16"/>
      <c r="H717" s="16"/>
      <c r="I717" s="16"/>
      <c r="J717" s="16"/>
      <c r="K717" s="21"/>
    </row>
    <row r="718" spans="1:11" ht="18" x14ac:dyDescent="0.4">
      <c r="A718" s="20"/>
      <c r="B718" s="16"/>
      <c r="C718" s="16"/>
      <c r="D718" s="9"/>
      <c r="E718" s="63"/>
      <c r="F718" s="16"/>
      <c r="G718" s="16"/>
      <c r="H718" s="16"/>
      <c r="I718" s="16"/>
      <c r="J718" s="16"/>
      <c r="K718" s="21"/>
    </row>
    <row r="719" spans="1:11" ht="18" x14ac:dyDescent="0.4">
      <c r="A719" s="20"/>
      <c r="B719" s="16"/>
      <c r="C719" s="16"/>
      <c r="D719" s="9"/>
      <c r="E719" s="63"/>
      <c r="F719" s="16"/>
      <c r="G719" s="16"/>
      <c r="H719" s="16"/>
      <c r="I719" s="16"/>
      <c r="J719" s="16"/>
      <c r="K719" s="21"/>
    </row>
    <row r="720" spans="1:11" ht="18" x14ac:dyDescent="0.4">
      <c r="A720" s="20"/>
      <c r="B720" s="16"/>
      <c r="C720" s="16"/>
      <c r="D720" s="9"/>
      <c r="E720" s="63"/>
      <c r="F720" s="16"/>
      <c r="G720" s="16"/>
      <c r="H720" s="16"/>
      <c r="I720" s="16"/>
      <c r="J720" s="16"/>
      <c r="K720" s="21"/>
    </row>
    <row r="721" spans="1:11" ht="18" x14ac:dyDescent="0.4">
      <c r="A721" s="20"/>
      <c r="B721" s="16"/>
      <c r="C721" s="16"/>
      <c r="D721" s="9"/>
      <c r="E721" s="63"/>
      <c r="F721" s="16"/>
      <c r="G721" s="16"/>
      <c r="H721" s="16"/>
      <c r="I721" s="16"/>
      <c r="J721" s="16"/>
      <c r="K721" s="21"/>
    </row>
    <row r="722" spans="1:11" ht="18" x14ac:dyDescent="0.4">
      <c r="A722" s="20"/>
      <c r="B722" s="16"/>
      <c r="C722" s="16"/>
      <c r="D722" s="9"/>
      <c r="E722" s="63"/>
      <c r="F722" s="16"/>
      <c r="G722" s="16"/>
      <c r="H722" s="16"/>
      <c r="I722" s="16"/>
      <c r="J722" s="16"/>
      <c r="K722" s="21"/>
    </row>
    <row r="723" spans="1:11" ht="18" x14ac:dyDescent="0.4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1" ht="18" x14ac:dyDescent="0.4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1" ht="18" x14ac:dyDescent="0.4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1" ht="18" x14ac:dyDescent="0.4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1" ht="18" x14ac:dyDescent="0.4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1" ht="18" x14ac:dyDescent="0.4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1" ht="18" x14ac:dyDescent="0.4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1" ht="18" x14ac:dyDescent="0.4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1" ht="18" x14ac:dyDescent="0.4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1" ht="18" x14ac:dyDescent="0.4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1" ht="18" x14ac:dyDescent="0.4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1" ht="18" x14ac:dyDescent="0.4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1" ht="18" x14ac:dyDescent="0.4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1" ht="18" x14ac:dyDescent="0.4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 x14ac:dyDescent="0.4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 x14ac:dyDescent="0.4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 x14ac:dyDescent="0.4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 x14ac:dyDescent="0.4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 x14ac:dyDescent="0.4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 x14ac:dyDescent="0.4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 x14ac:dyDescent="0.4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 x14ac:dyDescent="0.4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 x14ac:dyDescent="0.4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 x14ac:dyDescent="0.4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 x14ac:dyDescent="0.4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 x14ac:dyDescent="0.4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 x14ac:dyDescent="0.4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 x14ac:dyDescent="0.4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 x14ac:dyDescent="0.4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 x14ac:dyDescent="0.4">
      <c r="A752" s="20"/>
      <c r="B752" s="16"/>
      <c r="C752" s="16"/>
      <c r="D752" s="7"/>
      <c r="E752" s="63"/>
      <c r="F752" s="16"/>
      <c r="G752" s="16"/>
      <c r="H752" s="16"/>
      <c r="I752" s="16"/>
      <c r="J752" s="16"/>
      <c r="K752" s="21"/>
    </row>
    <row r="753" spans="1:11" ht="18" x14ac:dyDescent="0.4">
      <c r="A753" s="20"/>
      <c r="B753" s="16"/>
      <c r="C753" s="16"/>
      <c r="D753" s="7"/>
      <c r="E753" s="63"/>
      <c r="F753" s="16"/>
      <c r="G753" s="16"/>
      <c r="H753" s="16"/>
      <c r="I753" s="16"/>
      <c r="J753" s="16"/>
      <c r="K753" s="21"/>
    </row>
    <row r="754" spans="1:11" ht="18" x14ac:dyDescent="0.4">
      <c r="A754" s="20"/>
      <c r="B754" s="16"/>
      <c r="C754" s="16"/>
      <c r="D754" s="7"/>
      <c r="E754" s="63"/>
      <c r="F754" s="16"/>
      <c r="G754" s="16"/>
      <c r="H754" s="16"/>
      <c r="I754" s="16"/>
      <c r="J754" s="16"/>
      <c r="K754" s="21"/>
    </row>
    <row r="755" spans="1:11" ht="18" x14ac:dyDescent="0.4">
      <c r="A755" s="20"/>
      <c r="B755" s="16"/>
      <c r="C755" s="16"/>
      <c r="D755" s="7"/>
      <c r="E755" s="63"/>
      <c r="F755" s="16"/>
      <c r="G755" s="16"/>
      <c r="H755" s="16"/>
      <c r="I755" s="16"/>
      <c r="J755" s="16"/>
      <c r="K755" s="21"/>
    </row>
    <row r="756" spans="1:11" ht="18" x14ac:dyDescent="0.4">
      <c r="A756" s="20"/>
      <c r="B756" s="16"/>
      <c r="C756" s="16"/>
      <c r="D756" s="7"/>
      <c r="E756" s="63"/>
      <c r="F756" s="16"/>
      <c r="G756" s="16"/>
      <c r="H756" s="16"/>
      <c r="I756" s="16"/>
      <c r="J756" s="16"/>
      <c r="K756" s="21"/>
    </row>
    <row r="757" spans="1:11" ht="18" x14ac:dyDescent="0.4">
      <c r="A757" s="20"/>
      <c r="B757" s="16"/>
      <c r="C757" s="16"/>
      <c r="D757" s="7"/>
      <c r="E757" s="63"/>
      <c r="F757" s="16"/>
      <c r="G757" s="16"/>
      <c r="H757" s="16"/>
      <c r="I757" s="16"/>
      <c r="J757" s="16"/>
      <c r="K757" s="21"/>
    </row>
    <row r="758" spans="1:11" ht="18" x14ac:dyDescent="0.4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 x14ac:dyDescent="0.4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 x14ac:dyDescent="0.4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 x14ac:dyDescent="0.4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 x14ac:dyDescent="0.4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 x14ac:dyDescent="0.4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 x14ac:dyDescent="0.4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 x14ac:dyDescent="0.4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 x14ac:dyDescent="0.4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 x14ac:dyDescent="0.4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 x14ac:dyDescent="0.4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 x14ac:dyDescent="0.4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 x14ac:dyDescent="0.4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 x14ac:dyDescent="0.4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 x14ac:dyDescent="0.4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 x14ac:dyDescent="0.4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 x14ac:dyDescent="0.4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 x14ac:dyDescent="0.4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 x14ac:dyDescent="0.4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 x14ac:dyDescent="0.4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 x14ac:dyDescent="0.4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 x14ac:dyDescent="0.4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 x14ac:dyDescent="0.4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 x14ac:dyDescent="0.4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 x14ac:dyDescent="0.4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 x14ac:dyDescent="0.4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 x14ac:dyDescent="0.4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 x14ac:dyDescent="0.4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 x14ac:dyDescent="0.4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 x14ac:dyDescent="0.4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 x14ac:dyDescent="0.4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 x14ac:dyDescent="0.4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 x14ac:dyDescent="0.4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 x14ac:dyDescent="0.4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 x14ac:dyDescent="0.4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 x14ac:dyDescent="0.4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 x14ac:dyDescent="0.4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 x14ac:dyDescent="0.4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 x14ac:dyDescent="0.4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 x14ac:dyDescent="0.4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 x14ac:dyDescent="0.4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 x14ac:dyDescent="0.4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 x14ac:dyDescent="0.4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 x14ac:dyDescent="0.4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 x14ac:dyDescent="0.4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 x14ac:dyDescent="0.4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 x14ac:dyDescent="0.4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 x14ac:dyDescent="0.4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 x14ac:dyDescent="0.4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 x14ac:dyDescent="0.4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 x14ac:dyDescent="0.4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 x14ac:dyDescent="0.4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 x14ac:dyDescent="0.4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 x14ac:dyDescent="0.4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 x14ac:dyDescent="0.4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 x14ac:dyDescent="0.4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 x14ac:dyDescent="0.4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 x14ac:dyDescent="0.4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 x14ac:dyDescent="0.4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 x14ac:dyDescent="0.4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 x14ac:dyDescent="0.4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 x14ac:dyDescent="0.4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 x14ac:dyDescent="0.4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 x14ac:dyDescent="0.4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 x14ac:dyDescent="0.4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 x14ac:dyDescent="0.4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 x14ac:dyDescent="0.4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 x14ac:dyDescent="0.4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 x14ac:dyDescent="0.4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 x14ac:dyDescent="0.4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 x14ac:dyDescent="0.4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 x14ac:dyDescent="0.4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 x14ac:dyDescent="0.4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 x14ac:dyDescent="0.4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 x14ac:dyDescent="0.4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 x14ac:dyDescent="0.4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 x14ac:dyDescent="0.4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 x14ac:dyDescent="0.4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 x14ac:dyDescent="0.4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 x14ac:dyDescent="0.4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 x14ac:dyDescent="0.4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 x14ac:dyDescent="0.4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 x14ac:dyDescent="0.4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 x14ac:dyDescent="0.4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 x14ac:dyDescent="0.4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 x14ac:dyDescent="0.4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 x14ac:dyDescent="0.4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 x14ac:dyDescent="0.4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 x14ac:dyDescent="0.4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 x14ac:dyDescent="0.4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 x14ac:dyDescent="0.4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 x14ac:dyDescent="0.4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 x14ac:dyDescent="0.4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 x14ac:dyDescent="0.4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 x14ac:dyDescent="0.4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 x14ac:dyDescent="0.4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 x14ac:dyDescent="0.4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 x14ac:dyDescent="0.4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 x14ac:dyDescent="0.4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 x14ac:dyDescent="0.4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 x14ac:dyDescent="0.4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 x14ac:dyDescent="0.4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 x14ac:dyDescent="0.4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 x14ac:dyDescent="0.4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 x14ac:dyDescent="0.4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 x14ac:dyDescent="0.4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 x14ac:dyDescent="0.4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 x14ac:dyDescent="0.4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 x14ac:dyDescent="0.4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 x14ac:dyDescent="0.4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 x14ac:dyDescent="0.4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 x14ac:dyDescent="0.4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 x14ac:dyDescent="0.4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 x14ac:dyDescent="0.4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 x14ac:dyDescent="0.4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 x14ac:dyDescent="0.4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 x14ac:dyDescent="0.4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 x14ac:dyDescent="0.4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 x14ac:dyDescent="0.4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 x14ac:dyDescent="0.4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 x14ac:dyDescent="0.4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 x14ac:dyDescent="0.4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 x14ac:dyDescent="0.4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 x14ac:dyDescent="0.4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 x14ac:dyDescent="0.4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 x14ac:dyDescent="0.4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 x14ac:dyDescent="0.4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 x14ac:dyDescent="0.4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 x14ac:dyDescent="0.4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 x14ac:dyDescent="0.4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 x14ac:dyDescent="0.4">
      <c r="A888" s="20"/>
      <c r="B888" s="16"/>
      <c r="C888" s="16"/>
      <c r="D888" s="16"/>
      <c r="E888" s="63"/>
      <c r="F888" s="16"/>
      <c r="G888" s="16"/>
      <c r="H888" s="16"/>
      <c r="I888" s="16"/>
      <c r="J888" s="16"/>
      <c r="K888" s="21"/>
    </row>
    <row r="889" spans="1:11" ht="18" x14ac:dyDescent="0.4">
      <c r="A889" s="20"/>
      <c r="B889" s="16"/>
      <c r="C889" s="16"/>
      <c r="D889" s="16"/>
      <c r="E889" s="63"/>
      <c r="F889" s="16"/>
      <c r="G889" s="16"/>
      <c r="H889" s="16"/>
      <c r="I889" s="16"/>
      <c r="J889" s="16"/>
      <c r="K889" s="21"/>
    </row>
    <row r="890" spans="1:11" ht="18" x14ac:dyDescent="0.4">
      <c r="A890" s="20"/>
      <c r="B890" s="16"/>
      <c r="C890" s="16"/>
      <c r="D890" s="16"/>
      <c r="E890" s="63"/>
      <c r="F890" s="16"/>
      <c r="G890" s="16"/>
      <c r="H890" s="16"/>
      <c r="I890" s="16"/>
      <c r="J890" s="16"/>
      <c r="K890" s="21"/>
    </row>
    <row r="891" spans="1:11" ht="18" x14ac:dyDescent="0.4">
      <c r="A891" s="20"/>
      <c r="B891" s="16"/>
      <c r="C891" s="16"/>
      <c r="D891" s="16"/>
      <c r="E891" s="63"/>
      <c r="F891" s="16"/>
      <c r="G891" s="16"/>
      <c r="H891" s="16"/>
      <c r="I891" s="16"/>
      <c r="J891" s="16"/>
      <c r="K891" s="21"/>
    </row>
    <row r="892" spans="1:11" ht="18" x14ac:dyDescent="0.4">
      <c r="A892" s="20"/>
      <c r="B892" s="16"/>
      <c r="C892" s="16"/>
      <c r="D892" s="16"/>
      <c r="E892" s="63"/>
      <c r="F892" s="16"/>
      <c r="G892" s="16"/>
      <c r="H892" s="16"/>
      <c r="I892" s="16"/>
      <c r="J892" s="16"/>
      <c r="K892" s="21"/>
    </row>
    <row r="893" spans="1:11" ht="18" x14ac:dyDescent="0.4">
      <c r="A893" s="20"/>
      <c r="B893" s="16"/>
      <c r="C893" s="16"/>
      <c r="D893" s="16"/>
      <c r="E893" s="63"/>
      <c r="F893" s="16"/>
      <c r="G893" s="16"/>
      <c r="H893" s="16"/>
      <c r="I893" s="16"/>
      <c r="J893" s="16"/>
      <c r="K893" s="21"/>
    </row>
    <row r="894" spans="1:11" ht="18" x14ac:dyDescent="0.4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 x14ac:dyDescent="0.4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 x14ac:dyDescent="0.4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 x14ac:dyDescent="0.4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 x14ac:dyDescent="0.4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 x14ac:dyDescent="0.4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 x14ac:dyDescent="0.4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 x14ac:dyDescent="0.4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 x14ac:dyDescent="0.4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 x14ac:dyDescent="0.4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 x14ac:dyDescent="0.4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 x14ac:dyDescent="0.4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 x14ac:dyDescent="0.4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 x14ac:dyDescent="0.4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 x14ac:dyDescent="0.4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 x14ac:dyDescent="0.4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 x14ac:dyDescent="0.4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 x14ac:dyDescent="0.4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 x14ac:dyDescent="0.4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 x14ac:dyDescent="0.4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 x14ac:dyDescent="0.4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 x14ac:dyDescent="0.4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 x14ac:dyDescent="0.4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 x14ac:dyDescent="0.4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 x14ac:dyDescent="0.4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 x14ac:dyDescent="0.4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 x14ac:dyDescent="0.4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 x14ac:dyDescent="0.4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 x14ac:dyDescent="0.4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 x14ac:dyDescent="0.4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 x14ac:dyDescent="0.4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 x14ac:dyDescent="0.4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 x14ac:dyDescent="0.4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 x14ac:dyDescent="0.4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 x14ac:dyDescent="0.4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 x14ac:dyDescent="0.4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 x14ac:dyDescent="0.4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 x14ac:dyDescent="0.4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 x14ac:dyDescent="0.4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 x14ac:dyDescent="0.4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 x14ac:dyDescent="0.4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 x14ac:dyDescent="0.4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 x14ac:dyDescent="0.4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 x14ac:dyDescent="0.4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 x14ac:dyDescent="0.4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 x14ac:dyDescent="0.4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 x14ac:dyDescent="0.4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 x14ac:dyDescent="0.4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 x14ac:dyDescent="0.4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 x14ac:dyDescent="0.4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 x14ac:dyDescent="0.4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 x14ac:dyDescent="0.4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 x14ac:dyDescent="0.4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 x14ac:dyDescent="0.4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 x14ac:dyDescent="0.4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 x14ac:dyDescent="0.4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 x14ac:dyDescent="0.4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 x14ac:dyDescent="0.4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 x14ac:dyDescent="0.4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 x14ac:dyDescent="0.4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 x14ac:dyDescent="0.4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 x14ac:dyDescent="0.4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 x14ac:dyDescent="0.4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 x14ac:dyDescent="0.4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 x14ac:dyDescent="0.4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 x14ac:dyDescent="0.4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 x14ac:dyDescent="0.4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 x14ac:dyDescent="0.4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 x14ac:dyDescent="0.4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 x14ac:dyDescent="0.4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 x14ac:dyDescent="0.4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 x14ac:dyDescent="0.4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 x14ac:dyDescent="0.4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 x14ac:dyDescent="0.4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 x14ac:dyDescent="0.4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 x14ac:dyDescent="0.4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 x14ac:dyDescent="0.4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 x14ac:dyDescent="0.4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 x14ac:dyDescent="0.4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 x14ac:dyDescent="0.4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 x14ac:dyDescent="0.4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 x14ac:dyDescent="0.4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 x14ac:dyDescent="0.4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 x14ac:dyDescent="0.4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 x14ac:dyDescent="0.4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 x14ac:dyDescent="0.4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 x14ac:dyDescent="0.4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 x14ac:dyDescent="0.4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 x14ac:dyDescent="0.4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 x14ac:dyDescent="0.4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 x14ac:dyDescent="0.4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 x14ac:dyDescent="0.4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 x14ac:dyDescent="0.4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 x14ac:dyDescent="0.4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 x14ac:dyDescent="0.4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 x14ac:dyDescent="0.4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 x14ac:dyDescent="0.4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 x14ac:dyDescent="0.4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 x14ac:dyDescent="0.4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 x14ac:dyDescent="0.4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 x14ac:dyDescent="0.4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 x14ac:dyDescent="0.4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 x14ac:dyDescent="0.4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 x14ac:dyDescent="0.4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 x14ac:dyDescent="0.4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 x14ac:dyDescent="0.4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 x14ac:dyDescent="0.4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 x14ac:dyDescent="0.4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 x14ac:dyDescent="0.4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 x14ac:dyDescent="0.4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 x14ac:dyDescent="0.4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 x14ac:dyDescent="0.4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 x14ac:dyDescent="0.4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 x14ac:dyDescent="0.4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</sheetData>
  <autoFilter ref="A3:N715" xr:uid="{A21A40AA-0B64-48C5-86F2-334D8BF9E3AC}">
    <filterColumn colId="2">
      <filters>
        <filter val="23481"/>
      </filters>
    </filterColumn>
  </autoFilter>
  <mergeCells count="1">
    <mergeCell ref="A2:J2"/>
  </mergeCells>
  <conditionalFormatting sqref="A85:K250">
    <cfRule type="expression" dxfId="49" priority="4">
      <formula>RegExMatch(($D85),"Done")</formula>
    </cfRule>
  </conditionalFormatting>
  <conditionalFormatting sqref="A251:K551 A4:K84 A552:H566 A567:E568 A569:H682 A683:J715 A716:K1007 G500:G580 G567:H568 G592:G702 K552:K640 I552:J682 K651:K656 K659:K715">
    <cfRule type="expression" dxfId="48" priority="29">
      <formula>RegExMatch(($D4),"Done")</formula>
    </cfRule>
  </conditionalFormatting>
  <conditionalFormatting sqref="D4:D1007">
    <cfRule type="cellIs" dxfId="47" priority="2" operator="equal">
      <formula>"Not started"</formula>
    </cfRule>
    <cfRule type="cellIs" dxfId="46" priority="3" operator="equal">
      <formula>"In progress"</formula>
    </cfRule>
  </conditionalFormatting>
  <conditionalFormatting sqref="F4:F84 F251:F566 F569:F1007">
    <cfRule type="timePeriod" dxfId="45" priority="30" timePeriod="today">
      <formula>FLOOR(F4,1)=TODAY()</formula>
    </cfRule>
    <cfRule type="expression" dxfId="44" priority="31">
      <formula>AND($F4&lt;TODAY(), OR($D4="In progress", $D4="Not started"))</formula>
    </cfRule>
  </conditionalFormatting>
  <conditionalFormatting sqref="F85:F250">
    <cfRule type="timePeriod" dxfId="43" priority="5" timePeriod="today">
      <formula>FLOOR(F85,1)=TODAY()</formula>
    </cfRule>
    <cfRule type="expression" dxfId="42" priority="6">
      <formula>AND($F85&lt;TODAY(), OR($D85="In progress", $D85="Not started"))</formula>
    </cfRule>
  </conditionalFormatting>
  <conditionalFormatting sqref="G4:G1007">
    <cfRule type="expression" dxfId="41" priority="1">
      <formula>AND(OR($D4="In progress",$D4="Not started" ),OR($G4=TODAY(), $G4=TODAY()+1))</formula>
    </cfRule>
  </conditionalFormatting>
  <conditionalFormatting sqref="H84">
    <cfRule type="expression" dxfId="40" priority="24">
      <formula>AND(OR($D84="In progress",$D84="Not started" ),OR($G84=TODAY(), $G84=TODAY()+1))</formula>
    </cfRule>
  </conditionalFormatting>
  <conditionalFormatting sqref="H373">
    <cfRule type="expression" dxfId="39" priority="25">
      <formula>AND(OR($D373="In progress",$D373="Not started" ),OR($G373=TODAY(), $G373=TODAY()+1))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4C7B-D3FE-4410-B43D-F085D0688FE6}">
  <sheetPr>
    <tabColor rgb="FFFF0000"/>
    <outlinePr summaryBelow="0" summaryRight="0"/>
    <pageSetUpPr fitToPage="1"/>
  </sheetPr>
  <dimension ref="A1:N1007"/>
  <sheetViews>
    <sheetView showGridLines="0" zoomScale="85" zoomScaleNormal="85" workbookViewId="0">
      <pane ySplit="3" topLeftCell="A483" activePane="bottomLeft" state="frozen"/>
      <selection activeCell="B1" sqref="B1"/>
      <selection pane="bottomLeft" activeCell="B1" sqref="B1"/>
    </sheetView>
  </sheetViews>
  <sheetFormatPr defaultColWidth="12.54296875" defaultRowHeight="15.75" customHeight="1" x14ac:dyDescent="0.4"/>
  <cols>
    <col min="1" max="1" width="12" style="3" customWidth="1"/>
    <col min="2" max="2" width="49.81640625" style="3" bestFit="1" customWidth="1"/>
    <col min="3" max="3" width="12.54296875" style="3" customWidth="1"/>
    <col min="4" max="4" width="19.453125" style="3" customWidth="1"/>
    <col min="5" max="5" width="12" style="69" customWidth="1"/>
    <col min="6" max="6" width="62" style="3" customWidth="1"/>
    <col min="7" max="7" width="20.7265625" style="3" customWidth="1"/>
    <col min="8" max="11" width="19.26953125" style="3" customWidth="1"/>
    <col min="12" max="13" width="12.81640625" style="3" bestFit="1" customWidth="1"/>
    <col min="14" max="14" width="34" style="3" customWidth="1"/>
    <col min="15" max="16384" width="12.54296875" style="3"/>
  </cols>
  <sheetData>
    <row r="1" spans="1:11" ht="12" customHeight="1" x14ac:dyDescent="0.4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1" ht="53.25" customHeight="1" x14ac:dyDescent="0.4">
      <c r="A2" s="114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4"/>
    </row>
    <row r="3" spans="1:11" ht="36" x14ac:dyDescent="0.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</row>
    <row r="4" spans="1:11" ht="18" x14ac:dyDescent="0.4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f ca="1">J4+2</f>
        <v>46120</v>
      </c>
      <c r="J4" s="11">
        <f t="shared" ref="J4:J263" ca="1" si="1">TODAY()</f>
        <v>46118</v>
      </c>
      <c r="K4" s="13"/>
    </row>
    <row r="5" spans="1:11" ht="18" x14ac:dyDescent="0.4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f ca="1">I4</f>
        <v>46120</v>
      </c>
      <c r="J5" s="11">
        <f t="shared" ca="1" si="1"/>
        <v>46118</v>
      </c>
      <c r="K5" s="13"/>
    </row>
    <row r="6" spans="1:11" ht="18" x14ac:dyDescent="0.4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f t="shared" ref="I6:I69" ca="1" si="2">I5</f>
        <v>46120</v>
      </c>
      <c r="J6" s="11">
        <f t="shared" ca="1" si="1"/>
        <v>46118</v>
      </c>
      <c r="K6" s="13"/>
    </row>
    <row r="7" spans="1:11" ht="18" x14ac:dyDescent="0.4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f t="shared" ca="1" si="2"/>
        <v>46120</v>
      </c>
      <c r="J7" s="11">
        <f t="shared" ca="1" si="1"/>
        <v>46118</v>
      </c>
      <c r="K7" s="13"/>
    </row>
    <row r="8" spans="1:11" ht="18" x14ac:dyDescent="0.4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f t="shared" ca="1" si="2"/>
        <v>46120</v>
      </c>
      <c r="J8" s="11">
        <f t="shared" ca="1" si="1"/>
        <v>46118</v>
      </c>
      <c r="K8" s="13"/>
    </row>
    <row r="9" spans="1:11" ht="18" x14ac:dyDescent="0.4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f t="shared" ca="1" si="2"/>
        <v>46120</v>
      </c>
      <c r="J9" s="11">
        <f t="shared" ca="1" si="1"/>
        <v>46118</v>
      </c>
      <c r="K9" s="13"/>
    </row>
    <row r="10" spans="1:11" ht="18" x14ac:dyDescent="0.4">
      <c r="A10" s="57" t="s">
        <v>0</v>
      </c>
      <c r="B10" s="57" t="s">
        <v>22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f t="shared" ca="1" si="2"/>
        <v>46120</v>
      </c>
      <c r="J10" s="11">
        <f t="shared" ca="1" si="1"/>
        <v>46118</v>
      </c>
      <c r="K10" s="13"/>
    </row>
    <row r="11" spans="1:11" ht="18" x14ac:dyDescent="0.4">
      <c r="A11" s="57" t="s">
        <v>0</v>
      </c>
      <c r="B11" s="57" t="s">
        <v>22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f t="shared" ca="1" si="2"/>
        <v>46120</v>
      </c>
      <c r="J11" s="11">
        <f t="shared" ca="1" si="1"/>
        <v>46118</v>
      </c>
      <c r="K11" s="13"/>
    </row>
    <row r="12" spans="1:11" ht="18" x14ac:dyDescent="0.4">
      <c r="A12" s="57" t="s">
        <v>0</v>
      </c>
      <c r="B12" s="57" t="s">
        <v>22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f t="shared" ca="1" si="2"/>
        <v>46120</v>
      </c>
      <c r="J12" s="11">
        <f t="shared" ca="1" si="1"/>
        <v>46118</v>
      </c>
      <c r="K12" s="13"/>
    </row>
    <row r="13" spans="1:11" ht="18" x14ac:dyDescent="0.4">
      <c r="A13" s="57" t="s">
        <v>0</v>
      </c>
      <c r="B13" s="57" t="s">
        <v>22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f t="shared" ca="1" si="2"/>
        <v>46120</v>
      </c>
      <c r="J13" s="11">
        <f t="shared" ca="1" si="1"/>
        <v>46118</v>
      </c>
      <c r="K13" s="13"/>
    </row>
    <row r="14" spans="1:11" ht="18" x14ac:dyDescent="0.4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f t="shared" ca="1" si="2"/>
        <v>46120</v>
      </c>
      <c r="J14" s="11">
        <f t="shared" ca="1" si="1"/>
        <v>46118</v>
      </c>
      <c r="K14" s="13"/>
    </row>
    <row r="15" spans="1:11" ht="18" x14ac:dyDescent="0.4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f t="shared" ca="1" si="2"/>
        <v>46120</v>
      </c>
      <c r="J15" s="11">
        <f t="shared" ca="1" si="1"/>
        <v>46118</v>
      </c>
      <c r="K15" s="13"/>
    </row>
    <row r="16" spans="1:11" ht="18" x14ac:dyDescent="0.4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f t="shared" ca="1" si="2"/>
        <v>46120</v>
      </c>
      <c r="J16" s="11">
        <f t="shared" ca="1" si="1"/>
        <v>46118</v>
      </c>
      <c r="K16" s="13"/>
    </row>
    <row r="17" spans="1:11" ht="18" x14ac:dyDescent="0.4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f t="shared" ca="1" si="2"/>
        <v>46120</v>
      </c>
      <c r="J17" s="53">
        <f t="shared" ca="1" si="1"/>
        <v>46118</v>
      </c>
      <c r="K17" s="21"/>
    </row>
    <row r="18" spans="1:11" ht="18" x14ac:dyDescent="0.4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f t="shared" ca="1" si="2"/>
        <v>46120</v>
      </c>
      <c r="J18" s="53">
        <f t="shared" ca="1" si="1"/>
        <v>46118</v>
      </c>
      <c r="K18" s="21"/>
    </row>
    <row r="19" spans="1:11" ht="18" x14ac:dyDescent="0.4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f t="shared" ca="1" si="2"/>
        <v>46120</v>
      </c>
      <c r="J19" s="53">
        <f t="shared" ca="1" si="1"/>
        <v>46118</v>
      </c>
      <c r="K19" s="21"/>
    </row>
    <row r="20" spans="1:11" ht="18" x14ac:dyDescent="0.4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f t="shared" ca="1" si="2"/>
        <v>46120</v>
      </c>
      <c r="J20" s="53">
        <f t="shared" ca="1" si="1"/>
        <v>46118</v>
      </c>
      <c r="K20" s="21"/>
    </row>
    <row r="21" spans="1:11" ht="18" x14ac:dyDescent="0.4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f t="shared" ca="1" si="2"/>
        <v>46120</v>
      </c>
      <c r="J21" s="53">
        <f t="shared" ca="1" si="1"/>
        <v>46118</v>
      </c>
      <c r="K21" s="21"/>
    </row>
    <row r="22" spans="1:11" ht="18" x14ac:dyDescent="0.4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f t="shared" ca="1" si="2"/>
        <v>46120</v>
      </c>
      <c r="J22" s="53">
        <f t="shared" ca="1" si="1"/>
        <v>46118</v>
      </c>
      <c r="K22" s="21"/>
    </row>
    <row r="23" spans="1:11" ht="18" x14ac:dyDescent="0.4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f t="shared" ca="1" si="2"/>
        <v>46120</v>
      </c>
      <c r="J23" s="53">
        <f t="shared" ca="1" si="1"/>
        <v>46118</v>
      </c>
      <c r="K23" s="21"/>
    </row>
    <row r="24" spans="1:11" ht="18" x14ac:dyDescent="0.4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f t="shared" ca="1" si="2"/>
        <v>46120</v>
      </c>
      <c r="J24" s="53">
        <f t="shared" ca="1" si="1"/>
        <v>46118</v>
      </c>
      <c r="K24" s="21"/>
    </row>
    <row r="25" spans="1:11" ht="18" x14ac:dyDescent="0.4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f t="shared" ca="1" si="2"/>
        <v>46120</v>
      </c>
      <c r="J25" s="53">
        <f t="shared" ca="1" si="1"/>
        <v>46118</v>
      </c>
      <c r="K25" s="7"/>
    </row>
    <row r="26" spans="1:11" ht="18" x14ac:dyDescent="0.4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f t="shared" ca="1" si="2"/>
        <v>46120</v>
      </c>
      <c r="J26" s="53">
        <f t="shared" ca="1" si="1"/>
        <v>46118</v>
      </c>
      <c r="K26" s="21"/>
    </row>
    <row r="27" spans="1:11" ht="18" x14ac:dyDescent="0.4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f t="shared" ca="1" si="2"/>
        <v>46120</v>
      </c>
      <c r="J27" s="53">
        <f t="shared" ca="1" si="1"/>
        <v>46118</v>
      </c>
      <c r="K27" s="21"/>
    </row>
    <row r="28" spans="1:11" ht="18" x14ac:dyDescent="0.4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f t="shared" ca="1" si="2"/>
        <v>46120</v>
      </c>
      <c r="J28" s="53">
        <f t="shared" ca="1" si="1"/>
        <v>46118</v>
      </c>
      <c r="K28" s="21"/>
    </row>
    <row r="29" spans="1:11" ht="18" x14ac:dyDescent="0.4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f t="shared" ca="1" si="2"/>
        <v>46120</v>
      </c>
      <c r="J29" s="53">
        <f t="shared" ca="1" si="1"/>
        <v>46118</v>
      </c>
      <c r="K29" s="21"/>
    </row>
    <row r="30" spans="1:11" ht="18" x14ac:dyDescent="0.4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f t="shared" ca="1" si="2"/>
        <v>46120</v>
      </c>
      <c r="J30" s="53">
        <f t="shared" ca="1" si="1"/>
        <v>46118</v>
      </c>
      <c r="K30" s="21"/>
    </row>
    <row r="31" spans="1:11" ht="18" x14ac:dyDescent="0.4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f t="shared" ca="1" si="2"/>
        <v>46120</v>
      </c>
      <c r="J31" s="11">
        <f t="shared" ca="1" si="1"/>
        <v>46118</v>
      </c>
      <c r="K31" s="13"/>
    </row>
    <row r="32" spans="1:11" ht="18" x14ac:dyDescent="0.4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f t="shared" ca="1" si="2"/>
        <v>46120</v>
      </c>
      <c r="J32" s="11">
        <f t="shared" ca="1" si="1"/>
        <v>46118</v>
      </c>
      <c r="K32" s="13"/>
    </row>
    <row r="33" spans="1:11" ht="18" x14ac:dyDescent="0.4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f t="shared" ca="1" si="2"/>
        <v>46120</v>
      </c>
      <c r="J33" s="11">
        <f t="shared" ca="1" si="1"/>
        <v>46118</v>
      </c>
      <c r="K33" s="13"/>
    </row>
    <row r="34" spans="1:11" ht="18" x14ac:dyDescent="0.4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f ca="1">I33</f>
        <v>46120</v>
      </c>
      <c r="J34" s="53">
        <f t="shared" ca="1" si="1"/>
        <v>46118</v>
      </c>
      <c r="K34" s="21"/>
    </row>
    <row r="35" spans="1:11" ht="18" x14ac:dyDescent="0.4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f ca="1">I34</f>
        <v>46120</v>
      </c>
      <c r="J35" s="53">
        <f t="shared" ca="1" si="1"/>
        <v>46118</v>
      </c>
      <c r="K35" s="21"/>
    </row>
    <row r="36" spans="1:11" ht="18" x14ac:dyDescent="0.4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f ca="1">I35</f>
        <v>46120</v>
      </c>
      <c r="J36" s="53">
        <f t="shared" ca="1" si="1"/>
        <v>46118</v>
      </c>
      <c r="K36" s="21"/>
    </row>
    <row r="37" spans="1:11" ht="15.75" customHeight="1" x14ac:dyDescent="0.4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f t="shared" ca="1" si="2"/>
        <v>46120</v>
      </c>
      <c r="J37" s="53">
        <f t="shared" ca="1" si="1"/>
        <v>46118</v>
      </c>
      <c r="K37" s="21"/>
    </row>
    <row r="38" spans="1:11" ht="18" x14ac:dyDescent="0.4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f t="shared" ca="1" si="2"/>
        <v>46120</v>
      </c>
      <c r="J38" s="53">
        <f t="shared" ca="1" si="1"/>
        <v>46118</v>
      </c>
      <c r="K38" s="7"/>
    </row>
    <row r="39" spans="1:11" ht="18" x14ac:dyDescent="0.4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f t="shared" ca="1" si="2"/>
        <v>46120</v>
      </c>
      <c r="J39" s="53">
        <f t="shared" ca="1" si="1"/>
        <v>46118</v>
      </c>
      <c r="K39" s="21"/>
    </row>
    <row r="40" spans="1:11" ht="18" x14ac:dyDescent="0.4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f t="shared" ca="1" si="2"/>
        <v>46120</v>
      </c>
      <c r="J40" s="53">
        <f t="shared" ca="1" si="1"/>
        <v>46118</v>
      </c>
      <c r="K40" s="21"/>
    </row>
    <row r="41" spans="1:11" ht="18" x14ac:dyDescent="0.4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f t="shared" ca="1" si="2"/>
        <v>46120</v>
      </c>
      <c r="J41" s="53">
        <f t="shared" ca="1" si="1"/>
        <v>46118</v>
      </c>
      <c r="K41" s="21"/>
    </row>
    <row r="42" spans="1:11" ht="18" x14ac:dyDescent="0.4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f t="shared" ca="1" si="2"/>
        <v>46120</v>
      </c>
      <c r="J42" s="53">
        <f t="shared" ca="1" si="1"/>
        <v>46118</v>
      </c>
      <c r="K42" s="21"/>
    </row>
    <row r="43" spans="1:11" ht="18" x14ac:dyDescent="0.4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f t="shared" ca="1" si="2"/>
        <v>46120</v>
      </c>
      <c r="J43" s="53">
        <f t="shared" ca="1" si="1"/>
        <v>46118</v>
      </c>
      <c r="K43" s="21"/>
    </row>
    <row r="44" spans="1:11" ht="18" x14ac:dyDescent="0.4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f t="shared" ca="1" si="2"/>
        <v>46120</v>
      </c>
      <c r="J44" s="11">
        <f t="shared" ca="1" si="1"/>
        <v>46118</v>
      </c>
      <c r="K44" s="13"/>
    </row>
    <row r="45" spans="1:11" ht="18" x14ac:dyDescent="0.4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f t="shared" ca="1" si="2"/>
        <v>46120</v>
      </c>
      <c r="J45" s="11">
        <f t="shared" ca="1" si="1"/>
        <v>46118</v>
      </c>
      <c r="K45" s="13"/>
    </row>
    <row r="46" spans="1:11" ht="18" x14ac:dyDescent="0.4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f t="shared" ca="1" si="2"/>
        <v>46120</v>
      </c>
      <c r="J46" s="11">
        <f t="shared" ca="1" si="1"/>
        <v>46118</v>
      </c>
      <c r="K46" s="13"/>
    </row>
    <row r="47" spans="1:11" ht="18" x14ac:dyDescent="0.4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f t="shared" ca="1" si="2"/>
        <v>46120</v>
      </c>
      <c r="J47" s="11">
        <f t="shared" ca="1" si="1"/>
        <v>46118</v>
      </c>
      <c r="K47" s="13"/>
    </row>
    <row r="48" spans="1:11" ht="18" x14ac:dyDescent="0.4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f t="shared" ca="1" si="2"/>
        <v>46120</v>
      </c>
      <c r="J48" s="53">
        <f t="shared" ca="1" si="1"/>
        <v>46118</v>
      </c>
      <c r="K48" s="54"/>
    </row>
    <row r="49" spans="1:11" ht="18" x14ac:dyDescent="0.4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f t="shared" ca="1" si="2"/>
        <v>46120</v>
      </c>
      <c r="J49" s="53">
        <f t="shared" ca="1" si="1"/>
        <v>46118</v>
      </c>
      <c r="K49" s="21"/>
    </row>
    <row r="50" spans="1:11" ht="18" x14ac:dyDescent="0.4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f t="shared" ca="1" si="2"/>
        <v>46120</v>
      </c>
      <c r="J50" s="53">
        <f t="shared" ca="1" si="1"/>
        <v>46118</v>
      </c>
      <c r="K50" s="21"/>
    </row>
    <row r="51" spans="1:11" ht="18" x14ac:dyDescent="0.4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f t="shared" ca="1" si="2"/>
        <v>46120</v>
      </c>
      <c r="J51" s="53">
        <f t="shared" ca="1" si="1"/>
        <v>46118</v>
      </c>
      <c r="K51" s="7"/>
    </row>
    <row r="52" spans="1:11" ht="18" x14ac:dyDescent="0.4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f t="shared" ca="1" si="2"/>
        <v>46120</v>
      </c>
      <c r="J52" s="11">
        <f t="shared" ca="1" si="1"/>
        <v>46118</v>
      </c>
      <c r="K52" s="13"/>
    </row>
    <row r="53" spans="1:11" ht="18" x14ac:dyDescent="0.4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f t="shared" ca="1" si="2"/>
        <v>46120</v>
      </c>
      <c r="J53" s="11">
        <f t="shared" ca="1" si="1"/>
        <v>46118</v>
      </c>
      <c r="K53" s="13"/>
    </row>
    <row r="54" spans="1:11" ht="18" x14ac:dyDescent="0.4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f t="shared" ca="1" si="2"/>
        <v>46120</v>
      </c>
      <c r="J54" s="11">
        <f t="shared" ca="1" si="1"/>
        <v>46118</v>
      </c>
      <c r="K54" s="13"/>
    </row>
    <row r="55" spans="1:11" ht="18" x14ac:dyDescent="0.4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f t="shared" ca="1" si="2"/>
        <v>46120</v>
      </c>
      <c r="J55" s="11">
        <f t="shared" ca="1" si="1"/>
        <v>46118</v>
      </c>
      <c r="K55" s="13"/>
    </row>
    <row r="56" spans="1:11" ht="18" x14ac:dyDescent="0.4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f t="shared" ca="1" si="2"/>
        <v>46120</v>
      </c>
      <c r="J56" s="11">
        <f t="shared" ca="1" si="1"/>
        <v>46118</v>
      </c>
      <c r="K56" s="13"/>
    </row>
    <row r="57" spans="1:11" ht="18" x14ac:dyDescent="0.4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f t="shared" ca="1" si="2"/>
        <v>46120</v>
      </c>
      <c r="J57" s="53">
        <f t="shared" ca="1" si="1"/>
        <v>46118</v>
      </c>
      <c r="K57" s="21"/>
    </row>
    <row r="58" spans="1:11" ht="18" x14ac:dyDescent="0.4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f t="shared" ca="1" si="2"/>
        <v>46120</v>
      </c>
      <c r="J58" s="53">
        <f t="shared" ca="1" si="1"/>
        <v>46118</v>
      </c>
      <c r="K58" s="21"/>
    </row>
    <row r="59" spans="1:11" ht="18" x14ac:dyDescent="0.4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f t="shared" ca="1" si="2"/>
        <v>46120</v>
      </c>
      <c r="J59" s="53">
        <f t="shared" ca="1" si="1"/>
        <v>46118</v>
      </c>
      <c r="K59" s="7"/>
    </row>
    <row r="60" spans="1:11" ht="18" x14ac:dyDescent="0.4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f t="shared" ca="1" si="2"/>
        <v>46120</v>
      </c>
      <c r="J60" s="11">
        <f t="shared" ca="1" si="1"/>
        <v>46118</v>
      </c>
      <c r="K60" s="13"/>
    </row>
    <row r="61" spans="1:11" ht="18" x14ac:dyDescent="0.4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f t="shared" ca="1" si="2"/>
        <v>46120</v>
      </c>
      <c r="J61" s="11">
        <f t="shared" ca="1" si="1"/>
        <v>46118</v>
      </c>
      <c r="K61" s="13"/>
    </row>
    <row r="62" spans="1:11" ht="18" x14ac:dyDescent="0.4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f t="shared" ca="1" si="2"/>
        <v>46120</v>
      </c>
      <c r="J62" s="11">
        <f t="shared" ca="1" si="1"/>
        <v>46118</v>
      </c>
      <c r="K62" s="13"/>
    </row>
    <row r="63" spans="1:11" ht="18" x14ac:dyDescent="0.4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f t="shared" ca="1" si="2"/>
        <v>46120</v>
      </c>
      <c r="J63" s="53">
        <f t="shared" ca="1" si="1"/>
        <v>46118</v>
      </c>
      <c r="K63" s="21"/>
    </row>
    <row r="64" spans="1:11" ht="18" x14ac:dyDescent="0.4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f t="shared" ca="1" si="2"/>
        <v>46120</v>
      </c>
      <c r="J64" s="53">
        <f t="shared" ca="1" si="1"/>
        <v>46118</v>
      </c>
      <c r="K64" s="21"/>
    </row>
    <row r="65" spans="1:11" ht="18" x14ac:dyDescent="0.4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f t="shared" ca="1" si="2"/>
        <v>46120</v>
      </c>
      <c r="J65" s="53">
        <f t="shared" ca="1" si="1"/>
        <v>46118</v>
      </c>
      <c r="K65" s="21"/>
    </row>
    <row r="66" spans="1:11" ht="18" x14ac:dyDescent="0.4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f t="shared" ca="1" si="2"/>
        <v>46120</v>
      </c>
      <c r="J66" s="53">
        <f t="shared" ca="1" si="1"/>
        <v>46118</v>
      </c>
      <c r="K66" s="21"/>
    </row>
    <row r="67" spans="1:11" ht="18" x14ac:dyDescent="0.4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f t="shared" ca="1" si="2"/>
        <v>46120</v>
      </c>
      <c r="J67" s="11">
        <f t="shared" ca="1" si="1"/>
        <v>46118</v>
      </c>
      <c r="K67" s="13"/>
    </row>
    <row r="68" spans="1:11" ht="18" x14ac:dyDescent="0.4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3" si="3">+G68/E68</f>
        <v>0</v>
      </c>
      <c r="I68" s="53">
        <f t="shared" ca="1" si="2"/>
        <v>46120</v>
      </c>
      <c r="J68" s="53">
        <f t="shared" ca="1" si="1"/>
        <v>46118</v>
      </c>
      <c r="K68" s="21"/>
    </row>
    <row r="69" spans="1:11" ht="18" x14ac:dyDescent="0.4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3"/>
        <v>0</v>
      </c>
      <c r="I69" s="53">
        <f t="shared" ca="1" si="2"/>
        <v>46120</v>
      </c>
      <c r="J69" s="53">
        <f t="shared" ca="1" si="1"/>
        <v>46118</v>
      </c>
      <c r="K69" s="21"/>
    </row>
    <row r="70" spans="1:11" ht="18" x14ac:dyDescent="0.4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3"/>
        <v>0</v>
      </c>
      <c r="I70" s="53">
        <f t="shared" ref="I70:I103" ca="1" si="4">I69</f>
        <v>46120</v>
      </c>
      <c r="J70" s="53">
        <f t="shared" ca="1" si="1"/>
        <v>46118</v>
      </c>
      <c r="K70" s="21"/>
    </row>
    <row r="71" spans="1:11" ht="18" x14ac:dyDescent="0.4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3"/>
        <v>0</v>
      </c>
      <c r="I71" s="53">
        <f t="shared" ca="1" si="4"/>
        <v>46120</v>
      </c>
      <c r="J71" s="53">
        <f t="shared" ca="1" si="1"/>
        <v>46118</v>
      </c>
      <c r="K71" s="21"/>
    </row>
    <row r="72" spans="1:11" ht="18" x14ac:dyDescent="0.4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3"/>
        <v>0</v>
      </c>
      <c r="I72" s="53">
        <f t="shared" ca="1" si="4"/>
        <v>46120</v>
      </c>
      <c r="J72" s="53">
        <f t="shared" ca="1" si="1"/>
        <v>46118</v>
      </c>
      <c r="K72" s="21"/>
    </row>
    <row r="73" spans="1:11" ht="18" x14ac:dyDescent="0.4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3"/>
        <v>0</v>
      </c>
      <c r="I73" s="53">
        <f t="shared" ca="1" si="4"/>
        <v>46120</v>
      </c>
      <c r="J73" s="53">
        <f t="shared" ca="1" si="1"/>
        <v>46118</v>
      </c>
      <c r="K73" s="21"/>
    </row>
    <row r="74" spans="1:11" ht="18" x14ac:dyDescent="0.4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3"/>
        <v>0</v>
      </c>
      <c r="I74" s="53">
        <f t="shared" ca="1" si="4"/>
        <v>46120</v>
      </c>
      <c r="J74" s="53">
        <f t="shared" ca="1" si="1"/>
        <v>46118</v>
      </c>
      <c r="K74" s="21"/>
    </row>
    <row r="75" spans="1:11" ht="18" x14ac:dyDescent="0.4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3"/>
        <v>0</v>
      </c>
      <c r="I75" s="53">
        <f t="shared" ca="1" si="4"/>
        <v>46120</v>
      </c>
      <c r="J75" s="53">
        <f t="shared" ca="1" si="1"/>
        <v>46118</v>
      </c>
      <c r="K75" s="21"/>
    </row>
    <row r="76" spans="1:11" ht="18" x14ac:dyDescent="0.4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3"/>
        <v>0</v>
      </c>
      <c r="I76" s="53">
        <f t="shared" ca="1" si="4"/>
        <v>46120</v>
      </c>
      <c r="J76" s="53">
        <f t="shared" ca="1" si="1"/>
        <v>46118</v>
      </c>
      <c r="K76" s="21"/>
    </row>
    <row r="77" spans="1:11" ht="18" x14ac:dyDescent="0.4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0</v>
      </c>
      <c r="H77" s="70">
        <f t="shared" si="3"/>
        <v>0</v>
      </c>
      <c r="I77" s="53">
        <f t="shared" ca="1" si="4"/>
        <v>46120</v>
      </c>
      <c r="J77" s="53">
        <f t="shared" ca="1" si="1"/>
        <v>46118</v>
      </c>
      <c r="K77" s="21"/>
    </row>
    <row r="78" spans="1:11" ht="18" x14ac:dyDescent="0.4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3"/>
        <v>0</v>
      </c>
      <c r="I78" s="53">
        <f t="shared" ca="1" si="4"/>
        <v>46120</v>
      </c>
      <c r="J78" s="53">
        <f t="shared" ca="1" si="1"/>
        <v>46118</v>
      </c>
      <c r="K78" s="21"/>
    </row>
    <row r="79" spans="1:11" ht="18" x14ac:dyDescent="0.4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3"/>
        <v>0</v>
      </c>
      <c r="I79" s="53">
        <f t="shared" ca="1" si="4"/>
        <v>46120</v>
      </c>
      <c r="J79" s="53">
        <f t="shared" ca="1" si="1"/>
        <v>46118</v>
      </c>
      <c r="K79" s="21"/>
    </row>
    <row r="80" spans="1:11" ht="18" x14ac:dyDescent="0.4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3"/>
        <v>0</v>
      </c>
      <c r="I80" s="53">
        <f t="shared" ca="1" si="4"/>
        <v>46120</v>
      </c>
      <c r="J80" s="53">
        <f t="shared" ca="1" si="1"/>
        <v>46118</v>
      </c>
      <c r="K80" s="21"/>
    </row>
    <row r="81" spans="1:11" ht="18" x14ac:dyDescent="0.4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3"/>
        <v>0</v>
      </c>
      <c r="I81" s="53">
        <f t="shared" ca="1" si="4"/>
        <v>46120</v>
      </c>
      <c r="J81" s="53">
        <f t="shared" ca="1" si="1"/>
        <v>46118</v>
      </c>
      <c r="K81" s="21"/>
    </row>
    <row r="82" spans="1:11" ht="18" x14ac:dyDescent="0.4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3"/>
        <v>0</v>
      </c>
      <c r="I82" s="53">
        <f t="shared" ca="1" si="4"/>
        <v>46120</v>
      </c>
      <c r="J82" s="53">
        <f t="shared" ca="1" si="1"/>
        <v>46118</v>
      </c>
      <c r="K82" s="21"/>
    </row>
    <row r="83" spans="1:11" ht="18" x14ac:dyDescent="0.4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3"/>
        <v>0</v>
      </c>
      <c r="I83" s="53">
        <f t="shared" ca="1" si="4"/>
        <v>46120</v>
      </c>
      <c r="J83" s="53">
        <f t="shared" ca="1" si="1"/>
        <v>46118</v>
      </c>
      <c r="K83" s="21"/>
    </row>
    <row r="84" spans="1:11" ht="18" x14ac:dyDescent="0.4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3"/>
        <v>0</v>
      </c>
      <c r="I84" s="55">
        <f t="shared" ca="1" si="4"/>
        <v>46120</v>
      </c>
      <c r="J84" s="55">
        <f t="shared" ca="1" si="1"/>
        <v>46118</v>
      </c>
      <c r="K84" s="56"/>
    </row>
    <row r="85" spans="1:11" ht="18" x14ac:dyDescent="0.4">
      <c r="A85" s="7" t="s">
        <v>98</v>
      </c>
      <c r="B85" s="85" t="s">
        <v>99</v>
      </c>
      <c r="C85" s="8">
        <v>1097</v>
      </c>
      <c r="D85" s="9">
        <v>463606330</v>
      </c>
      <c r="E85" s="57">
        <v>32</v>
      </c>
      <c r="F85" s="10" t="s">
        <v>698</v>
      </c>
      <c r="G85" s="88">
        <v>0</v>
      </c>
      <c r="H85" s="70">
        <f t="shared" si="3"/>
        <v>0</v>
      </c>
      <c r="I85" s="11">
        <f t="shared" ca="1" si="4"/>
        <v>46120</v>
      </c>
      <c r="J85" s="11">
        <f t="shared" ca="1" si="1"/>
        <v>46118</v>
      </c>
      <c r="K85" s="13"/>
    </row>
    <row r="86" spans="1:11" ht="18" x14ac:dyDescent="0.4">
      <c r="A86" s="7" t="s">
        <v>98</v>
      </c>
      <c r="B86" s="86" t="s">
        <v>99</v>
      </c>
      <c r="C86" s="8">
        <v>1097</v>
      </c>
      <c r="D86" s="9">
        <v>463606290</v>
      </c>
      <c r="E86" s="57">
        <v>32</v>
      </c>
      <c r="F86" s="10" t="s">
        <v>698</v>
      </c>
      <c r="G86" s="88">
        <v>0</v>
      </c>
      <c r="H86" s="70">
        <f t="shared" si="3"/>
        <v>0</v>
      </c>
      <c r="I86" s="11">
        <f t="shared" ca="1" si="4"/>
        <v>46120</v>
      </c>
      <c r="J86" s="11">
        <f t="shared" ca="1" si="1"/>
        <v>46118</v>
      </c>
      <c r="K86" s="13"/>
    </row>
    <row r="87" spans="1:11" ht="18" x14ac:dyDescent="0.4">
      <c r="A87" s="7" t="s">
        <v>98</v>
      </c>
      <c r="B87" s="86" t="s">
        <v>99</v>
      </c>
      <c r="C87" s="8">
        <v>1097</v>
      </c>
      <c r="D87" s="9">
        <v>463563840</v>
      </c>
      <c r="E87" s="57">
        <v>24</v>
      </c>
      <c r="F87" s="10" t="s">
        <v>699</v>
      </c>
      <c r="G87" s="88">
        <v>0</v>
      </c>
      <c r="H87" s="70">
        <f t="shared" si="3"/>
        <v>0</v>
      </c>
      <c r="I87" s="11">
        <f t="shared" ca="1" si="4"/>
        <v>46120</v>
      </c>
      <c r="J87" s="11">
        <f t="shared" ca="1" si="1"/>
        <v>46118</v>
      </c>
      <c r="K87" s="13"/>
    </row>
    <row r="88" spans="1:11" ht="18" x14ac:dyDescent="0.4">
      <c r="A88" s="7" t="s">
        <v>98</v>
      </c>
      <c r="B88" s="85" t="s">
        <v>99</v>
      </c>
      <c r="C88" s="8">
        <v>1097</v>
      </c>
      <c r="D88" s="9">
        <v>463504300</v>
      </c>
      <c r="E88" s="57">
        <v>24</v>
      </c>
      <c r="F88" s="10" t="s">
        <v>699</v>
      </c>
      <c r="G88" s="88">
        <v>0</v>
      </c>
      <c r="H88" s="70">
        <f t="shared" si="3"/>
        <v>0</v>
      </c>
      <c r="I88" s="11">
        <f t="shared" ca="1" si="4"/>
        <v>46120</v>
      </c>
      <c r="J88" s="11">
        <f t="shared" ca="1" si="1"/>
        <v>46118</v>
      </c>
      <c r="K88" s="13"/>
    </row>
    <row r="89" spans="1:11" ht="18" x14ac:dyDescent="0.4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700</v>
      </c>
      <c r="G89" s="88">
        <v>0</v>
      </c>
      <c r="H89" s="70">
        <f t="shared" si="3"/>
        <v>0</v>
      </c>
      <c r="I89" s="11">
        <f t="shared" ca="1" si="4"/>
        <v>46120</v>
      </c>
      <c r="J89" s="11">
        <f t="shared" ca="1" si="1"/>
        <v>46118</v>
      </c>
      <c r="K89" s="13"/>
    </row>
    <row r="90" spans="1:11" ht="18" x14ac:dyDescent="0.4">
      <c r="A90" s="7" t="s">
        <v>98</v>
      </c>
      <c r="B90" s="85" t="s">
        <v>99</v>
      </c>
      <c r="C90" s="8">
        <v>1097</v>
      </c>
      <c r="D90" s="9">
        <v>463571360</v>
      </c>
      <c r="E90" s="57">
        <v>24</v>
      </c>
      <c r="F90" s="10" t="s">
        <v>700</v>
      </c>
      <c r="G90" s="88">
        <v>0</v>
      </c>
      <c r="H90" s="70">
        <f t="shared" si="3"/>
        <v>0</v>
      </c>
      <c r="I90" s="11">
        <f t="shared" ca="1" si="4"/>
        <v>46120</v>
      </c>
      <c r="J90" s="11">
        <f t="shared" ca="1" si="1"/>
        <v>46118</v>
      </c>
      <c r="K90" s="13"/>
    </row>
    <row r="91" spans="1:11" ht="18" x14ac:dyDescent="0.4">
      <c r="A91" s="7" t="s">
        <v>98</v>
      </c>
      <c r="B91" s="85" t="s">
        <v>99</v>
      </c>
      <c r="C91" s="8">
        <v>1097</v>
      </c>
      <c r="D91" s="9">
        <v>463602320</v>
      </c>
      <c r="E91" s="57">
        <v>24</v>
      </c>
      <c r="F91" s="10" t="s">
        <v>701</v>
      </c>
      <c r="G91" s="88">
        <v>0</v>
      </c>
      <c r="H91" s="70">
        <f t="shared" si="3"/>
        <v>0</v>
      </c>
      <c r="I91" s="11">
        <f t="shared" ca="1" si="4"/>
        <v>46120</v>
      </c>
      <c r="J91" s="11">
        <f t="shared" ca="1" si="1"/>
        <v>46118</v>
      </c>
      <c r="K91" s="13"/>
    </row>
    <row r="92" spans="1:11" ht="18" x14ac:dyDescent="0.4">
      <c r="A92" s="7" t="s">
        <v>98</v>
      </c>
      <c r="B92" s="85" t="s">
        <v>99</v>
      </c>
      <c r="C92" s="8">
        <v>1097</v>
      </c>
      <c r="D92" s="9">
        <v>463559530</v>
      </c>
      <c r="E92" s="57">
        <v>500</v>
      </c>
      <c r="F92" s="10" t="s">
        <v>702</v>
      </c>
      <c r="G92" s="88">
        <v>0</v>
      </c>
      <c r="H92" s="70">
        <f t="shared" si="3"/>
        <v>0</v>
      </c>
      <c r="I92" s="11">
        <f t="shared" ca="1" si="4"/>
        <v>46120</v>
      </c>
      <c r="J92" s="11">
        <f t="shared" ca="1" si="1"/>
        <v>46118</v>
      </c>
      <c r="K92" s="13"/>
    </row>
    <row r="93" spans="1:11" ht="18" x14ac:dyDescent="0.4">
      <c r="A93" s="7" t="s">
        <v>98</v>
      </c>
      <c r="B93" s="85" t="s">
        <v>108</v>
      </c>
      <c r="C93" s="8">
        <v>37866</v>
      </c>
      <c r="D93" s="9">
        <v>463535560</v>
      </c>
      <c r="E93" s="57">
        <v>800</v>
      </c>
      <c r="F93" s="10" t="s">
        <v>109</v>
      </c>
      <c r="G93" s="88">
        <v>0</v>
      </c>
      <c r="H93" s="70">
        <f t="shared" si="3"/>
        <v>0</v>
      </c>
      <c r="I93" s="11">
        <f t="shared" ca="1" si="4"/>
        <v>46120</v>
      </c>
      <c r="J93" s="11">
        <f t="shared" ca="1" si="1"/>
        <v>46118</v>
      </c>
      <c r="K93" s="13"/>
    </row>
    <row r="94" spans="1:11" ht="18" x14ac:dyDescent="0.4">
      <c r="A94" s="7" t="s">
        <v>98</v>
      </c>
      <c r="B94" s="85" t="s">
        <v>108</v>
      </c>
      <c r="C94" s="8">
        <v>37866</v>
      </c>
      <c r="D94" s="9">
        <v>463518180</v>
      </c>
      <c r="E94" s="57">
        <v>60</v>
      </c>
      <c r="F94" s="10" t="s">
        <v>110</v>
      </c>
      <c r="G94" s="88">
        <v>0</v>
      </c>
      <c r="H94" s="70">
        <f t="shared" si="3"/>
        <v>0</v>
      </c>
      <c r="I94" s="11">
        <f t="shared" ca="1" si="4"/>
        <v>46120</v>
      </c>
      <c r="J94" s="11">
        <f t="shared" ca="1" si="1"/>
        <v>46118</v>
      </c>
      <c r="K94" s="13"/>
    </row>
    <row r="95" spans="1:11" ht="18" x14ac:dyDescent="0.4">
      <c r="A95" s="7" t="s">
        <v>98</v>
      </c>
      <c r="B95" s="85" t="s">
        <v>108</v>
      </c>
      <c r="C95" s="8">
        <v>37866</v>
      </c>
      <c r="D95" s="9">
        <v>463480050</v>
      </c>
      <c r="E95" s="57">
        <v>800</v>
      </c>
      <c r="F95" s="10" t="s">
        <v>111</v>
      </c>
      <c r="G95" s="88">
        <v>0</v>
      </c>
      <c r="H95" s="70">
        <f t="shared" si="3"/>
        <v>0</v>
      </c>
      <c r="I95" s="11">
        <f t="shared" ca="1" si="4"/>
        <v>46120</v>
      </c>
      <c r="J95" s="11">
        <f t="shared" ca="1" si="1"/>
        <v>46118</v>
      </c>
      <c r="K95" s="13"/>
    </row>
    <row r="96" spans="1:11" ht="18" x14ac:dyDescent="0.4">
      <c r="A96" s="7" t="s">
        <v>98</v>
      </c>
      <c r="B96" s="85" t="s">
        <v>108</v>
      </c>
      <c r="C96" s="8">
        <v>37866</v>
      </c>
      <c r="D96" s="9">
        <v>463479660</v>
      </c>
      <c r="E96" s="57">
        <v>60</v>
      </c>
      <c r="F96" s="10" t="s">
        <v>110</v>
      </c>
      <c r="G96" s="88">
        <v>0</v>
      </c>
      <c r="H96" s="70">
        <f t="shared" si="3"/>
        <v>0</v>
      </c>
      <c r="I96" s="11">
        <f t="shared" ca="1" si="4"/>
        <v>46120</v>
      </c>
      <c r="J96" s="11">
        <f t="shared" ca="1" si="1"/>
        <v>46118</v>
      </c>
      <c r="K96" s="13"/>
    </row>
    <row r="97" spans="1:11" ht="18" x14ac:dyDescent="0.4">
      <c r="A97" s="7" t="s">
        <v>98</v>
      </c>
      <c r="B97" s="85" t="s">
        <v>108</v>
      </c>
      <c r="C97" s="8">
        <v>37866</v>
      </c>
      <c r="D97" s="9">
        <v>463542820</v>
      </c>
      <c r="E97" s="57">
        <v>60</v>
      </c>
      <c r="F97" s="10" t="s">
        <v>112</v>
      </c>
      <c r="G97" s="88">
        <v>0</v>
      </c>
      <c r="H97" s="70">
        <f t="shared" si="3"/>
        <v>0</v>
      </c>
      <c r="I97" s="11">
        <f t="shared" ca="1" si="4"/>
        <v>46120</v>
      </c>
      <c r="J97" s="11">
        <f t="shared" ca="1" si="1"/>
        <v>46118</v>
      </c>
      <c r="K97" s="13"/>
    </row>
    <row r="98" spans="1:11" ht="18" x14ac:dyDescent="0.4">
      <c r="A98" s="7" t="s">
        <v>98</v>
      </c>
      <c r="B98" s="85" t="s">
        <v>108</v>
      </c>
      <c r="C98" s="8">
        <v>37866</v>
      </c>
      <c r="D98" s="9">
        <v>463465610</v>
      </c>
      <c r="E98" s="57">
        <v>800</v>
      </c>
      <c r="F98" s="10" t="s">
        <v>113</v>
      </c>
      <c r="G98" s="88">
        <v>0</v>
      </c>
      <c r="H98" s="70">
        <f t="shared" si="3"/>
        <v>0</v>
      </c>
      <c r="I98" s="11">
        <f t="shared" ca="1" si="4"/>
        <v>46120</v>
      </c>
      <c r="J98" s="11">
        <f t="shared" ca="1" si="1"/>
        <v>46118</v>
      </c>
      <c r="K98" s="13"/>
    </row>
    <row r="99" spans="1:11" ht="18" x14ac:dyDescent="0.4">
      <c r="A99" s="7" t="s">
        <v>98</v>
      </c>
      <c r="B99" s="85" t="s">
        <v>108</v>
      </c>
      <c r="C99" s="8">
        <v>37866</v>
      </c>
      <c r="D99" s="9">
        <v>463599360</v>
      </c>
      <c r="E99" s="57">
        <v>60</v>
      </c>
      <c r="F99" s="10" t="s">
        <v>115</v>
      </c>
      <c r="G99" s="88">
        <v>0</v>
      </c>
      <c r="H99" s="70">
        <f t="shared" si="3"/>
        <v>0</v>
      </c>
      <c r="I99" s="11">
        <f t="shared" ca="1" si="4"/>
        <v>46120</v>
      </c>
      <c r="J99" s="11">
        <f t="shared" ca="1" si="1"/>
        <v>46118</v>
      </c>
      <c r="K99" s="13"/>
    </row>
    <row r="100" spans="1:11" ht="18" x14ac:dyDescent="0.4">
      <c r="A100" s="7" t="s">
        <v>98</v>
      </c>
      <c r="B100" s="85" t="s">
        <v>108</v>
      </c>
      <c r="C100" s="8">
        <v>37866</v>
      </c>
      <c r="D100" s="9">
        <v>463450640</v>
      </c>
      <c r="E100" s="57">
        <v>60</v>
      </c>
      <c r="F100" s="10" t="s">
        <v>116</v>
      </c>
      <c r="G100" s="88">
        <v>0</v>
      </c>
      <c r="H100" s="70">
        <f t="shared" si="3"/>
        <v>0</v>
      </c>
      <c r="I100" s="11">
        <f t="shared" ca="1" si="4"/>
        <v>46120</v>
      </c>
      <c r="J100" s="11">
        <f t="shared" ca="1" si="1"/>
        <v>46118</v>
      </c>
      <c r="K100" s="13"/>
    </row>
    <row r="101" spans="1:11" ht="18" x14ac:dyDescent="0.4">
      <c r="A101" s="7" t="s">
        <v>98</v>
      </c>
      <c r="B101" s="85" t="s">
        <v>108</v>
      </c>
      <c r="C101" s="8">
        <v>37866</v>
      </c>
      <c r="D101" s="9">
        <v>463497920</v>
      </c>
      <c r="E101" s="57">
        <v>60</v>
      </c>
      <c r="F101" s="10" t="s">
        <v>117</v>
      </c>
      <c r="G101" s="88">
        <v>0</v>
      </c>
      <c r="H101" s="70">
        <f t="shared" si="3"/>
        <v>0</v>
      </c>
      <c r="I101" s="11">
        <f t="shared" ca="1" si="4"/>
        <v>46120</v>
      </c>
      <c r="J101" s="11">
        <f t="shared" ca="1" si="1"/>
        <v>46118</v>
      </c>
      <c r="K101" s="13"/>
    </row>
    <row r="102" spans="1:11" ht="18" x14ac:dyDescent="0.4">
      <c r="A102" s="7" t="s">
        <v>98</v>
      </c>
      <c r="B102" s="85" t="s">
        <v>108</v>
      </c>
      <c r="C102" s="8">
        <v>37866</v>
      </c>
      <c r="D102" s="9">
        <v>463563850</v>
      </c>
      <c r="E102" s="57">
        <v>60</v>
      </c>
      <c r="F102" s="10" t="s">
        <v>117</v>
      </c>
      <c r="G102" s="88">
        <v>0</v>
      </c>
      <c r="H102" s="70">
        <f t="shared" si="3"/>
        <v>0</v>
      </c>
      <c r="I102" s="11">
        <f t="shared" ca="1" si="4"/>
        <v>46120</v>
      </c>
      <c r="J102" s="11">
        <f t="shared" ca="1" si="1"/>
        <v>46118</v>
      </c>
      <c r="K102" s="13"/>
    </row>
    <row r="103" spans="1:11" ht="18" x14ac:dyDescent="0.4">
      <c r="A103" s="7" t="s">
        <v>98</v>
      </c>
      <c r="B103" s="85" t="s">
        <v>108</v>
      </c>
      <c r="C103" s="8">
        <v>37866</v>
      </c>
      <c r="D103" s="9">
        <v>463564120</v>
      </c>
      <c r="E103" s="57">
        <v>60</v>
      </c>
      <c r="F103" s="10" t="s">
        <v>118</v>
      </c>
      <c r="G103" s="88">
        <v>0</v>
      </c>
      <c r="H103" s="70">
        <f t="shared" si="3"/>
        <v>0</v>
      </c>
      <c r="I103" s="11">
        <f t="shared" ca="1" si="4"/>
        <v>46120</v>
      </c>
      <c r="J103" s="11">
        <f t="shared" ca="1" si="1"/>
        <v>46118</v>
      </c>
      <c r="K103" s="13"/>
    </row>
    <row r="104" spans="1:11" ht="18" x14ac:dyDescent="0.4">
      <c r="A104" s="7" t="s">
        <v>98</v>
      </c>
      <c r="B104" s="85" t="s">
        <v>108</v>
      </c>
      <c r="C104" s="8">
        <v>37866</v>
      </c>
      <c r="D104" s="9">
        <v>463577620</v>
      </c>
      <c r="E104" s="57">
        <v>60</v>
      </c>
      <c r="F104" s="10" t="s">
        <v>119</v>
      </c>
      <c r="G104" s="88">
        <v>0</v>
      </c>
      <c r="H104" s="70">
        <f t="shared" si="3"/>
        <v>0</v>
      </c>
      <c r="I104" s="11">
        <f ca="1">I96</f>
        <v>46120</v>
      </c>
      <c r="J104" s="11">
        <f t="shared" ca="1" si="1"/>
        <v>46118</v>
      </c>
      <c r="K104" s="13"/>
    </row>
    <row r="105" spans="1:11" ht="18" x14ac:dyDescent="0.4">
      <c r="A105" s="7" t="s">
        <v>98</v>
      </c>
      <c r="B105" s="85" t="s">
        <v>108</v>
      </c>
      <c r="C105" s="8">
        <v>37866</v>
      </c>
      <c r="D105" s="9">
        <v>463578580</v>
      </c>
      <c r="E105" s="57">
        <v>60</v>
      </c>
      <c r="F105" s="10" t="s">
        <v>120</v>
      </c>
      <c r="G105" s="88">
        <v>0</v>
      </c>
      <c r="H105" s="70">
        <f t="shared" si="3"/>
        <v>0</v>
      </c>
      <c r="I105" s="11">
        <f t="shared" ref="I105:I170" ca="1" si="5">I97</f>
        <v>46120</v>
      </c>
      <c r="J105" s="11">
        <f t="shared" ca="1" si="1"/>
        <v>46118</v>
      </c>
      <c r="K105" s="13"/>
    </row>
    <row r="106" spans="1:11" ht="18" x14ac:dyDescent="0.4">
      <c r="A106" s="7" t="s">
        <v>98</v>
      </c>
      <c r="B106" s="85" t="s">
        <v>108</v>
      </c>
      <c r="C106" s="8">
        <v>37866</v>
      </c>
      <c r="D106" s="61">
        <v>463603240</v>
      </c>
      <c r="E106" s="57">
        <v>60</v>
      </c>
      <c r="F106" s="10" t="s">
        <v>721</v>
      </c>
      <c r="G106" s="88">
        <v>0</v>
      </c>
      <c r="H106" s="70">
        <f t="shared" ref="H106" si="6">+G106/E106</f>
        <v>0</v>
      </c>
      <c r="I106" s="11">
        <f t="shared" ca="1" si="5"/>
        <v>46120</v>
      </c>
      <c r="J106" s="11">
        <f t="shared" ref="J106" ca="1" si="7">TODAY()</f>
        <v>46118</v>
      </c>
      <c r="K106" s="13"/>
    </row>
    <row r="107" spans="1:11" ht="18" x14ac:dyDescent="0.4">
      <c r="A107" s="7" t="s">
        <v>98</v>
      </c>
      <c r="B107" s="85" t="s">
        <v>108</v>
      </c>
      <c r="C107" s="8">
        <v>37866</v>
      </c>
      <c r="D107" s="9">
        <v>463576540</v>
      </c>
      <c r="E107" s="57">
        <v>60</v>
      </c>
      <c r="F107" s="10" t="s">
        <v>121</v>
      </c>
      <c r="G107" s="88">
        <v>0</v>
      </c>
      <c r="H107" s="70">
        <f t="shared" si="3"/>
        <v>0</v>
      </c>
      <c r="I107" s="11">
        <f t="shared" ref="I107:I114" ca="1" si="8">I98</f>
        <v>46120</v>
      </c>
      <c r="J107" s="11">
        <f t="shared" ca="1" si="1"/>
        <v>46118</v>
      </c>
      <c r="K107" s="13"/>
    </row>
    <row r="108" spans="1:11" ht="18" x14ac:dyDescent="0.4">
      <c r="A108" s="7" t="s">
        <v>98</v>
      </c>
      <c r="B108" s="85" t="s">
        <v>108</v>
      </c>
      <c r="C108" s="8">
        <v>37866</v>
      </c>
      <c r="D108" s="9">
        <v>463571180</v>
      </c>
      <c r="E108" s="57">
        <v>60</v>
      </c>
      <c r="F108" s="10" t="s">
        <v>122</v>
      </c>
      <c r="G108" s="88">
        <v>0</v>
      </c>
      <c r="H108" s="70">
        <f t="shared" si="3"/>
        <v>0</v>
      </c>
      <c r="I108" s="11">
        <f t="shared" ca="1" si="8"/>
        <v>46120</v>
      </c>
      <c r="J108" s="11">
        <f t="shared" ca="1" si="1"/>
        <v>46118</v>
      </c>
      <c r="K108" s="13"/>
    </row>
    <row r="109" spans="1:11" ht="18" x14ac:dyDescent="0.4">
      <c r="A109" s="7" t="s">
        <v>98</v>
      </c>
      <c r="B109" s="85" t="s">
        <v>123</v>
      </c>
      <c r="C109" s="8">
        <v>27951</v>
      </c>
      <c r="D109" s="9">
        <v>463385060</v>
      </c>
      <c r="E109" s="57">
        <v>800</v>
      </c>
      <c r="F109" s="10" t="s">
        <v>124</v>
      </c>
      <c r="G109" s="88">
        <v>0</v>
      </c>
      <c r="H109" s="70">
        <f t="shared" si="3"/>
        <v>0</v>
      </c>
      <c r="I109" s="11">
        <f t="shared" ca="1" si="8"/>
        <v>46120</v>
      </c>
      <c r="J109" s="11">
        <f t="shared" ca="1" si="1"/>
        <v>46118</v>
      </c>
      <c r="K109" s="13"/>
    </row>
    <row r="110" spans="1:11" ht="18" x14ac:dyDescent="0.4">
      <c r="A110" s="7" t="s">
        <v>98</v>
      </c>
      <c r="B110" s="85" t="s">
        <v>123</v>
      </c>
      <c r="C110" s="8">
        <v>27951</v>
      </c>
      <c r="D110" s="9">
        <v>552821660</v>
      </c>
      <c r="E110" s="57">
        <v>600</v>
      </c>
      <c r="F110" s="10" t="s">
        <v>125</v>
      </c>
      <c r="G110" s="88">
        <v>0</v>
      </c>
      <c r="H110" s="70">
        <f t="shared" si="3"/>
        <v>0</v>
      </c>
      <c r="I110" s="11">
        <f t="shared" ca="1" si="8"/>
        <v>46120</v>
      </c>
      <c r="J110" s="11">
        <f t="shared" ca="1" si="1"/>
        <v>46118</v>
      </c>
      <c r="K110" s="13"/>
    </row>
    <row r="111" spans="1:11" ht="18" x14ac:dyDescent="0.4">
      <c r="A111" s="7" t="s">
        <v>98</v>
      </c>
      <c r="B111" s="85" t="s">
        <v>123</v>
      </c>
      <c r="C111" s="8">
        <v>27951</v>
      </c>
      <c r="D111" s="9">
        <v>552822750</v>
      </c>
      <c r="E111" s="57">
        <v>300</v>
      </c>
      <c r="F111" s="10" t="s">
        <v>126</v>
      </c>
      <c r="G111" s="88">
        <v>0</v>
      </c>
      <c r="H111" s="70">
        <f t="shared" si="3"/>
        <v>0</v>
      </c>
      <c r="I111" s="11">
        <f t="shared" ca="1" si="8"/>
        <v>46120</v>
      </c>
      <c r="J111" s="11">
        <f t="shared" ca="1" si="1"/>
        <v>46118</v>
      </c>
      <c r="K111" s="13"/>
    </row>
    <row r="112" spans="1:11" ht="18" x14ac:dyDescent="0.4">
      <c r="A112" s="7" t="s">
        <v>98</v>
      </c>
      <c r="B112" s="85" t="s">
        <v>123</v>
      </c>
      <c r="C112" s="8">
        <v>27951</v>
      </c>
      <c r="D112" s="9">
        <v>552821670</v>
      </c>
      <c r="E112" s="57">
        <v>100</v>
      </c>
      <c r="F112" s="10" t="s">
        <v>127</v>
      </c>
      <c r="G112" s="88">
        <v>0</v>
      </c>
      <c r="H112" s="70">
        <f t="shared" si="3"/>
        <v>0</v>
      </c>
      <c r="I112" s="11">
        <f t="shared" ca="1" si="8"/>
        <v>46120</v>
      </c>
      <c r="J112" s="11">
        <f t="shared" ca="1" si="1"/>
        <v>46118</v>
      </c>
      <c r="K112" s="13"/>
    </row>
    <row r="113" spans="1:11" ht="18" x14ac:dyDescent="0.4">
      <c r="A113" s="7" t="s">
        <v>98</v>
      </c>
      <c r="B113" s="85" t="s">
        <v>123</v>
      </c>
      <c r="C113" s="8">
        <v>27951</v>
      </c>
      <c r="D113" s="9">
        <v>552845970</v>
      </c>
      <c r="E113" s="57">
        <v>600</v>
      </c>
      <c r="F113" s="10" t="s">
        <v>127</v>
      </c>
      <c r="G113" s="88">
        <v>0</v>
      </c>
      <c r="H113" s="70">
        <f t="shared" si="3"/>
        <v>0</v>
      </c>
      <c r="I113" s="11">
        <f t="shared" ca="1" si="8"/>
        <v>46120</v>
      </c>
      <c r="J113" s="11">
        <f t="shared" ca="1" si="1"/>
        <v>46118</v>
      </c>
      <c r="K113" s="13"/>
    </row>
    <row r="114" spans="1:11" ht="18" x14ac:dyDescent="0.4">
      <c r="A114" s="7" t="s">
        <v>98</v>
      </c>
      <c r="B114" s="85" t="s">
        <v>123</v>
      </c>
      <c r="C114" s="8">
        <v>27951</v>
      </c>
      <c r="D114" s="9">
        <v>552798810</v>
      </c>
      <c r="E114" s="57">
        <v>250</v>
      </c>
      <c r="F114" s="10" t="s">
        <v>127</v>
      </c>
      <c r="G114" s="88">
        <v>0</v>
      </c>
      <c r="H114" s="70">
        <f t="shared" si="3"/>
        <v>0</v>
      </c>
      <c r="I114" s="11">
        <f t="shared" ca="1" si="8"/>
        <v>46120</v>
      </c>
      <c r="J114" s="11">
        <f t="shared" ca="1" si="1"/>
        <v>46118</v>
      </c>
      <c r="K114" s="13"/>
    </row>
    <row r="115" spans="1:11" ht="18" x14ac:dyDescent="0.4">
      <c r="A115" s="7" t="s">
        <v>98</v>
      </c>
      <c r="B115" s="85" t="s">
        <v>123</v>
      </c>
      <c r="C115" s="8">
        <v>27951</v>
      </c>
      <c r="D115" s="9">
        <v>552842340</v>
      </c>
      <c r="E115" s="57">
        <v>800</v>
      </c>
      <c r="F115" s="10" t="s">
        <v>127</v>
      </c>
      <c r="G115" s="88">
        <v>0</v>
      </c>
      <c r="H115" s="70">
        <f t="shared" si="3"/>
        <v>0</v>
      </c>
      <c r="I115" s="11">
        <f t="shared" ca="1" si="5"/>
        <v>46120</v>
      </c>
      <c r="J115" s="11">
        <f t="shared" ca="1" si="1"/>
        <v>46118</v>
      </c>
      <c r="K115" s="13"/>
    </row>
    <row r="116" spans="1:11" ht="18" x14ac:dyDescent="0.4">
      <c r="A116" s="7" t="s">
        <v>98</v>
      </c>
      <c r="B116" s="85" t="s">
        <v>123</v>
      </c>
      <c r="C116" s="8">
        <v>27951</v>
      </c>
      <c r="D116" s="9">
        <v>552822630</v>
      </c>
      <c r="E116" s="57">
        <v>600</v>
      </c>
      <c r="F116" s="10" t="s">
        <v>127</v>
      </c>
      <c r="G116" s="88">
        <v>0</v>
      </c>
      <c r="H116" s="70">
        <f t="shared" si="3"/>
        <v>0</v>
      </c>
      <c r="I116" s="11">
        <f t="shared" ca="1" si="5"/>
        <v>46120</v>
      </c>
      <c r="J116" s="11">
        <f t="shared" ca="1" si="1"/>
        <v>46118</v>
      </c>
      <c r="K116" s="13"/>
    </row>
    <row r="117" spans="1:11" ht="18" x14ac:dyDescent="0.4">
      <c r="A117" s="7" t="s">
        <v>98</v>
      </c>
      <c r="B117" s="85" t="s">
        <v>123</v>
      </c>
      <c r="C117" s="8">
        <v>27951</v>
      </c>
      <c r="D117" s="9">
        <v>552799020</v>
      </c>
      <c r="E117" s="57">
        <v>200</v>
      </c>
      <c r="F117" s="10" t="s">
        <v>127</v>
      </c>
      <c r="G117" s="88">
        <v>0</v>
      </c>
      <c r="H117" s="70">
        <f t="shared" si="3"/>
        <v>0</v>
      </c>
      <c r="I117" s="11">
        <f t="shared" ca="1" si="5"/>
        <v>46120</v>
      </c>
      <c r="J117" s="11">
        <f t="shared" ca="1" si="1"/>
        <v>46118</v>
      </c>
      <c r="K117" s="13"/>
    </row>
    <row r="118" spans="1:11" ht="18" x14ac:dyDescent="0.4">
      <c r="A118" s="7" t="s">
        <v>98</v>
      </c>
      <c r="B118" s="85" t="s">
        <v>123</v>
      </c>
      <c r="C118" s="8">
        <v>27951</v>
      </c>
      <c r="D118" s="9">
        <v>463369240</v>
      </c>
      <c r="E118" s="57">
        <v>500</v>
      </c>
      <c r="F118" s="10" t="s">
        <v>127</v>
      </c>
      <c r="G118" s="88">
        <v>0</v>
      </c>
      <c r="H118" s="70">
        <f t="shared" si="3"/>
        <v>0</v>
      </c>
      <c r="I118" s="11">
        <f t="shared" ca="1" si="5"/>
        <v>46120</v>
      </c>
      <c r="J118" s="11">
        <f t="shared" ca="1" si="1"/>
        <v>46118</v>
      </c>
      <c r="K118" s="13"/>
    </row>
    <row r="119" spans="1:11" ht="18" x14ac:dyDescent="0.4">
      <c r="A119" s="7" t="s">
        <v>98</v>
      </c>
      <c r="B119" s="85" t="s">
        <v>123</v>
      </c>
      <c r="C119" s="8">
        <v>27951</v>
      </c>
      <c r="D119" s="9">
        <v>463398780</v>
      </c>
      <c r="E119" s="57">
        <v>400</v>
      </c>
      <c r="F119" s="10" t="s">
        <v>128</v>
      </c>
      <c r="G119" s="88">
        <v>0</v>
      </c>
      <c r="H119" s="70">
        <f t="shared" si="3"/>
        <v>0</v>
      </c>
      <c r="I119" s="11">
        <f t="shared" ca="1" si="5"/>
        <v>46120</v>
      </c>
      <c r="J119" s="11">
        <f t="shared" ca="1" si="1"/>
        <v>46118</v>
      </c>
      <c r="K119" s="13"/>
    </row>
    <row r="120" spans="1:11" ht="18" x14ac:dyDescent="0.4">
      <c r="A120" s="7" t="s">
        <v>98</v>
      </c>
      <c r="B120" s="85" t="s">
        <v>123</v>
      </c>
      <c r="C120" s="8">
        <v>27951</v>
      </c>
      <c r="D120" s="9">
        <v>552822620</v>
      </c>
      <c r="E120" s="57">
        <v>800</v>
      </c>
      <c r="F120" s="10" t="s">
        <v>129</v>
      </c>
      <c r="G120" s="88">
        <v>0</v>
      </c>
      <c r="H120" s="70">
        <f t="shared" si="3"/>
        <v>0</v>
      </c>
      <c r="I120" s="11">
        <f t="shared" ca="1" si="5"/>
        <v>46120</v>
      </c>
      <c r="J120" s="11">
        <f t="shared" ca="1" si="1"/>
        <v>46118</v>
      </c>
      <c r="K120" s="13"/>
    </row>
    <row r="121" spans="1:11" ht="18" x14ac:dyDescent="0.4">
      <c r="A121" s="7" t="s">
        <v>98</v>
      </c>
      <c r="B121" s="85" t="s">
        <v>123</v>
      </c>
      <c r="C121" s="8">
        <v>27951</v>
      </c>
      <c r="D121" s="9">
        <v>463473640</v>
      </c>
      <c r="E121" s="57">
        <v>500</v>
      </c>
      <c r="F121" s="10" t="s">
        <v>130</v>
      </c>
      <c r="G121" s="88">
        <v>0</v>
      </c>
      <c r="H121" s="70">
        <f t="shared" si="3"/>
        <v>0</v>
      </c>
      <c r="I121" s="11">
        <f t="shared" ca="1" si="5"/>
        <v>46120</v>
      </c>
      <c r="J121" s="11">
        <f t="shared" ca="1" si="1"/>
        <v>46118</v>
      </c>
      <c r="K121" s="13"/>
    </row>
    <row r="122" spans="1:11" ht="18" x14ac:dyDescent="0.4">
      <c r="A122" s="7" t="s">
        <v>98</v>
      </c>
      <c r="B122" s="85" t="s">
        <v>123</v>
      </c>
      <c r="C122" s="8">
        <v>27951</v>
      </c>
      <c r="D122" s="9">
        <v>552831540</v>
      </c>
      <c r="E122" s="57">
        <v>400</v>
      </c>
      <c r="F122" s="10" t="s">
        <v>131</v>
      </c>
      <c r="G122" s="88">
        <v>0</v>
      </c>
      <c r="H122" s="70">
        <f t="shared" si="3"/>
        <v>0</v>
      </c>
      <c r="I122" s="11">
        <f t="shared" ca="1" si="5"/>
        <v>46120</v>
      </c>
      <c r="J122" s="11">
        <f t="shared" ca="1" si="1"/>
        <v>46118</v>
      </c>
      <c r="K122" s="13"/>
    </row>
    <row r="123" spans="1:11" ht="18" x14ac:dyDescent="0.4">
      <c r="A123" s="7" t="s">
        <v>98</v>
      </c>
      <c r="B123" s="85" t="s">
        <v>123</v>
      </c>
      <c r="C123" s="8">
        <v>27951</v>
      </c>
      <c r="D123" s="9">
        <v>187517280</v>
      </c>
      <c r="E123" s="57">
        <v>400</v>
      </c>
      <c r="F123" s="10" t="s">
        <v>132</v>
      </c>
      <c r="G123" s="88">
        <v>0</v>
      </c>
      <c r="H123" s="70">
        <f t="shared" si="3"/>
        <v>0</v>
      </c>
      <c r="I123" s="11">
        <f t="shared" ca="1" si="5"/>
        <v>46120</v>
      </c>
      <c r="J123" s="11">
        <f t="shared" ca="1" si="1"/>
        <v>46118</v>
      </c>
      <c r="K123" s="13"/>
    </row>
    <row r="124" spans="1:11" ht="18" x14ac:dyDescent="0.4">
      <c r="A124" s="7" t="s">
        <v>98</v>
      </c>
      <c r="B124" s="85" t="s">
        <v>123</v>
      </c>
      <c r="C124" s="8">
        <v>27951</v>
      </c>
      <c r="D124" s="9">
        <v>552822460</v>
      </c>
      <c r="E124" s="57">
        <v>650</v>
      </c>
      <c r="F124" s="10" t="s">
        <v>133</v>
      </c>
      <c r="G124" s="88">
        <v>0</v>
      </c>
      <c r="H124" s="70">
        <f t="shared" si="3"/>
        <v>0</v>
      </c>
      <c r="I124" s="11">
        <f t="shared" ca="1" si="5"/>
        <v>46120</v>
      </c>
      <c r="J124" s="11">
        <f t="shared" ca="1" si="1"/>
        <v>46118</v>
      </c>
      <c r="K124" s="13"/>
    </row>
    <row r="125" spans="1:11" ht="18" x14ac:dyDescent="0.4">
      <c r="A125" s="7" t="s">
        <v>98</v>
      </c>
      <c r="B125" s="85" t="s">
        <v>123</v>
      </c>
      <c r="C125" s="8">
        <v>27951</v>
      </c>
      <c r="D125" s="9">
        <v>552821610</v>
      </c>
      <c r="E125" s="57">
        <v>150</v>
      </c>
      <c r="F125" s="10" t="s">
        <v>134</v>
      </c>
      <c r="G125" s="88">
        <v>0</v>
      </c>
      <c r="H125" s="70">
        <f t="shared" si="3"/>
        <v>0</v>
      </c>
      <c r="I125" s="11">
        <f t="shared" ca="1" si="5"/>
        <v>46120</v>
      </c>
      <c r="J125" s="11">
        <f t="shared" ca="1" si="1"/>
        <v>46118</v>
      </c>
      <c r="K125" s="13"/>
    </row>
    <row r="126" spans="1:11" ht="18" x14ac:dyDescent="0.4">
      <c r="A126" s="7" t="s">
        <v>98</v>
      </c>
      <c r="B126" s="85" t="s">
        <v>123</v>
      </c>
      <c r="C126" s="8">
        <v>27951</v>
      </c>
      <c r="D126" s="9">
        <v>552842370</v>
      </c>
      <c r="E126" s="57">
        <v>400</v>
      </c>
      <c r="F126" s="10" t="s">
        <v>135</v>
      </c>
      <c r="G126" s="88">
        <v>0</v>
      </c>
      <c r="H126" s="70">
        <f t="shared" si="3"/>
        <v>0</v>
      </c>
      <c r="I126" s="11">
        <f t="shared" ca="1" si="5"/>
        <v>46120</v>
      </c>
      <c r="J126" s="11">
        <f t="shared" ca="1" si="1"/>
        <v>46118</v>
      </c>
      <c r="K126" s="13"/>
    </row>
    <row r="127" spans="1:11" ht="18" x14ac:dyDescent="0.4">
      <c r="A127" s="7" t="s">
        <v>98</v>
      </c>
      <c r="B127" s="86" t="s">
        <v>123</v>
      </c>
      <c r="C127" s="8">
        <v>27951</v>
      </c>
      <c r="D127" s="9">
        <v>552821600</v>
      </c>
      <c r="E127" s="57">
        <v>300</v>
      </c>
      <c r="F127" s="10" t="s">
        <v>136</v>
      </c>
      <c r="G127" s="88">
        <v>0</v>
      </c>
      <c r="H127" s="70">
        <f t="shared" si="3"/>
        <v>0</v>
      </c>
      <c r="I127" s="11">
        <f t="shared" ca="1" si="5"/>
        <v>46120</v>
      </c>
      <c r="J127" s="11">
        <f t="shared" ca="1" si="1"/>
        <v>46118</v>
      </c>
      <c r="K127" s="13"/>
    </row>
    <row r="128" spans="1:11" ht="18" x14ac:dyDescent="0.4">
      <c r="A128" s="7" t="s">
        <v>98</v>
      </c>
      <c r="B128" s="86" t="s">
        <v>137</v>
      </c>
      <c r="C128" s="8">
        <v>36019</v>
      </c>
      <c r="D128" s="9">
        <v>463375300</v>
      </c>
      <c r="E128" s="57">
        <v>1000</v>
      </c>
      <c r="F128" s="10" t="s">
        <v>390</v>
      </c>
      <c r="G128" s="88">
        <v>0</v>
      </c>
      <c r="H128" s="70">
        <f t="shared" si="3"/>
        <v>0</v>
      </c>
      <c r="I128" s="11">
        <f t="shared" ref="I128:I136" ca="1" si="9">I119</f>
        <v>46120</v>
      </c>
      <c r="J128" s="11">
        <f t="shared" ref="J128" ca="1" si="10">TODAY()</f>
        <v>46118</v>
      </c>
      <c r="K128" s="13"/>
    </row>
    <row r="129" spans="1:11" ht="18" x14ac:dyDescent="0.4">
      <c r="A129" s="7" t="s">
        <v>98</v>
      </c>
      <c r="B129" s="86" t="s">
        <v>137</v>
      </c>
      <c r="C129" s="8">
        <v>36019</v>
      </c>
      <c r="D129" s="9">
        <v>463385060</v>
      </c>
      <c r="E129" s="57">
        <v>800</v>
      </c>
      <c r="F129" s="10" t="s">
        <v>124</v>
      </c>
      <c r="G129" s="88">
        <v>0</v>
      </c>
      <c r="H129" s="70">
        <f t="shared" si="3"/>
        <v>0</v>
      </c>
      <c r="I129" s="11">
        <f t="shared" ca="1" si="9"/>
        <v>46120</v>
      </c>
      <c r="J129" s="11">
        <f t="shared" ca="1" si="1"/>
        <v>46118</v>
      </c>
      <c r="K129" s="13"/>
    </row>
    <row r="130" spans="1:11" ht="18" x14ac:dyDescent="0.4">
      <c r="A130" s="7" t="s">
        <v>98</v>
      </c>
      <c r="B130" s="86" t="s">
        <v>137</v>
      </c>
      <c r="C130" s="8">
        <v>36019</v>
      </c>
      <c r="D130" s="9">
        <v>552821660</v>
      </c>
      <c r="E130" s="57">
        <v>600</v>
      </c>
      <c r="F130" s="10" t="s">
        <v>125</v>
      </c>
      <c r="G130" s="88">
        <v>0</v>
      </c>
      <c r="H130" s="70">
        <f t="shared" si="3"/>
        <v>0</v>
      </c>
      <c r="I130" s="11">
        <f t="shared" ca="1" si="9"/>
        <v>46120</v>
      </c>
      <c r="J130" s="11">
        <f t="shared" ca="1" si="1"/>
        <v>46118</v>
      </c>
      <c r="K130" s="13"/>
    </row>
    <row r="131" spans="1:11" ht="18" x14ac:dyDescent="0.4">
      <c r="A131" s="7" t="s">
        <v>98</v>
      </c>
      <c r="B131" s="86" t="s">
        <v>137</v>
      </c>
      <c r="C131" s="8">
        <v>36019</v>
      </c>
      <c r="D131" s="9">
        <v>552822750</v>
      </c>
      <c r="E131" s="57">
        <v>300</v>
      </c>
      <c r="F131" s="10" t="s">
        <v>126</v>
      </c>
      <c r="G131" s="88">
        <v>0</v>
      </c>
      <c r="H131" s="70">
        <f t="shared" si="3"/>
        <v>0</v>
      </c>
      <c r="I131" s="11">
        <f t="shared" ca="1" si="9"/>
        <v>46120</v>
      </c>
      <c r="J131" s="11">
        <f t="shared" ca="1" si="1"/>
        <v>46118</v>
      </c>
      <c r="K131" s="13"/>
    </row>
    <row r="132" spans="1:11" ht="18" x14ac:dyDescent="0.4">
      <c r="A132" s="7" t="s">
        <v>98</v>
      </c>
      <c r="B132" s="86" t="s">
        <v>137</v>
      </c>
      <c r="C132" s="8">
        <v>36019</v>
      </c>
      <c r="D132" s="9">
        <v>552821670</v>
      </c>
      <c r="E132" s="57">
        <v>100</v>
      </c>
      <c r="F132" s="10" t="s">
        <v>127</v>
      </c>
      <c r="G132" s="88">
        <v>0</v>
      </c>
      <c r="H132" s="70">
        <f t="shared" si="3"/>
        <v>0</v>
      </c>
      <c r="I132" s="11">
        <f t="shared" ca="1" si="9"/>
        <v>46120</v>
      </c>
      <c r="J132" s="11">
        <f t="shared" ca="1" si="1"/>
        <v>46118</v>
      </c>
      <c r="K132" s="13"/>
    </row>
    <row r="133" spans="1:11" ht="18" x14ac:dyDescent="0.4">
      <c r="A133" s="7" t="s">
        <v>98</v>
      </c>
      <c r="B133" s="86" t="s">
        <v>137</v>
      </c>
      <c r="C133" s="8">
        <v>36019</v>
      </c>
      <c r="D133" s="9">
        <v>552845970</v>
      </c>
      <c r="E133" s="57">
        <v>600</v>
      </c>
      <c r="F133" s="10" t="s">
        <v>127</v>
      </c>
      <c r="G133" s="88">
        <v>0</v>
      </c>
      <c r="H133" s="70">
        <f t="shared" si="3"/>
        <v>0</v>
      </c>
      <c r="I133" s="11">
        <f t="shared" ca="1" si="9"/>
        <v>46120</v>
      </c>
      <c r="J133" s="11">
        <f t="shared" ca="1" si="1"/>
        <v>46118</v>
      </c>
      <c r="K133" s="13"/>
    </row>
    <row r="134" spans="1:11" ht="18" x14ac:dyDescent="0.4">
      <c r="A134" s="7" t="s">
        <v>98</v>
      </c>
      <c r="B134" s="86" t="s">
        <v>137</v>
      </c>
      <c r="C134" s="8">
        <v>36019</v>
      </c>
      <c r="D134" s="9">
        <v>552798810</v>
      </c>
      <c r="E134" s="57">
        <v>250</v>
      </c>
      <c r="F134" s="10" t="s">
        <v>127</v>
      </c>
      <c r="G134" s="88">
        <v>0</v>
      </c>
      <c r="H134" s="70">
        <f t="shared" ref="H134:H199" si="11">+G134/E134</f>
        <v>0</v>
      </c>
      <c r="I134" s="11">
        <f t="shared" ca="1" si="9"/>
        <v>46120</v>
      </c>
      <c r="J134" s="11">
        <f t="shared" ca="1" si="1"/>
        <v>46118</v>
      </c>
      <c r="K134" s="13"/>
    </row>
    <row r="135" spans="1:11" ht="18" x14ac:dyDescent="0.4">
      <c r="A135" s="7" t="s">
        <v>98</v>
      </c>
      <c r="B135" s="86" t="s">
        <v>137</v>
      </c>
      <c r="C135" s="8">
        <v>36019</v>
      </c>
      <c r="D135" s="9">
        <v>552842340</v>
      </c>
      <c r="E135" s="57">
        <v>800</v>
      </c>
      <c r="F135" s="10" t="s">
        <v>127</v>
      </c>
      <c r="G135" s="88">
        <v>0</v>
      </c>
      <c r="H135" s="70">
        <f t="shared" si="11"/>
        <v>0</v>
      </c>
      <c r="I135" s="11">
        <f t="shared" ca="1" si="9"/>
        <v>46120</v>
      </c>
      <c r="J135" s="11">
        <f t="shared" ca="1" si="1"/>
        <v>46118</v>
      </c>
      <c r="K135" s="13"/>
    </row>
    <row r="136" spans="1:11" ht="18" x14ac:dyDescent="0.4">
      <c r="A136" s="7" t="s">
        <v>98</v>
      </c>
      <c r="B136" s="86" t="s">
        <v>137</v>
      </c>
      <c r="C136" s="8">
        <v>36019</v>
      </c>
      <c r="D136" s="9">
        <v>552822630</v>
      </c>
      <c r="E136" s="57">
        <v>600</v>
      </c>
      <c r="F136" s="10" t="s">
        <v>127</v>
      </c>
      <c r="G136" s="88">
        <v>0</v>
      </c>
      <c r="H136" s="70">
        <f t="shared" si="11"/>
        <v>0</v>
      </c>
      <c r="I136" s="11">
        <f t="shared" ca="1" si="9"/>
        <v>46120</v>
      </c>
      <c r="J136" s="11">
        <f t="shared" ca="1" si="1"/>
        <v>46118</v>
      </c>
      <c r="K136" s="13"/>
    </row>
    <row r="137" spans="1:11" ht="18" x14ac:dyDescent="0.4">
      <c r="A137" s="7" t="s">
        <v>98</v>
      </c>
      <c r="B137" s="86" t="s">
        <v>137</v>
      </c>
      <c r="C137" s="8">
        <v>36019</v>
      </c>
      <c r="D137" s="9">
        <v>552799020</v>
      </c>
      <c r="E137" s="57">
        <v>200</v>
      </c>
      <c r="F137" s="10" t="s">
        <v>127</v>
      </c>
      <c r="G137" s="88">
        <v>0</v>
      </c>
      <c r="H137" s="70">
        <f t="shared" si="11"/>
        <v>0</v>
      </c>
      <c r="I137" s="11">
        <f t="shared" ca="1" si="5"/>
        <v>46120</v>
      </c>
      <c r="J137" s="11">
        <f t="shared" ca="1" si="1"/>
        <v>46118</v>
      </c>
      <c r="K137" s="13"/>
    </row>
    <row r="138" spans="1:11" ht="18" x14ac:dyDescent="0.4">
      <c r="A138" s="7" t="s">
        <v>98</v>
      </c>
      <c r="B138" s="86" t="s">
        <v>137</v>
      </c>
      <c r="C138" s="8">
        <v>36019</v>
      </c>
      <c r="D138" s="9">
        <v>463369240</v>
      </c>
      <c r="E138" s="57">
        <v>500</v>
      </c>
      <c r="F138" s="10" t="s">
        <v>127</v>
      </c>
      <c r="G138" s="88">
        <v>0</v>
      </c>
      <c r="H138" s="70">
        <f t="shared" si="11"/>
        <v>0</v>
      </c>
      <c r="I138" s="11">
        <f t="shared" ca="1" si="5"/>
        <v>46120</v>
      </c>
      <c r="J138" s="11">
        <f t="shared" ca="1" si="1"/>
        <v>46118</v>
      </c>
      <c r="K138" s="13"/>
    </row>
    <row r="139" spans="1:11" ht="18" x14ac:dyDescent="0.4">
      <c r="A139" s="7" t="s">
        <v>98</v>
      </c>
      <c r="B139" s="86" t="s">
        <v>137</v>
      </c>
      <c r="C139" s="8">
        <v>36019</v>
      </c>
      <c r="D139" s="9">
        <v>463398780</v>
      </c>
      <c r="E139" s="57">
        <v>400</v>
      </c>
      <c r="F139" s="10" t="s">
        <v>128</v>
      </c>
      <c r="G139" s="88">
        <v>0</v>
      </c>
      <c r="H139" s="70">
        <f t="shared" si="11"/>
        <v>0</v>
      </c>
      <c r="I139" s="11">
        <f t="shared" ca="1" si="5"/>
        <v>46120</v>
      </c>
      <c r="J139" s="11">
        <f t="shared" ca="1" si="1"/>
        <v>46118</v>
      </c>
      <c r="K139" s="13"/>
    </row>
    <row r="140" spans="1:11" ht="18" x14ac:dyDescent="0.4">
      <c r="A140" s="7" t="s">
        <v>98</v>
      </c>
      <c r="B140" s="86" t="s">
        <v>137</v>
      </c>
      <c r="C140" s="8">
        <v>36019</v>
      </c>
      <c r="D140" s="9">
        <v>552822620</v>
      </c>
      <c r="E140" s="57">
        <v>800</v>
      </c>
      <c r="F140" s="10" t="s">
        <v>129</v>
      </c>
      <c r="G140" s="88">
        <v>0</v>
      </c>
      <c r="H140" s="70">
        <f t="shared" si="11"/>
        <v>0</v>
      </c>
      <c r="I140" s="11">
        <f t="shared" ca="1" si="5"/>
        <v>46120</v>
      </c>
      <c r="J140" s="11">
        <f t="shared" ca="1" si="1"/>
        <v>46118</v>
      </c>
      <c r="K140" s="13"/>
    </row>
    <row r="141" spans="1:11" ht="18" x14ac:dyDescent="0.4">
      <c r="A141" s="7" t="s">
        <v>98</v>
      </c>
      <c r="B141" s="86" t="s">
        <v>137</v>
      </c>
      <c r="C141" s="8">
        <v>36019</v>
      </c>
      <c r="D141" s="9">
        <v>463473640</v>
      </c>
      <c r="E141" s="57">
        <v>500</v>
      </c>
      <c r="F141" s="10" t="s">
        <v>130</v>
      </c>
      <c r="G141" s="88">
        <v>0</v>
      </c>
      <c r="H141" s="70">
        <f t="shared" si="11"/>
        <v>0</v>
      </c>
      <c r="I141" s="11">
        <f t="shared" ca="1" si="5"/>
        <v>46120</v>
      </c>
      <c r="J141" s="11">
        <f t="shared" ca="1" si="1"/>
        <v>46118</v>
      </c>
      <c r="K141" s="13"/>
    </row>
    <row r="142" spans="1:11" ht="18" x14ac:dyDescent="0.4">
      <c r="A142" s="7" t="s">
        <v>98</v>
      </c>
      <c r="B142" s="86" t="s">
        <v>137</v>
      </c>
      <c r="C142" s="8">
        <v>36019</v>
      </c>
      <c r="D142" s="9">
        <v>552831540</v>
      </c>
      <c r="E142" s="57">
        <v>400</v>
      </c>
      <c r="F142" s="10" t="s">
        <v>131</v>
      </c>
      <c r="G142" s="88">
        <v>0</v>
      </c>
      <c r="H142" s="70">
        <f t="shared" si="11"/>
        <v>0</v>
      </c>
      <c r="I142" s="11">
        <f t="shared" ca="1" si="5"/>
        <v>46120</v>
      </c>
      <c r="J142" s="11">
        <f t="shared" ca="1" si="1"/>
        <v>46118</v>
      </c>
      <c r="K142" s="13"/>
    </row>
    <row r="143" spans="1:11" ht="18" x14ac:dyDescent="0.4">
      <c r="A143" s="7" t="s">
        <v>98</v>
      </c>
      <c r="B143" s="86" t="s">
        <v>137</v>
      </c>
      <c r="C143" s="8">
        <v>36019</v>
      </c>
      <c r="D143" s="9">
        <v>187517280</v>
      </c>
      <c r="E143" s="57">
        <v>400</v>
      </c>
      <c r="F143" s="10" t="s">
        <v>132</v>
      </c>
      <c r="G143" s="88">
        <v>0</v>
      </c>
      <c r="H143" s="70">
        <f t="shared" si="11"/>
        <v>0</v>
      </c>
      <c r="I143" s="11">
        <f t="shared" ca="1" si="5"/>
        <v>46120</v>
      </c>
      <c r="J143" s="11">
        <f t="shared" ca="1" si="1"/>
        <v>46118</v>
      </c>
      <c r="K143" s="13"/>
    </row>
    <row r="144" spans="1:11" ht="18" x14ac:dyDescent="0.4">
      <c r="A144" s="7" t="s">
        <v>98</v>
      </c>
      <c r="B144" s="86" t="s">
        <v>137</v>
      </c>
      <c r="C144" s="8">
        <v>36019</v>
      </c>
      <c r="D144" s="9">
        <v>552822460</v>
      </c>
      <c r="E144" s="57">
        <v>650</v>
      </c>
      <c r="F144" s="10" t="s">
        <v>133</v>
      </c>
      <c r="G144" s="88">
        <v>0</v>
      </c>
      <c r="H144" s="70">
        <f t="shared" si="11"/>
        <v>0</v>
      </c>
      <c r="I144" s="11">
        <f t="shared" ca="1" si="5"/>
        <v>46120</v>
      </c>
      <c r="J144" s="11">
        <f t="shared" ca="1" si="1"/>
        <v>46118</v>
      </c>
      <c r="K144" s="13"/>
    </row>
    <row r="145" spans="1:11" ht="18" x14ac:dyDescent="0.4">
      <c r="A145" s="7" t="s">
        <v>98</v>
      </c>
      <c r="B145" s="86" t="s">
        <v>137</v>
      </c>
      <c r="C145" s="8">
        <v>36019</v>
      </c>
      <c r="D145" s="9">
        <v>552821610</v>
      </c>
      <c r="E145" s="57">
        <v>150</v>
      </c>
      <c r="F145" s="10" t="s">
        <v>134</v>
      </c>
      <c r="G145" s="88">
        <v>0</v>
      </c>
      <c r="H145" s="70">
        <f t="shared" si="11"/>
        <v>0</v>
      </c>
      <c r="I145" s="11">
        <f t="shared" ca="1" si="5"/>
        <v>46120</v>
      </c>
      <c r="J145" s="11">
        <f t="shared" ca="1" si="1"/>
        <v>46118</v>
      </c>
      <c r="K145" s="13"/>
    </row>
    <row r="146" spans="1:11" ht="18" x14ac:dyDescent="0.4">
      <c r="A146" s="7" t="s">
        <v>98</v>
      </c>
      <c r="B146" s="86" t="s">
        <v>137</v>
      </c>
      <c r="C146" s="8">
        <v>36019</v>
      </c>
      <c r="D146" s="9">
        <v>552842370</v>
      </c>
      <c r="E146" s="57">
        <v>400</v>
      </c>
      <c r="F146" s="10" t="s">
        <v>135</v>
      </c>
      <c r="G146" s="88">
        <v>0</v>
      </c>
      <c r="H146" s="70">
        <f t="shared" si="11"/>
        <v>0</v>
      </c>
      <c r="I146" s="11">
        <f t="shared" ca="1" si="5"/>
        <v>46120</v>
      </c>
      <c r="J146" s="11">
        <f t="shared" ca="1" si="1"/>
        <v>46118</v>
      </c>
      <c r="K146" s="13"/>
    </row>
    <row r="147" spans="1:11" ht="18" x14ac:dyDescent="0.4">
      <c r="A147" s="7" t="s">
        <v>98</v>
      </c>
      <c r="B147" s="86" t="s">
        <v>137</v>
      </c>
      <c r="C147" s="8">
        <v>36019</v>
      </c>
      <c r="D147" s="9">
        <v>552821600</v>
      </c>
      <c r="E147" s="57">
        <v>300</v>
      </c>
      <c r="F147" s="10" t="s">
        <v>136</v>
      </c>
      <c r="G147" s="88">
        <v>0</v>
      </c>
      <c r="H147" s="70">
        <f t="shared" si="11"/>
        <v>0</v>
      </c>
      <c r="I147" s="11">
        <f t="shared" ca="1" si="5"/>
        <v>46120</v>
      </c>
      <c r="J147" s="11">
        <f t="shared" ca="1" si="1"/>
        <v>46118</v>
      </c>
      <c r="K147" s="13"/>
    </row>
    <row r="148" spans="1:11" ht="18" x14ac:dyDescent="0.4">
      <c r="A148" s="7" t="s">
        <v>98</v>
      </c>
      <c r="B148" s="86" t="s">
        <v>137</v>
      </c>
      <c r="C148" s="8">
        <v>36019</v>
      </c>
      <c r="D148" s="9">
        <v>463532640</v>
      </c>
      <c r="E148" s="57">
        <v>1100</v>
      </c>
      <c r="F148" s="10" t="s">
        <v>194</v>
      </c>
      <c r="G148" s="88">
        <v>0</v>
      </c>
      <c r="H148" s="70">
        <f t="shared" si="11"/>
        <v>0</v>
      </c>
      <c r="I148" s="11">
        <f t="shared" ca="1" si="5"/>
        <v>46120</v>
      </c>
      <c r="J148" s="11">
        <f t="shared" ca="1" si="1"/>
        <v>46118</v>
      </c>
      <c r="K148" s="13"/>
    </row>
    <row r="149" spans="1:11" ht="18" x14ac:dyDescent="0.4">
      <c r="A149" s="7" t="s">
        <v>98</v>
      </c>
      <c r="B149" s="86" t="s">
        <v>137</v>
      </c>
      <c r="C149" s="8">
        <v>36019</v>
      </c>
      <c r="D149" s="9">
        <v>463532650</v>
      </c>
      <c r="E149" s="57">
        <v>800</v>
      </c>
      <c r="F149" s="10" t="s">
        <v>195</v>
      </c>
      <c r="G149" s="88">
        <v>0</v>
      </c>
      <c r="H149" s="70">
        <f t="shared" si="11"/>
        <v>0</v>
      </c>
      <c r="I149" s="11">
        <f ca="1">I141</f>
        <v>46120</v>
      </c>
      <c r="J149" s="11">
        <f t="shared" ca="1" si="1"/>
        <v>46118</v>
      </c>
      <c r="K149" s="13"/>
    </row>
    <row r="150" spans="1:11" ht="18" x14ac:dyDescent="0.4">
      <c r="A150" s="7" t="s">
        <v>98</v>
      </c>
      <c r="B150" s="86" t="s">
        <v>703</v>
      </c>
      <c r="C150" s="8">
        <v>51658</v>
      </c>
      <c r="D150" s="9">
        <v>463485610</v>
      </c>
      <c r="E150" s="57">
        <v>600</v>
      </c>
      <c r="F150" s="10" t="s">
        <v>404</v>
      </c>
      <c r="G150" s="88">
        <v>0</v>
      </c>
      <c r="H150" s="70">
        <f t="shared" si="11"/>
        <v>0</v>
      </c>
      <c r="I150" s="11">
        <f t="shared" ref="I150:I155" ca="1" si="12">I122</f>
        <v>46120</v>
      </c>
      <c r="J150" s="11">
        <f t="shared" ca="1" si="1"/>
        <v>46118</v>
      </c>
      <c r="K150" s="13"/>
    </row>
    <row r="151" spans="1:11" ht="18" x14ac:dyDescent="0.4">
      <c r="A151" s="7" t="s">
        <v>98</v>
      </c>
      <c r="B151" s="86" t="s">
        <v>703</v>
      </c>
      <c r="C151" s="8">
        <v>51658</v>
      </c>
      <c r="D151" s="9">
        <v>463485620</v>
      </c>
      <c r="E151" s="57">
        <v>600</v>
      </c>
      <c r="F151" s="10" t="s">
        <v>405</v>
      </c>
      <c r="G151" s="88">
        <v>0</v>
      </c>
      <c r="H151" s="70">
        <f t="shared" si="11"/>
        <v>0</v>
      </c>
      <c r="I151" s="11">
        <f t="shared" ca="1" si="12"/>
        <v>46120</v>
      </c>
      <c r="J151" s="11">
        <f t="shared" ca="1" si="1"/>
        <v>46118</v>
      </c>
      <c r="K151" s="13"/>
    </row>
    <row r="152" spans="1:11" ht="18" x14ac:dyDescent="0.4">
      <c r="A152" s="7" t="s">
        <v>98</v>
      </c>
      <c r="B152" s="86" t="s">
        <v>703</v>
      </c>
      <c r="C152" s="8">
        <v>51658</v>
      </c>
      <c r="D152" s="9">
        <v>463485630</v>
      </c>
      <c r="E152" s="57">
        <v>600</v>
      </c>
      <c r="F152" s="10" t="s">
        <v>406</v>
      </c>
      <c r="G152" s="88">
        <v>0</v>
      </c>
      <c r="H152" s="70">
        <f t="shared" si="11"/>
        <v>0</v>
      </c>
      <c r="I152" s="11">
        <f t="shared" ca="1" si="12"/>
        <v>46120</v>
      </c>
      <c r="J152" s="11">
        <f t="shared" ca="1" si="1"/>
        <v>46118</v>
      </c>
      <c r="K152" s="13"/>
    </row>
    <row r="153" spans="1:11" ht="18" x14ac:dyDescent="0.4">
      <c r="A153" s="7" t="s">
        <v>98</v>
      </c>
      <c r="B153" s="86" t="s">
        <v>703</v>
      </c>
      <c r="C153" s="8">
        <v>51658</v>
      </c>
      <c r="D153" s="9">
        <v>463485640</v>
      </c>
      <c r="E153" s="57">
        <v>600</v>
      </c>
      <c r="F153" s="10" t="s">
        <v>704</v>
      </c>
      <c r="G153" s="88">
        <v>0</v>
      </c>
      <c r="H153" s="70">
        <f t="shared" si="11"/>
        <v>0</v>
      </c>
      <c r="I153" s="11">
        <f t="shared" ca="1" si="12"/>
        <v>46120</v>
      </c>
      <c r="J153" s="11">
        <f t="shared" ca="1" si="1"/>
        <v>46118</v>
      </c>
      <c r="K153" s="13"/>
    </row>
    <row r="154" spans="1:11" ht="18" x14ac:dyDescent="0.4">
      <c r="A154" s="7" t="s">
        <v>98</v>
      </c>
      <c r="B154" s="86" t="s">
        <v>703</v>
      </c>
      <c r="C154" s="8">
        <v>51658</v>
      </c>
      <c r="D154" s="9">
        <v>463485650</v>
      </c>
      <c r="E154" s="57">
        <v>600</v>
      </c>
      <c r="F154" s="10" t="s">
        <v>704</v>
      </c>
      <c r="G154" s="88">
        <v>0</v>
      </c>
      <c r="H154" s="70">
        <f t="shared" si="11"/>
        <v>0</v>
      </c>
      <c r="I154" s="11">
        <f t="shared" ca="1" si="12"/>
        <v>46120</v>
      </c>
      <c r="J154" s="11">
        <f t="shared" ca="1" si="1"/>
        <v>46118</v>
      </c>
      <c r="K154" s="13"/>
    </row>
    <row r="155" spans="1:11" ht="18" x14ac:dyDescent="0.4">
      <c r="A155" s="7" t="s">
        <v>98</v>
      </c>
      <c r="B155" s="86" t="s">
        <v>703</v>
      </c>
      <c r="C155" s="8">
        <v>51658</v>
      </c>
      <c r="D155" s="9">
        <v>463485660</v>
      </c>
      <c r="E155" s="57">
        <v>600</v>
      </c>
      <c r="F155" s="10" t="s">
        <v>704</v>
      </c>
      <c r="G155" s="88">
        <v>0</v>
      </c>
      <c r="H155" s="70">
        <f t="shared" si="11"/>
        <v>0</v>
      </c>
      <c r="I155" s="11">
        <f t="shared" ca="1" si="12"/>
        <v>46120</v>
      </c>
      <c r="J155" s="11">
        <f t="shared" ca="1" si="1"/>
        <v>46118</v>
      </c>
      <c r="K155" s="13"/>
    </row>
    <row r="156" spans="1:11" ht="18" x14ac:dyDescent="0.4">
      <c r="A156" s="7" t="s">
        <v>98</v>
      </c>
      <c r="B156" s="86" t="s">
        <v>703</v>
      </c>
      <c r="C156" s="8">
        <v>51658</v>
      </c>
      <c r="D156" s="9">
        <v>463485380</v>
      </c>
      <c r="E156" s="57">
        <v>400</v>
      </c>
      <c r="F156" s="10" t="s">
        <v>144</v>
      </c>
      <c r="G156" s="88">
        <v>0</v>
      </c>
      <c r="H156" s="70">
        <f t="shared" si="11"/>
        <v>0</v>
      </c>
      <c r="I156" s="11">
        <f ca="1">I129</f>
        <v>46120</v>
      </c>
      <c r="J156" s="11">
        <f t="shared" ca="1" si="1"/>
        <v>46118</v>
      </c>
      <c r="K156" s="13"/>
    </row>
    <row r="157" spans="1:11" ht="18" x14ac:dyDescent="0.4">
      <c r="A157" s="7" t="s">
        <v>98</v>
      </c>
      <c r="B157" s="86" t="s">
        <v>703</v>
      </c>
      <c r="C157" s="8">
        <v>51658</v>
      </c>
      <c r="D157" s="9">
        <v>463485390</v>
      </c>
      <c r="E157" s="57">
        <v>400</v>
      </c>
      <c r="F157" s="10" t="s">
        <v>145</v>
      </c>
      <c r="G157" s="88">
        <v>0</v>
      </c>
      <c r="H157" s="70">
        <f t="shared" si="11"/>
        <v>0</v>
      </c>
      <c r="I157" s="11">
        <f ca="1">I130</f>
        <v>46120</v>
      </c>
      <c r="J157" s="11">
        <f t="shared" ca="1" si="1"/>
        <v>46118</v>
      </c>
      <c r="K157" s="13"/>
    </row>
    <row r="158" spans="1:11" ht="18" x14ac:dyDescent="0.4">
      <c r="A158" s="7" t="s">
        <v>98</v>
      </c>
      <c r="B158" s="86" t="s">
        <v>703</v>
      </c>
      <c r="C158" s="8">
        <v>51658</v>
      </c>
      <c r="D158" s="9">
        <v>463485400</v>
      </c>
      <c r="E158" s="57">
        <v>400</v>
      </c>
      <c r="F158" s="10" t="s">
        <v>146</v>
      </c>
      <c r="G158" s="88">
        <v>0</v>
      </c>
      <c r="H158" s="70">
        <f t="shared" si="11"/>
        <v>0</v>
      </c>
      <c r="I158" s="11">
        <f ca="1">I149</f>
        <v>46120</v>
      </c>
      <c r="J158" s="11">
        <f t="shared" ca="1" si="1"/>
        <v>46118</v>
      </c>
      <c r="K158" s="13"/>
    </row>
    <row r="159" spans="1:11" ht="18" x14ac:dyDescent="0.4">
      <c r="A159" s="7" t="s">
        <v>98</v>
      </c>
      <c r="B159" s="86" t="s">
        <v>703</v>
      </c>
      <c r="C159" s="8">
        <v>51658</v>
      </c>
      <c r="D159" s="9">
        <v>463485440</v>
      </c>
      <c r="E159" s="57">
        <v>400</v>
      </c>
      <c r="F159" s="10" t="s">
        <v>147</v>
      </c>
      <c r="G159" s="88">
        <v>0</v>
      </c>
      <c r="H159" s="70">
        <f t="shared" si="11"/>
        <v>0</v>
      </c>
      <c r="I159" s="11">
        <f t="shared" ca="1" si="5"/>
        <v>46120</v>
      </c>
      <c r="J159" s="11">
        <f t="shared" ca="1" si="1"/>
        <v>46118</v>
      </c>
      <c r="K159" s="13"/>
    </row>
    <row r="160" spans="1:11" ht="18" x14ac:dyDescent="0.4">
      <c r="A160" s="7" t="s">
        <v>98</v>
      </c>
      <c r="B160" s="86" t="s">
        <v>703</v>
      </c>
      <c r="C160" s="8">
        <v>51658</v>
      </c>
      <c r="D160" s="9">
        <v>463485450</v>
      </c>
      <c r="E160" s="57">
        <v>400</v>
      </c>
      <c r="F160" s="10" t="s">
        <v>148</v>
      </c>
      <c r="G160" s="88">
        <v>0</v>
      </c>
      <c r="H160" s="70">
        <f t="shared" si="11"/>
        <v>0</v>
      </c>
      <c r="I160" s="11">
        <f t="shared" ca="1" si="5"/>
        <v>46120</v>
      </c>
      <c r="J160" s="11">
        <f t="shared" ca="1" si="1"/>
        <v>46118</v>
      </c>
      <c r="K160" s="13"/>
    </row>
    <row r="161" spans="1:11" ht="18" x14ac:dyDescent="0.4">
      <c r="A161" s="7" t="s">
        <v>98</v>
      </c>
      <c r="B161" s="86" t="s">
        <v>703</v>
      </c>
      <c r="C161" s="8">
        <v>51658</v>
      </c>
      <c r="D161" s="9">
        <v>463485460</v>
      </c>
      <c r="E161" s="57">
        <v>400</v>
      </c>
      <c r="F161" s="10" t="s">
        <v>149</v>
      </c>
      <c r="G161" s="88">
        <v>0</v>
      </c>
      <c r="H161" s="70">
        <f t="shared" si="11"/>
        <v>0</v>
      </c>
      <c r="I161" s="11">
        <f t="shared" ca="1" si="5"/>
        <v>46120</v>
      </c>
      <c r="J161" s="11">
        <f t="shared" ca="1" si="1"/>
        <v>46118</v>
      </c>
      <c r="K161" s="13"/>
    </row>
    <row r="162" spans="1:11" ht="18" x14ac:dyDescent="0.4">
      <c r="A162" s="7" t="s">
        <v>98</v>
      </c>
      <c r="B162" s="86" t="s">
        <v>703</v>
      </c>
      <c r="C162" s="8">
        <v>51658</v>
      </c>
      <c r="D162" s="9">
        <v>463563890</v>
      </c>
      <c r="E162" s="57">
        <v>400</v>
      </c>
      <c r="F162" s="10" t="s">
        <v>149</v>
      </c>
      <c r="G162" s="88">
        <v>0</v>
      </c>
      <c r="H162" s="70">
        <f t="shared" si="11"/>
        <v>0</v>
      </c>
      <c r="I162" s="11">
        <f t="shared" ca="1" si="5"/>
        <v>46120</v>
      </c>
      <c r="J162" s="11">
        <f t="shared" ca="1" si="1"/>
        <v>46118</v>
      </c>
      <c r="K162" s="13"/>
    </row>
    <row r="163" spans="1:11" ht="18" x14ac:dyDescent="0.4">
      <c r="A163" s="7" t="s">
        <v>98</v>
      </c>
      <c r="B163" s="86" t="s">
        <v>703</v>
      </c>
      <c r="C163" s="8">
        <v>51658</v>
      </c>
      <c r="D163" s="9">
        <v>463563900</v>
      </c>
      <c r="E163" s="57">
        <v>400</v>
      </c>
      <c r="F163" s="10" t="s">
        <v>149</v>
      </c>
      <c r="G163" s="88">
        <v>0</v>
      </c>
      <c r="H163" s="70">
        <f t="shared" si="11"/>
        <v>0</v>
      </c>
      <c r="I163" s="11">
        <f t="shared" ca="1" si="5"/>
        <v>46120</v>
      </c>
      <c r="J163" s="11">
        <f t="shared" ca="1" si="1"/>
        <v>46118</v>
      </c>
      <c r="K163" s="13"/>
    </row>
    <row r="164" spans="1:11" ht="18" x14ac:dyDescent="0.4">
      <c r="A164" s="7" t="s">
        <v>98</v>
      </c>
      <c r="B164" s="86" t="s">
        <v>703</v>
      </c>
      <c r="C164" s="8">
        <v>51658</v>
      </c>
      <c r="D164" s="9">
        <v>463563910</v>
      </c>
      <c r="E164" s="57">
        <v>400</v>
      </c>
      <c r="F164" s="10" t="s">
        <v>149</v>
      </c>
      <c r="G164" s="88">
        <v>0</v>
      </c>
      <c r="H164" s="70">
        <f t="shared" si="11"/>
        <v>0</v>
      </c>
      <c r="I164" s="11">
        <f t="shared" ca="1" si="5"/>
        <v>46120</v>
      </c>
      <c r="J164" s="11">
        <f t="shared" ca="1" si="1"/>
        <v>46118</v>
      </c>
      <c r="K164" s="13"/>
    </row>
    <row r="165" spans="1:11" ht="18" x14ac:dyDescent="0.4">
      <c r="A165" s="7" t="s">
        <v>98</v>
      </c>
      <c r="B165" s="85" t="s">
        <v>703</v>
      </c>
      <c r="C165" s="8">
        <v>51658</v>
      </c>
      <c r="D165" s="9">
        <v>463563950</v>
      </c>
      <c r="E165" s="57">
        <v>400</v>
      </c>
      <c r="F165" s="10" t="s">
        <v>149</v>
      </c>
      <c r="G165" s="88">
        <v>0</v>
      </c>
      <c r="H165" s="70">
        <f t="shared" si="11"/>
        <v>0</v>
      </c>
      <c r="I165" s="11">
        <f t="shared" ca="1" si="5"/>
        <v>46120</v>
      </c>
      <c r="J165" s="11">
        <f t="shared" ca="1" si="1"/>
        <v>46118</v>
      </c>
      <c r="K165" s="13"/>
    </row>
    <row r="166" spans="1:11" ht="18" x14ac:dyDescent="0.4">
      <c r="A166" s="7" t="s">
        <v>98</v>
      </c>
      <c r="B166" s="85" t="s">
        <v>703</v>
      </c>
      <c r="C166" s="8">
        <v>51658</v>
      </c>
      <c r="D166" s="9">
        <v>463563960</v>
      </c>
      <c r="E166" s="57">
        <v>400</v>
      </c>
      <c r="F166" s="10" t="s">
        <v>149</v>
      </c>
      <c r="G166" s="88">
        <v>0</v>
      </c>
      <c r="H166" s="70">
        <f t="shared" si="11"/>
        <v>0</v>
      </c>
      <c r="I166" s="11">
        <f t="shared" ca="1" si="5"/>
        <v>46120</v>
      </c>
      <c r="J166" s="11">
        <f t="shared" ca="1" si="1"/>
        <v>46118</v>
      </c>
      <c r="K166" s="13"/>
    </row>
    <row r="167" spans="1:11" ht="18" x14ac:dyDescent="0.4">
      <c r="A167" s="7" t="s">
        <v>98</v>
      </c>
      <c r="B167" s="85" t="s">
        <v>703</v>
      </c>
      <c r="C167" s="8">
        <v>51658</v>
      </c>
      <c r="D167" s="9">
        <v>463563970</v>
      </c>
      <c r="E167" s="57">
        <v>400</v>
      </c>
      <c r="F167" s="10" t="s">
        <v>149</v>
      </c>
      <c r="G167" s="88">
        <v>0</v>
      </c>
      <c r="H167" s="70">
        <f t="shared" si="11"/>
        <v>0</v>
      </c>
      <c r="I167" s="11">
        <f t="shared" ca="1" si="5"/>
        <v>46120</v>
      </c>
      <c r="J167" s="11">
        <f t="shared" ca="1" si="1"/>
        <v>46118</v>
      </c>
      <c r="K167" s="13"/>
    </row>
    <row r="168" spans="1:11" ht="18" x14ac:dyDescent="0.4">
      <c r="A168" s="7" t="s">
        <v>98</v>
      </c>
      <c r="B168" s="85" t="s">
        <v>703</v>
      </c>
      <c r="C168" s="8">
        <v>51620</v>
      </c>
      <c r="D168" s="9">
        <v>463485280</v>
      </c>
      <c r="E168" s="57">
        <v>840</v>
      </c>
      <c r="F168" s="10" t="s">
        <v>150</v>
      </c>
      <c r="G168" s="88">
        <v>0</v>
      </c>
      <c r="H168" s="70">
        <f t="shared" si="11"/>
        <v>0</v>
      </c>
      <c r="I168" s="11">
        <f t="shared" ca="1" si="5"/>
        <v>46120</v>
      </c>
      <c r="J168" s="11">
        <f t="shared" ca="1" si="1"/>
        <v>46118</v>
      </c>
      <c r="K168" s="13"/>
    </row>
    <row r="169" spans="1:11" ht="18" x14ac:dyDescent="0.4">
      <c r="A169" s="7" t="s">
        <v>98</v>
      </c>
      <c r="B169" s="85" t="s">
        <v>703</v>
      </c>
      <c r="C169" s="8">
        <v>51620</v>
      </c>
      <c r="D169" s="9">
        <v>463485300</v>
      </c>
      <c r="E169" s="57">
        <v>840</v>
      </c>
      <c r="F169" s="10" t="s">
        <v>151</v>
      </c>
      <c r="G169" s="88">
        <v>0</v>
      </c>
      <c r="H169" s="70">
        <f t="shared" si="11"/>
        <v>0</v>
      </c>
      <c r="I169" s="11">
        <f t="shared" ca="1" si="5"/>
        <v>46120</v>
      </c>
      <c r="J169" s="11">
        <f t="shared" ca="1" si="1"/>
        <v>46118</v>
      </c>
      <c r="K169" s="13"/>
    </row>
    <row r="170" spans="1:11" ht="18" x14ac:dyDescent="0.4">
      <c r="A170" s="7" t="s">
        <v>98</v>
      </c>
      <c r="B170" s="85" t="s">
        <v>703</v>
      </c>
      <c r="C170" s="8">
        <v>51620</v>
      </c>
      <c r="D170" s="9">
        <v>463485320</v>
      </c>
      <c r="E170" s="57">
        <v>840</v>
      </c>
      <c r="F170" s="10" t="s">
        <v>152</v>
      </c>
      <c r="G170" s="88">
        <v>0</v>
      </c>
      <c r="H170" s="70">
        <f t="shared" si="11"/>
        <v>0</v>
      </c>
      <c r="I170" s="11">
        <f t="shared" ca="1" si="5"/>
        <v>46120</v>
      </c>
      <c r="J170" s="11">
        <f t="shared" ca="1" si="1"/>
        <v>46118</v>
      </c>
      <c r="K170" s="13"/>
    </row>
    <row r="171" spans="1:11" ht="18" x14ac:dyDescent="0.4">
      <c r="A171" s="7" t="s">
        <v>98</v>
      </c>
      <c r="B171" s="85" t="s">
        <v>705</v>
      </c>
      <c r="C171" s="8">
        <v>73860</v>
      </c>
      <c r="D171" s="9">
        <v>463592990</v>
      </c>
      <c r="E171" s="57">
        <v>500</v>
      </c>
      <c r="F171" s="10" t="s">
        <v>706</v>
      </c>
      <c r="G171" s="88">
        <v>0</v>
      </c>
      <c r="H171" s="70">
        <f t="shared" si="11"/>
        <v>0</v>
      </c>
      <c r="I171" s="11">
        <f t="shared" ref="I171:I208" ca="1" si="13">I163</f>
        <v>46120</v>
      </c>
      <c r="J171" s="11">
        <f t="shared" ca="1" si="1"/>
        <v>46118</v>
      </c>
      <c r="K171" s="13"/>
    </row>
    <row r="172" spans="1:11" ht="18" x14ac:dyDescent="0.4">
      <c r="A172" s="7" t="s">
        <v>98</v>
      </c>
      <c r="B172" s="85" t="s">
        <v>705</v>
      </c>
      <c r="C172" s="8">
        <v>73860</v>
      </c>
      <c r="D172" s="9">
        <v>463593000</v>
      </c>
      <c r="E172" s="57">
        <v>500</v>
      </c>
      <c r="F172" s="10" t="s">
        <v>706</v>
      </c>
      <c r="G172" s="88">
        <v>0</v>
      </c>
      <c r="H172" s="70">
        <f t="shared" si="11"/>
        <v>0</v>
      </c>
      <c r="I172" s="11">
        <f t="shared" ca="1" si="13"/>
        <v>46120</v>
      </c>
      <c r="J172" s="11">
        <f t="shared" ca="1" si="1"/>
        <v>46118</v>
      </c>
      <c r="K172" s="13"/>
    </row>
    <row r="173" spans="1:11" ht="18" x14ac:dyDescent="0.4">
      <c r="A173" s="7" t="s">
        <v>98</v>
      </c>
      <c r="B173" s="85" t="s">
        <v>707</v>
      </c>
      <c r="C173" s="8">
        <v>49630</v>
      </c>
      <c r="D173" s="9">
        <v>463476050</v>
      </c>
      <c r="E173" s="57">
        <v>720</v>
      </c>
      <c r="F173" s="10" t="s">
        <v>157</v>
      </c>
      <c r="G173" s="88">
        <v>0</v>
      </c>
      <c r="H173" s="70">
        <f t="shared" si="11"/>
        <v>0</v>
      </c>
      <c r="I173" s="11">
        <f t="shared" ca="1" si="13"/>
        <v>46120</v>
      </c>
      <c r="J173" s="11">
        <f t="shared" ca="1" si="1"/>
        <v>46118</v>
      </c>
      <c r="K173" s="13"/>
    </row>
    <row r="174" spans="1:11" ht="18" x14ac:dyDescent="0.4">
      <c r="A174" s="7" t="s">
        <v>98</v>
      </c>
      <c r="B174" s="85" t="s">
        <v>708</v>
      </c>
      <c r="C174" s="8">
        <v>73850</v>
      </c>
      <c r="D174" s="9">
        <v>463491430</v>
      </c>
      <c r="E174" s="57">
        <v>600</v>
      </c>
      <c r="F174" s="10" t="s">
        <v>159</v>
      </c>
      <c r="G174" s="88">
        <v>0</v>
      </c>
      <c r="H174" s="70">
        <f t="shared" si="11"/>
        <v>0</v>
      </c>
      <c r="I174" s="11">
        <f t="shared" ca="1" si="13"/>
        <v>46120</v>
      </c>
      <c r="J174" s="11">
        <f t="shared" ca="1" si="1"/>
        <v>46118</v>
      </c>
      <c r="K174" s="8"/>
    </row>
    <row r="175" spans="1:11" ht="18" x14ac:dyDescent="0.4">
      <c r="A175" s="7" t="s">
        <v>98</v>
      </c>
      <c r="B175" s="85" t="s">
        <v>708</v>
      </c>
      <c r="C175" s="8">
        <v>73850</v>
      </c>
      <c r="D175" s="9">
        <v>552822510</v>
      </c>
      <c r="E175" s="57">
        <v>1500</v>
      </c>
      <c r="F175" s="10" t="s">
        <v>709</v>
      </c>
      <c r="G175" s="88">
        <v>0</v>
      </c>
      <c r="H175" s="70">
        <f t="shared" si="11"/>
        <v>0</v>
      </c>
      <c r="I175" s="11">
        <f t="shared" ca="1" si="13"/>
        <v>46120</v>
      </c>
      <c r="J175" s="11">
        <f t="shared" ca="1" si="1"/>
        <v>46118</v>
      </c>
      <c r="K175" s="8"/>
    </row>
    <row r="176" spans="1:11" ht="18" x14ac:dyDescent="0.4">
      <c r="A176" s="7" t="s">
        <v>98</v>
      </c>
      <c r="B176" s="85" t="s">
        <v>708</v>
      </c>
      <c r="C176" s="8">
        <v>73850</v>
      </c>
      <c r="D176" s="9">
        <v>552823610</v>
      </c>
      <c r="E176" s="57">
        <v>1500</v>
      </c>
      <c r="F176" s="10" t="s">
        <v>710</v>
      </c>
      <c r="G176" s="88">
        <v>0</v>
      </c>
      <c r="H176" s="70">
        <f t="shared" si="11"/>
        <v>0</v>
      </c>
      <c r="I176" s="11">
        <f t="shared" ca="1" si="13"/>
        <v>46120</v>
      </c>
      <c r="J176" s="11">
        <f t="shared" ca="1" si="1"/>
        <v>46118</v>
      </c>
      <c r="K176" s="8"/>
    </row>
    <row r="177" spans="1:11" ht="18" x14ac:dyDescent="0.4">
      <c r="A177" s="7" t="s">
        <v>98</v>
      </c>
      <c r="B177" s="85" t="s">
        <v>233</v>
      </c>
      <c r="C177" s="8">
        <v>33132</v>
      </c>
      <c r="D177" s="9">
        <v>552823610</v>
      </c>
      <c r="E177" s="57">
        <v>900</v>
      </c>
      <c r="F177" s="10" t="s">
        <v>234</v>
      </c>
      <c r="G177" s="88">
        <v>0</v>
      </c>
      <c r="H177" s="70">
        <f t="shared" si="11"/>
        <v>0</v>
      </c>
      <c r="I177" s="11">
        <f t="shared" ca="1" si="13"/>
        <v>46120</v>
      </c>
      <c r="J177" s="11">
        <f t="shared" ca="1" si="1"/>
        <v>46118</v>
      </c>
      <c r="K177" s="8"/>
    </row>
    <row r="178" spans="1:11" ht="18" x14ac:dyDescent="0.4">
      <c r="A178" s="7" t="s">
        <v>98</v>
      </c>
      <c r="B178" s="85" t="s">
        <v>160</v>
      </c>
      <c r="C178" s="8">
        <v>40870</v>
      </c>
      <c r="D178" s="9">
        <v>463479340</v>
      </c>
      <c r="E178" s="57">
        <v>100</v>
      </c>
      <c r="F178" s="10" t="s">
        <v>161</v>
      </c>
      <c r="G178" s="88">
        <v>0</v>
      </c>
      <c r="H178" s="70">
        <f t="shared" si="11"/>
        <v>0</v>
      </c>
      <c r="I178" s="11">
        <f t="shared" ca="1" si="13"/>
        <v>46120</v>
      </c>
      <c r="J178" s="11">
        <f t="shared" ca="1" si="1"/>
        <v>46118</v>
      </c>
      <c r="K178" s="8"/>
    </row>
    <row r="179" spans="1:11" ht="18" x14ac:dyDescent="0.4">
      <c r="A179" s="7" t="s">
        <v>98</v>
      </c>
      <c r="B179" s="85" t="s">
        <v>160</v>
      </c>
      <c r="C179" s="8">
        <v>40870</v>
      </c>
      <c r="D179" s="9">
        <v>463479350</v>
      </c>
      <c r="E179" s="57">
        <v>100</v>
      </c>
      <c r="F179" s="10" t="s">
        <v>162</v>
      </c>
      <c r="G179" s="88">
        <v>0</v>
      </c>
      <c r="H179" s="70">
        <f t="shared" si="11"/>
        <v>0</v>
      </c>
      <c r="I179" s="11">
        <f t="shared" ca="1" si="13"/>
        <v>46120</v>
      </c>
      <c r="J179" s="11">
        <f t="shared" ca="1" si="1"/>
        <v>46118</v>
      </c>
      <c r="K179" s="8"/>
    </row>
    <row r="180" spans="1:11" ht="18" x14ac:dyDescent="0.4">
      <c r="A180" s="7" t="s">
        <v>98</v>
      </c>
      <c r="B180" s="85" t="s">
        <v>163</v>
      </c>
      <c r="C180" s="8">
        <v>10675</v>
      </c>
      <c r="D180" s="9">
        <v>552822300</v>
      </c>
      <c r="E180" s="57">
        <v>4320</v>
      </c>
      <c r="F180" s="10" t="s">
        <v>164</v>
      </c>
      <c r="G180" s="88">
        <v>0</v>
      </c>
      <c r="H180" s="70">
        <f t="shared" si="11"/>
        <v>0</v>
      </c>
      <c r="I180" s="11">
        <f t="shared" ca="1" si="13"/>
        <v>46120</v>
      </c>
      <c r="J180" s="11">
        <f t="shared" ca="1" si="1"/>
        <v>46118</v>
      </c>
      <c r="K180" s="8"/>
    </row>
    <row r="181" spans="1:11" ht="18" x14ac:dyDescent="0.4">
      <c r="A181" s="7" t="s">
        <v>98</v>
      </c>
      <c r="B181" s="85" t="s">
        <v>163</v>
      </c>
      <c r="C181" s="8">
        <v>10675</v>
      </c>
      <c r="D181" s="9">
        <v>552822310</v>
      </c>
      <c r="E181" s="57">
        <v>4320</v>
      </c>
      <c r="F181" s="10" t="s">
        <v>165</v>
      </c>
      <c r="G181" s="88">
        <v>0</v>
      </c>
      <c r="H181" s="70">
        <f t="shared" si="11"/>
        <v>0</v>
      </c>
      <c r="I181" s="11">
        <f t="shared" ca="1" si="13"/>
        <v>46120</v>
      </c>
      <c r="J181" s="11">
        <f t="shared" ca="1" si="1"/>
        <v>46118</v>
      </c>
      <c r="K181" s="8"/>
    </row>
    <row r="182" spans="1:11" ht="18" x14ac:dyDescent="0.4">
      <c r="A182" s="7" t="s">
        <v>98</v>
      </c>
      <c r="B182" s="85" t="s">
        <v>167</v>
      </c>
      <c r="C182" s="8">
        <v>64641</v>
      </c>
      <c r="D182" s="9">
        <v>463543900</v>
      </c>
      <c r="E182" s="57">
        <v>20000</v>
      </c>
      <c r="F182" s="10" t="s">
        <v>168</v>
      </c>
      <c r="G182" s="88">
        <v>0</v>
      </c>
      <c r="H182" s="70">
        <f t="shared" si="11"/>
        <v>0</v>
      </c>
      <c r="I182" s="11">
        <f t="shared" ca="1" si="13"/>
        <v>46120</v>
      </c>
      <c r="J182" s="11">
        <f t="shared" ca="1" si="1"/>
        <v>46118</v>
      </c>
      <c r="K182" s="13"/>
    </row>
    <row r="183" spans="1:11" ht="18" x14ac:dyDescent="0.4">
      <c r="A183" s="7" t="s">
        <v>98</v>
      </c>
      <c r="B183" s="85" t="s">
        <v>703</v>
      </c>
      <c r="C183" s="8">
        <v>15565</v>
      </c>
      <c r="D183" s="9">
        <v>463526200</v>
      </c>
      <c r="E183" s="57">
        <v>30</v>
      </c>
      <c r="F183" s="10" t="s">
        <v>155</v>
      </c>
      <c r="G183" s="88">
        <v>0</v>
      </c>
      <c r="H183" s="70">
        <f t="shared" si="11"/>
        <v>0</v>
      </c>
      <c r="I183" s="11">
        <f t="shared" ca="1" si="13"/>
        <v>46120</v>
      </c>
      <c r="J183" s="11">
        <f t="shared" ca="1" si="1"/>
        <v>46118</v>
      </c>
      <c r="K183" s="13"/>
    </row>
    <row r="184" spans="1:11" ht="18" x14ac:dyDescent="0.4">
      <c r="A184" s="7" t="s">
        <v>98</v>
      </c>
      <c r="B184" s="85" t="s">
        <v>703</v>
      </c>
      <c r="C184" s="8">
        <v>15565</v>
      </c>
      <c r="D184" s="9">
        <v>463548380</v>
      </c>
      <c r="E184" s="57">
        <v>30</v>
      </c>
      <c r="F184" s="10" t="s">
        <v>155</v>
      </c>
      <c r="G184" s="88">
        <v>0</v>
      </c>
      <c r="H184" s="70">
        <f t="shared" si="11"/>
        <v>0</v>
      </c>
      <c r="I184" s="11">
        <f t="shared" ca="1" si="13"/>
        <v>46120</v>
      </c>
      <c r="J184" s="11">
        <f t="shared" ca="1" si="1"/>
        <v>46118</v>
      </c>
      <c r="K184" s="13"/>
    </row>
    <row r="185" spans="1:11" ht="18" x14ac:dyDescent="0.4">
      <c r="A185" s="7" t="s">
        <v>98</v>
      </c>
      <c r="B185" s="85" t="s">
        <v>703</v>
      </c>
      <c r="C185" s="8">
        <v>15565</v>
      </c>
      <c r="D185" s="9">
        <v>463496640</v>
      </c>
      <c r="E185" s="57">
        <v>30</v>
      </c>
      <c r="F185" s="10" t="s">
        <v>155</v>
      </c>
      <c r="G185" s="88">
        <v>0</v>
      </c>
      <c r="H185" s="70">
        <f t="shared" si="11"/>
        <v>0</v>
      </c>
      <c r="I185" s="11">
        <f t="shared" ca="1" si="13"/>
        <v>46120</v>
      </c>
      <c r="J185" s="11">
        <f t="shared" ca="1" si="1"/>
        <v>46118</v>
      </c>
      <c r="K185" s="13"/>
    </row>
    <row r="186" spans="1:11" ht="18" x14ac:dyDescent="0.4">
      <c r="A186" s="7" t="s">
        <v>98</v>
      </c>
      <c r="B186" s="85" t="s">
        <v>169</v>
      </c>
      <c r="C186" s="8">
        <v>31610</v>
      </c>
      <c r="D186" s="9">
        <v>463595330</v>
      </c>
      <c r="E186" s="57">
        <v>40</v>
      </c>
      <c r="F186" s="10" t="s">
        <v>711</v>
      </c>
      <c r="G186" s="88">
        <v>0</v>
      </c>
      <c r="H186" s="70">
        <f t="shared" si="11"/>
        <v>0</v>
      </c>
      <c r="I186" s="11">
        <f t="shared" ca="1" si="13"/>
        <v>46120</v>
      </c>
      <c r="J186" s="11">
        <f t="shared" ca="1" si="1"/>
        <v>46118</v>
      </c>
      <c r="K186" s="13"/>
    </row>
    <row r="187" spans="1:11" ht="18" x14ac:dyDescent="0.4">
      <c r="A187" s="7" t="s">
        <v>98</v>
      </c>
      <c r="B187" s="85" t="s">
        <v>169</v>
      </c>
      <c r="C187" s="8">
        <v>31610</v>
      </c>
      <c r="D187" s="9">
        <v>552822380</v>
      </c>
      <c r="E187" s="57">
        <v>600</v>
      </c>
      <c r="F187" s="10" t="s">
        <v>170</v>
      </c>
      <c r="G187" s="88">
        <v>0</v>
      </c>
      <c r="H187" s="70">
        <f t="shared" si="11"/>
        <v>0</v>
      </c>
      <c r="I187" s="11">
        <f t="shared" ca="1" si="13"/>
        <v>46120</v>
      </c>
      <c r="J187" s="11">
        <f t="shared" ca="1" si="1"/>
        <v>46118</v>
      </c>
      <c r="K187" s="13"/>
    </row>
    <row r="188" spans="1:11" ht="18" x14ac:dyDescent="0.4">
      <c r="A188" s="7" t="s">
        <v>98</v>
      </c>
      <c r="B188" s="85" t="s">
        <v>169</v>
      </c>
      <c r="C188" s="8">
        <v>31610</v>
      </c>
      <c r="D188" s="9">
        <v>463572030</v>
      </c>
      <c r="E188" s="57">
        <v>600</v>
      </c>
      <c r="F188" s="10" t="s">
        <v>171</v>
      </c>
      <c r="G188" s="88">
        <v>0</v>
      </c>
      <c r="H188" s="70">
        <f t="shared" si="11"/>
        <v>0</v>
      </c>
      <c r="I188" s="11">
        <f t="shared" ca="1" si="13"/>
        <v>46120</v>
      </c>
      <c r="J188" s="11">
        <f t="shared" ca="1" si="1"/>
        <v>46118</v>
      </c>
      <c r="K188" s="13"/>
    </row>
    <row r="189" spans="1:11" ht="18" x14ac:dyDescent="0.4">
      <c r="A189" s="7" t="s">
        <v>98</v>
      </c>
      <c r="B189" s="85" t="s">
        <v>169</v>
      </c>
      <c r="C189" s="8">
        <v>31610</v>
      </c>
      <c r="D189" s="9">
        <v>463572050</v>
      </c>
      <c r="E189" s="57">
        <v>600</v>
      </c>
      <c r="F189" s="10" t="s">
        <v>172</v>
      </c>
      <c r="G189" s="88">
        <v>0</v>
      </c>
      <c r="H189" s="70">
        <f t="shared" si="11"/>
        <v>0</v>
      </c>
      <c r="I189" s="11">
        <f t="shared" ca="1" si="13"/>
        <v>46120</v>
      </c>
      <c r="J189" s="11">
        <f t="shared" ca="1" si="1"/>
        <v>46118</v>
      </c>
      <c r="K189" s="13"/>
    </row>
    <row r="190" spans="1:11" ht="18" x14ac:dyDescent="0.4">
      <c r="A190" s="7" t="s">
        <v>98</v>
      </c>
      <c r="B190" s="85" t="s">
        <v>169</v>
      </c>
      <c r="C190" s="8">
        <v>31610</v>
      </c>
      <c r="D190" s="9">
        <v>552823560</v>
      </c>
      <c r="E190" s="57">
        <v>600</v>
      </c>
      <c r="F190" s="10" t="s">
        <v>173</v>
      </c>
      <c r="G190" s="88">
        <v>0</v>
      </c>
      <c r="H190" s="70">
        <f t="shared" si="11"/>
        <v>0</v>
      </c>
      <c r="I190" s="11">
        <f t="shared" ca="1" si="13"/>
        <v>46120</v>
      </c>
      <c r="J190" s="11">
        <f t="shared" ca="1" si="1"/>
        <v>46118</v>
      </c>
      <c r="K190" s="13"/>
    </row>
    <row r="191" spans="1:11" ht="18" x14ac:dyDescent="0.4">
      <c r="A191" s="7" t="s">
        <v>98</v>
      </c>
      <c r="B191" s="85" t="s">
        <v>169</v>
      </c>
      <c r="C191" s="8">
        <v>31610</v>
      </c>
      <c r="D191" s="9">
        <v>463572040</v>
      </c>
      <c r="E191" s="57">
        <v>600</v>
      </c>
      <c r="F191" s="10" t="s">
        <v>174</v>
      </c>
      <c r="G191" s="88">
        <v>0</v>
      </c>
      <c r="H191" s="70">
        <f t="shared" si="11"/>
        <v>0</v>
      </c>
      <c r="I191" s="11">
        <f t="shared" ca="1" si="13"/>
        <v>46120</v>
      </c>
      <c r="J191" s="11">
        <f t="shared" ca="1" si="1"/>
        <v>46118</v>
      </c>
      <c r="K191" s="13"/>
    </row>
    <row r="192" spans="1:11" ht="18" x14ac:dyDescent="0.4">
      <c r="A192" s="7" t="s">
        <v>98</v>
      </c>
      <c r="B192" s="85" t="s">
        <v>169</v>
      </c>
      <c r="C192" s="8">
        <v>31610</v>
      </c>
      <c r="D192" s="9">
        <v>463595330</v>
      </c>
      <c r="E192" s="57">
        <v>600</v>
      </c>
      <c r="F192" s="10" t="s">
        <v>175</v>
      </c>
      <c r="G192" s="88">
        <v>0</v>
      </c>
      <c r="H192" s="70">
        <f t="shared" si="11"/>
        <v>0</v>
      </c>
      <c r="I192" s="11">
        <f ca="1">I191</f>
        <v>46120</v>
      </c>
      <c r="J192" s="11">
        <v>45868</v>
      </c>
      <c r="K192" s="13"/>
    </row>
    <row r="193" spans="1:11" ht="18" x14ac:dyDescent="0.4">
      <c r="A193" s="7" t="s">
        <v>98</v>
      </c>
      <c r="B193" s="85" t="s">
        <v>176</v>
      </c>
      <c r="C193" s="8">
        <v>50111</v>
      </c>
      <c r="D193" s="9">
        <v>552833910</v>
      </c>
      <c r="E193" s="57">
        <v>9000</v>
      </c>
      <c r="F193" s="10" t="s">
        <v>177</v>
      </c>
      <c r="G193" s="88">
        <v>0</v>
      </c>
      <c r="H193" s="70">
        <v>0</v>
      </c>
      <c r="I193" s="11">
        <f ca="1">I192</f>
        <v>46120</v>
      </c>
      <c r="J193" s="11">
        <v>45868</v>
      </c>
      <c r="K193" s="13"/>
    </row>
    <row r="194" spans="1:11" ht="18" x14ac:dyDescent="0.4">
      <c r="A194" s="7" t="s">
        <v>98</v>
      </c>
      <c r="B194" s="85" t="s">
        <v>178</v>
      </c>
      <c r="C194" s="8">
        <v>56589</v>
      </c>
      <c r="D194" s="9">
        <v>463384907</v>
      </c>
      <c r="E194" s="57">
        <v>30</v>
      </c>
      <c r="F194" s="10" t="s">
        <v>179</v>
      </c>
      <c r="G194" s="88">
        <v>600</v>
      </c>
      <c r="H194" s="70">
        <f t="shared" si="11"/>
        <v>20</v>
      </c>
      <c r="I194" s="11">
        <f t="shared" ref="I194:I201" ca="1" si="14">I184</f>
        <v>46120</v>
      </c>
      <c r="J194" s="11">
        <f t="shared" ca="1" si="1"/>
        <v>46118</v>
      </c>
      <c r="K194" s="13"/>
    </row>
    <row r="195" spans="1:11" ht="18" x14ac:dyDescent="0.4">
      <c r="A195" s="7" t="s">
        <v>98</v>
      </c>
      <c r="B195" s="85" t="s">
        <v>178</v>
      </c>
      <c r="C195" s="8">
        <v>56589</v>
      </c>
      <c r="D195" s="9">
        <v>463384997</v>
      </c>
      <c r="E195" s="57">
        <v>30</v>
      </c>
      <c r="F195" s="10" t="s">
        <v>180</v>
      </c>
      <c r="G195" s="88">
        <v>600</v>
      </c>
      <c r="H195" s="70">
        <f t="shared" si="11"/>
        <v>20</v>
      </c>
      <c r="I195" s="11">
        <f t="shared" ca="1" si="14"/>
        <v>46120</v>
      </c>
      <c r="J195" s="11">
        <f t="shared" ca="1" si="1"/>
        <v>46118</v>
      </c>
      <c r="K195" s="13"/>
    </row>
    <row r="196" spans="1:11" ht="18" x14ac:dyDescent="0.4">
      <c r="A196" s="7" t="s">
        <v>98</v>
      </c>
      <c r="B196" s="85" t="s">
        <v>181</v>
      </c>
      <c r="C196" s="8">
        <v>50050</v>
      </c>
      <c r="D196" s="9">
        <v>463529270</v>
      </c>
      <c r="E196" s="57">
        <v>432</v>
      </c>
      <c r="F196" s="10" t="s">
        <v>182</v>
      </c>
      <c r="G196" s="88">
        <v>0</v>
      </c>
      <c r="H196" s="70">
        <f t="shared" si="11"/>
        <v>0</v>
      </c>
      <c r="I196" s="11">
        <f t="shared" ca="1" si="14"/>
        <v>46120</v>
      </c>
      <c r="J196" s="11">
        <f t="shared" ca="1" si="1"/>
        <v>46118</v>
      </c>
      <c r="K196" s="13"/>
    </row>
    <row r="197" spans="1:11" ht="18" x14ac:dyDescent="0.4">
      <c r="A197" s="7" t="s">
        <v>98</v>
      </c>
      <c r="B197" s="85" t="s">
        <v>183</v>
      </c>
      <c r="C197" s="8">
        <v>30467</v>
      </c>
      <c r="D197" s="9">
        <v>552806540</v>
      </c>
      <c r="E197" s="57">
        <v>1200</v>
      </c>
      <c r="F197" s="10" t="s">
        <v>184</v>
      </c>
      <c r="G197" s="88">
        <v>0</v>
      </c>
      <c r="H197" s="70">
        <f t="shared" si="11"/>
        <v>0</v>
      </c>
      <c r="I197" s="11">
        <f t="shared" ca="1" si="14"/>
        <v>46120</v>
      </c>
      <c r="J197" s="11">
        <f t="shared" ca="1" si="1"/>
        <v>46118</v>
      </c>
      <c r="K197" s="13"/>
    </row>
    <row r="198" spans="1:11" ht="18" x14ac:dyDescent="0.4">
      <c r="A198" s="7" t="s">
        <v>98</v>
      </c>
      <c r="B198" s="85" t="s">
        <v>183</v>
      </c>
      <c r="C198" s="8">
        <v>30467</v>
      </c>
      <c r="D198" s="9">
        <v>463389730</v>
      </c>
      <c r="E198" s="57">
        <v>400</v>
      </c>
      <c r="F198" s="10" t="s">
        <v>185</v>
      </c>
      <c r="G198" s="88">
        <v>0</v>
      </c>
      <c r="H198" s="70">
        <f t="shared" si="11"/>
        <v>0</v>
      </c>
      <c r="I198" s="11">
        <f t="shared" ca="1" si="14"/>
        <v>46120</v>
      </c>
      <c r="J198" s="11">
        <f t="shared" ca="1" si="1"/>
        <v>46118</v>
      </c>
      <c r="K198" s="13"/>
    </row>
    <row r="199" spans="1:11" ht="18" x14ac:dyDescent="0.4">
      <c r="A199" s="7" t="s">
        <v>98</v>
      </c>
      <c r="B199" s="85" t="s">
        <v>183</v>
      </c>
      <c r="C199" s="8">
        <v>30467</v>
      </c>
      <c r="D199" s="9">
        <v>463532630</v>
      </c>
      <c r="E199" s="57">
        <v>250</v>
      </c>
      <c r="F199" s="10" t="s">
        <v>187</v>
      </c>
      <c r="G199" s="88">
        <v>0</v>
      </c>
      <c r="H199" s="70">
        <f t="shared" si="11"/>
        <v>0</v>
      </c>
      <c r="I199" s="11">
        <f t="shared" ca="1" si="14"/>
        <v>46120</v>
      </c>
      <c r="J199" s="11">
        <f t="shared" ca="1" si="1"/>
        <v>46118</v>
      </c>
      <c r="K199" s="13"/>
    </row>
    <row r="200" spans="1:11" ht="18" x14ac:dyDescent="0.4">
      <c r="A200" s="7" t="s">
        <v>98</v>
      </c>
      <c r="B200" s="85" t="s">
        <v>183</v>
      </c>
      <c r="C200" s="8">
        <v>30467</v>
      </c>
      <c r="D200" s="9">
        <v>552821810</v>
      </c>
      <c r="E200" s="57">
        <v>350</v>
      </c>
      <c r="F200" s="10" t="s">
        <v>188</v>
      </c>
      <c r="G200" s="88">
        <v>0</v>
      </c>
      <c r="H200" s="70">
        <f t="shared" ref="H200:H265" si="15">+G200/E200</f>
        <v>0</v>
      </c>
      <c r="I200" s="11">
        <f t="shared" ca="1" si="14"/>
        <v>46120</v>
      </c>
      <c r="J200" s="11">
        <f t="shared" ca="1" si="1"/>
        <v>46118</v>
      </c>
      <c r="K200" s="13"/>
    </row>
    <row r="201" spans="1:11" ht="18" x14ac:dyDescent="0.4">
      <c r="A201" s="7" t="s">
        <v>98</v>
      </c>
      <c r="B201" s="52" t="s">
        <v>189</v>
      </c>
      <c r="C201" s="49">
        <v>5934</v>
      </c>
      <c r="D201" s="50">
        <v>463384870</v>
      </c>
      <c r="E201" s="49">
        <v>1000</v>
      </c>
      <c r="F201" s="51" t="s">
        <v>190</v>
      </c>
      <c r="G201" s="88">
        <v>0</v>
      </c>
      <c r="H201" s="70">
        <f t="shared" si="15"/>
        <v>0</v>
      </c>
      <c r="I201" s="11">
        <f t="shared" ca="1" si="14"/>
        <v>46120</v>
      </c>
      <c r="J201" s="11">
        <f t="shared" ca="1" si="1"/>
        <v>46118</v>
      </c>
      <c r="K201" s="13"/>
    </row>
    <row r="202" spans="1:11" ht="18" x14ac:dyDescent="0.4">
      <c r="A202" s="7" t="s">
        <v>98</v>
      </c>
      <c r="B202" s="52" t="s">
        <v>189</v>
      </c>
      <c r="C202" s="49">
        <v>5934</v>
      </c>
      <c r="D202" s="50">
        <v>463516230</v>
      </c>
      <c r="E202" s="49">
        <v>80</v>
      </c>
      <c r="F202" s="51" t="s">
        <v>191</v>
      </c>
      <c r="G202" s="88">
        <v>0</v>
      </c>
      <c r="H202" s="70">
        <f t="shared" si="15"/>
        <v>0</v>
      </c>
      <c r="I202" s="11">
        <f t="shared" ca="1" si="13"/>
        <v>46120</v>
      </c>
      <c r="J202" s="11">
        <f t="shared" ca="1" si="1"/>
        <v>46118</v>
      </c>
      <c r="K202" s="13"/>
    </row>
    <row r="203" spans="1:11" ht="18" x14ac:dyDescent="0.4">
      <c r="A203" s="7" t="s">
        <v>98</v>
      </c>
      <c r="B203" s="85" t="s">
        <v>189</v>
      </c>
      <c r="C203" s="8">
        <v>5934</v>
      </c>
      <c r="D203" s="9">
        <v>552841160</v>
      </c>
      <c r="E203" s="57">
        <v>1000</v>
      </c>
      <c r="F203" s="10" t="s">
        <v>192</v>
      </c>
      <c r="G203" s="88">
        <v>0</v>
      </c>
      <c r="H203" s="70">
        <f t="shared" si="15"/>
        <v>0</v>
      </c>
      <c r="I203" s="11">
        <f t="shared" ca="1" si="13"/>
        <v>46120</v>
      </c>
      <c r="J203" s="11">
        <f t="shared" ca="1" si="1"/>
        <v>46118</v>
      </c>
      <c r="K203" s="13"/>
    </row>
    <row r="204" spans="1:11" ht="18" x14ac:dyDescent="0.4">
      <c r="A204" s="7" t="s">
        <v>98</v>
      </c>
      <c r="B204" s="85" t="s">
        <v>193</v>
      </c>
      <c r="C204" s="8">
        <v>19414</v>
      </c>
      <c r="D204" s="9">
        <v>463532640</v>
      </c>
      <c r="E204" s="57">
        <v>1100</v>
      </c>
      <c r="F204" s="10" t="s">
        <v>194</v>
      </c>
      <c r="G204" s="88">
        <v>0</v>
      </c>
      <c r="H204" s="70">
        <f t="shared" si="15"/>
        <v>0</v>
      </c>
      <c r="I204" s="11">
        <f t="shared" ca="1" si="13"/>
        <v>46120</v>
      </c>
      <c r="J204" s="11">
        <f t="shared" ca="1" si="1"/>
        <v>46118</v>
      </c>
      <c r="K204" s="13"/>
    </row>
    <row r="205" spans="1:11" ht="18" x14ac:dyDescent="0.4">
      <c r="A205" s="7" t="s">
        <v>98</v>
      </c>
      <c r="B205" s="85" t="s">
        <v>193</v>
      </c>
      <c r="C205" s="8">
        <v>19414</v>
      </c>
      <c r="D205" s="9">
        <v>463532650</v>
      </c>
      <c r="E205" s="57">
        <v>800</v>
      </c>
      <c r="F205" s="10" t="s">
        <v>195</v>
      </c>
      <c r="G205" s="88">
        <v>0</v>
      </c>
      <c r="H205" s="70">
        <f t="shared" si="15"/>
        <v>0</v>
      </c>
      <c r="I205" s="11">
        <f t="shared" ca="1" si="13"/>
        <v>46120</v>
      </c>
      <c r="J205" s="11">
        <f t="shared" ca="1" si="1"/>
        <v>46118</v>
      </c>
      <c r="K205" s="13"/>
    </row>
    <row r="206" spans="1:11" ht="18" x14ac:dyDescent="0.4">
      <c r="A206" s="7" t="s">
        <v>98</v>
      </c>
      <c r="B206" s="85" t="s">
        <v>193</v>
      </c>
      <c r="C206" s="8">
        <v>19414</v>
      </c>
      <c r="D206" s="9">
        <v>162970240</v>
      </c>
      <c r="E206" s="57">
        <v>500</v>
      </c>
      <c r="F206" s="10" t="s">
        <v>196</v>
      </c>
      <c r="G206" s="88">
        <v>0</v>
      </c>
      <c r="H206" s="70">
        <f t="shared" si="15"/>
        <v>0</v>
      </c>
      <c r="I206" s="11">
        <f t="shared" ca="1" si="13"/>
        <v>46120</v>
      </c>
      <c r="J206" s="11">
        <f t="shared" ca="1" si="1"/>
        <v>46118</v>
      </c>
      <c r="K206" s="13"/>
    </row>
    <row r="207" spans="1:11" ht="18" x14ac:dyDescent="0.4">
      <c r="A207" s="7" t="s">
        <v>98</v>
      </c>
      <c r="B207" s="85" t="s">
        <v>197</v>
      </c>
      <c r="C207" s="8">
        <v>1020</v>
      </c>
      <c r="D207" s="9">
        <v>463379748</v>
      </c>
      <c r="E207" s="57">
        <v>18</v>
      </c>
      <c r="F207" s="10" t="s">
        <v>198</v>
      </c>
      <c r="G207" s="88">
        <v>900</v>
      </c>
      <c r="H207" s="70">
        <f t="shared" si="15"/>
        <v>50</v>
      </c>
      <c r="I207" s="11">
        <f t="shared" ca="1" si="13"/>
        <v>46120</v>
      </c>
      <c r="J207" s="11">
        <f t="shared" ca="1" si="1"/>
        <v>46118</v>
      </c>
      <c r="K207" s="13"/>
    </row>
    <row r="208" spans="1:11" ht="18" x14ac:dyDescent="0.4">
      <c r="A208" s="7" t="s">
        <v>98</v>
      </c>
      <c r="B208" s="85" t="s">
        <v>197</v>
      </c>
      <c r="C208" s="8">
        <v>1020</v>
      </c>
      <c r="D208" s="9">
        <v>463379778</v>
      </c>
      <c r="E208" s="57">
        <v>18</v>
      </c>
      <c r="F208" s="10" t="s">
        <v>199</v>
      </c>
      <c r="G208" s="88">
        <v>900</v>
      </c>
      <c r="H208" s="70">
        <f t="shared" si="15"/>
        <v>50</v>
      </c>
      <c r="I208" s="11">
        <f t="shared" ca="1" si="13"/>
        <v>46120</v>
      </c>
      <c r="J208" s="11">
        <f t="shared" ca="1" si="1"/>
        <v>46118</v>
      </c>
      <c r="K208" s="13"/>
    </row>
    <row r="209" spans="1:11" ht="18" x14ac:dyDescent="0.4">
      <c r="A209" s="7" t="s">
        <v>98</v>
      </c>
      <c r="B209" s="85" t="s">
        <v>200</v>
      </c>
      <c r="C209" s="8">
        <v>1073</v>
      </c>
      <c r="D209" s="9">
        <v>463576288</v>
      </c>
      <c r="E209" s="57">
        <v>27</v>
      </c>
      <c r="F209" s="10" t="s">
        <v>201</v>
      </c>
      <c r="G209" s="88">
        <v>0</v>
      </c>
      <c r="H209" s="70">
        <f t="shared" si="15"/>
        <v>0</v>
      </c>
      <c r="I209" s="11">
        <f t="shared" ref="I209:I250" ca="1" si="16">I208</f>
        <v>46120</v>
      </c>
      <c r="J209" s="11">
        <f t="shared" ca="1" si="1"/>
        <v>46118</v>
      </c>
      <c r="K209" s="13"/>
    </row>
    <row r="210" spans="1:11" ht="18" x14ac:dyDescent="0.4">
      <c r="A210" s="7" t="s">
        <v>98</v>
      </c>
      <c r="B210" s="85" t="s">
        <v>200</v>
      </c>
      <c r="C210" s="8">
        <v>1073</v>
      </c>
      <c r="D210" s="9">
        <v>463576277</v>
      </c>
      <c r="E210" s="57">
        <v>36</v>
      </c>
      <c r="F210" s="10" t="s">
        <v>202</v>
      </c>
      <c r="G210" s="88">
        <v>0</v>
      </c>
      <c r="H210" s="70">
        <f t="shared" si="15"/>
        <v>0</v>
      </c>
      <c r="I210" s="11">
        <f t="shared" ca="1" si="16"/>
        <v>46120</v>
      </c>
      <c r="J210" s="11">
        <f t="shared" ca="1" si="1"/>
        <v>46118</v>
      </c>
      <c r="K210" s="13"/>
    </row>
    <row r="211" spans="1:11" ht="18" x14ac:dyDescent="0.4">
      <c r="A211" s="7" t="s">
        <v>98</v>
      </c>
      <c r="B211" s="85" t="s">
        <v>197</v>
      </c>
      <c r="C211" s="8">
        <v>1020</v>
      </c>
      <c r="D211" s="9">
        <v>463384927</v>
      </c>
      <c r="E211" s="57">
        <v>32</v>
      </c>
      <c r="F211" s="10" t="s">
        <v>203</v>
      </c>
      <c r="G211" s="88">
        <v>900</v>
      </c>
      <c r="H211" s="70">
        <f t="shared" si="15"/>
        <v>28.125</v>
      </c>
      <c r="I211" s="11">
        <f t="shared" ca="1" si="16"/>
        <v>46120</v>
      </c>
      <c r="J211" s="11">
        <f t="shared" ca="1" si="1"/>
        <v>46118</v>
      </c>
      <c r="K211" s="13"/>
    </row>
    <row r="212" spans="1:11" ht="18" x14ac:dyDescent="0.4">
      <c r="A212" s="7" t="s">
        <v>98</v>
      </c>
      <c r="B212" s="85" t="s">
        <v>197</v>
      </c>
      <c r="C212" s="8">
        <v>1020</v>
      </c>
      <c r="D212" s="9">
        <v>463489077</v>
      </c>
      <c r="E212" s="57">
        <v>32</v>
      </c>
      <c r="F212" s="10" t="s">
        <v>204</v>
      </c>
      <c r="G212" s="88">
        <v>900</v>
      </c>
      <c r="H212" s="70">
        <f t="shared" si="15"/>
        <v>28.125</v>
      </c>
      <c r="I212" s="11">
        <f t="shared" ca="1" si="16"/>
        <v>46120</v>
      </c>
      <c r="J212" s="11">
        <f t="shared" ca="1" si="1"/>
        <v>46118</v>
      </c>
      <c r="K212" s="13"/>
    </row>
    <row r="213" spans="1:11" ht="18" x14ac:dyDescent="0.4">
      <c r="A213" s="7" t="s">
        <v>98</v>
      </c>
      <c r="B213" s="85" t="s">
        <v>205</v>
      </c>
      <c r="C213" s="8">
        <v>11431</v>
      </c>
      <c r="D213" s="9">
        <v>463526240</v>
      </c>
      <c r="E213" s="57">
        <v>800</v>
      </c>
      <c r="F213" s="10" t="s">
        <v>206</v>
      </c>
      <c r="G213" s="88">
        <v>0</v>
      </c>
      <c r="H213" s="70">
        <f t="shared" si="15"/>
        <v>0</v>
      </c>
      <c r="I213" s="11">
        <f t="shared" ca="1" si="16"/>
        <v>46120</v>
      </c>
      <c r="J213" s="11">
        <f t="shared" ca="1" si="1"/>
        <v>46118</v>
      </c>
      <c r="K213" s="13"/>
    </row>
    <row r="214" spans="1:11" ht="18" x14ac:dyDescent="0.4">
      <c r="A214" s="7" t="s">
        <v>98</v>
      </c>
      <c r="B214" s="85" t="s">
        <v>205</v>
      </c>
      <c r="C214" s="8">
        <v>11431</v>
      </c>
      <c r="D214" s="9">
        <v>463496660</v>
      </c>
      <c r="E214" s="57">
        <v>800</v>
      </c>
      <c r="F214" s="10" t="s">
        <v>206</v>
      </c>
      <c r="G214" s="88">
        <v>0</v>
      </c>
      <c r="H214" s="70">
        <f t="shared" si="15"/>
        <v>0</v>
      </c>
      <c r="I214" s="11">
        <f t="shared" ca="1" si="16"/>
        <v>46120</v>
      </c>
      <c r="J214" s="11">
        <f t="shared" ca="1" si="1"/>
        <v>46118</v>
      </c>
      <c r="K214" s="13"/>
    </row>
    <row r="215" spans="1:11" ht="18" x14ac:dyDescent="0.4">
      <c r="A215" s="7" t="s">
        <v>98</v>
      </c>
      <c r="B215" s="85" t="s">
        <v>205</v>
      </c>
      <c r="C215" s="8">
        <v>11431</v>
      </c>
      <c r="D215" s="9">
        <v>463492670</v>
      </c>
      <c r="E215" s="57">
        <v>800</v>
      </c>
      <c r="F215" s="10" t="s">
        <v>206</v>
      </c>
      <c r="G215" s="88">
        <v>0</v>
      </c>
      <c r="H215" s="70">
        <f t="shared" si="15"/>
        <v>0</v>
      </c>
      <c r="I215" s="11">
        <f t="shared" ca="1" si="16"/>
        <v>46120</v>
      </c>
      <c r="J215" s="11">
        <f t="shared" ca="1" si="1"/>
        <v>46118</v>
      </c>
      <c r="K215" s="13"/>
    </row>
    <row r="216" spans="1:11" ht="18" x14ac:dyDescent="0.4">
      <c r="A216" s="7" t="s">
        <v>98</v>
      </c>
      <c r="B216" s="85" t="s">
        <v>207</v>
      </c>
      <c r="C216" s="8">
        <v>14928</v>
      </c>
      <c r="D216" s="9">
        <v>463556950</v>
      </c>
      <c r="E216" s="57">
        <v>40</v>
      </c>
      <c r="F216" s="10" t="s">
        <v>208</v>
      </c>
      <c r="G216" s="88">
        <v>0</v>
      </c>
      <c r="H216" s="70">
        <f t="shared" si="15"/>
        <v>0</v>
      </c>
      <c r="I216" s="11">
        <f t="shared" ca="1" si="16"/>
        <v>46120</v>
      </c>
      <c r="J216" s="11">
        <f t="shared" ca="1" si="1"/>
        <v>46118</v>
      </c>
      <c r="K216" s="13"/>
    </row>
    <row r="217" spans="1:11" ht="18" x14ac:dyDescent="0.4">
      <c r="A217" s="7" t="s">
        <v>98</v>
      </c>
      <c r="B217" s="85" t="s">
        <v>207</v>
      </c>
      <c r="C217" s="8">
        <v>14928</v>
      </c>
      <c r="D217" s="9">
        <v>463526220</v>
      </c>
      <c r="E217" s="57">
        <v>40</v>
      </c>
      <c r="F217" s="10" t="s">
        <v>209</v>
      </c>
      <c r="G217" s="88">
        <v>0</v>
      </c>
      <c r="H217" s="70">
        <f t="shared" si="15"/>
        <v>0</v>
      </c>
      <c r="I217" s="11">
        <f t="shared" ca="1" si="16"/>
        <v>46120</v>
      </c>
      <c r="J217" s="11">
        <f t="shared" ca="1" si="1"/>
        <v>46118</v>
      </c>
      <c r="K217" s="13"/>
    </row>
    <row r="218" spans="1:11" ht="18" x14ac:dyDescent="0.4">
      <c r="A218" s="7" t="s">
        <v>98</v>
      </c>
      <c r="B218" s="85" t="s">
        <v>207</v>
      </c>
      <c r="C218" s="8">
        <v>14928</v>
      </c>
      <c r="D218" s="9">
        <v>463496630</v>
      </c>
      <c r="E218" s="57">
        <v>40</v>
      </c>
      <c r="F218" s="10" t="s">
        <v>210</v>
      </c>
      <c r="G218" s="88">
        <v>0</v>
      </c>
      <c r="H218" s="70">
        <f t="shared" si="15"/>
        <v>0</v>
      </c>
      <c r="I218" s="11">
        <f t="shared" ca="1" si="16"/>
        <v>46120</v>
      </c>
      <c r="J218" s="11">
        <f t="shared" ca="1" si="1"/>
        <v>46118</v>
      </c>
      <c r="K218" s="13"/>
    </row>
    <row r="219" spans="1:11" ht="18" x14ac:dyDescent="0.4">
      <c r="A219" s="7" t="s">
        <v>98</v>
      </c>
      <c r="B219" s="85" t="s">
        <v>207</v>
      </c>
      <c r="C219" s="8">
        <v>14928</v>
      </c>
      <c r="D219" s="9">
        <v>463358702</v>
      </c>
      <c r="E219" s="57">
        <v>100</v>
      </c>
      <c r="F219" s="10" t="s">
        <v>211</v>
      </c>
      <c r="G219" s="88">
        <v>0</v>
      </c>
      <c r="H219" s="70">
        <f t="shared" si="15"/>
        <v>0</v>
      </c>
      <c r="I219" s="11">
        <f t="shared" ca="1" si="16"/>
        <v>46120</v>
      </c>
      <c r="J219" s="11">
        <f t="shared" ca="1" si="1"/>
        <v>46118</v>
      </c>
      <c r="K219" s="13"/>
    </row>
    <row r="220" spans="1:11" ht="18" x14ac:dyDescent="0.4">
      <c r="A220" s="7" t="s">
        <v>98</v>
      </c>
      <c r="B220" s="85" t="s">
        <v>207</v>
      </c>
      <c r="C220" s="8">
        <v>14928</v>
      </c>
      <c r="D220" s="9">
        <v>463564010</v>
      </c>
      <c r="E220" s="57">
        <v>100</v>
      </c>
      <c r="F220" s="10" t="s">
        <v>212</v>
      </c>
      <c r="G220" s="88">
        <v>0</v>
      </c>
      <c r="H220" s="70">
        <f t="shared" si="15"/>
        <v>0</v>
      </c>
      <c r="I220" s="11">
        <f t="shared" ca="1" si="16"/>
        <v>46120</v>
      </c>
      <c r="J220" s="11">
        <f t="shared" ca="1" si="1"/>
        <v>46118</v>
      </c>
      <c r="K220" s="13"/>
    </row>
    <row r="221" spans="1:11" ht="18" x14ac:dyDescent="0.4">
      <c r="A221" s="7" t="s">
        <v>98</v>
      </c>
      <c r="B221" s="85" t="s">
        <v>207</v>
      </c>
      <c r="C221" s="8">
        <v>14928</v>
      </c>
      <c r="D221" s="9">
        <v>463383610</v>
      </c>
      <c r="E221" s="57">
        <v>40</v>
      </c>
      <c r="F221" s="10" t="s">
        <v>213</v>
      </c>
      <c r="G221" s="88">
        <v>0</v>
      </c>
      <c r="H221" s="70">
        <f t="shared" si="15"/>
        <v>0</v>
      </c>
      <c r="I221" s="11">
        <f t="shared" ca="1" si="16"/>
        <v>46120</v>
      </c>
      <c r="J221" s="11">
        <f t="shared" ca="1" si="1"/>
        <v>46118</v>
      </c>
      <c r="K221" s="13"/>
    </row>
    <row r="222" spans="1:11" ht="18" x14ac:dyDescent="0.4">
      <c r="A222" s="7" t="s">
        <v>98</v>
      </c>
      <c r="B222" s="85" t="s">
        <v>214</v>
      </c>
      <c r="C222" s="8">
        <v>21342</v>
      </c>
      <c r="D222" s="9">
        <v>463485520</v>
      </c>
      <c r="E222" s="57">
        <v>480</v>
      </c>
      <c r="F222" s="10" t="s">
        <v>215</v>
      </c>
      <c r="G222" s="88">
        <v>0</v>
      </c>
      <c r="H222" s="70">
        <f t="shared" si="15"/>
        <v>0</v>
      </c>
      <c r="I222" s="11">
        <f t="shared" ca="1" si="16"/>
        <v>46120</v>
      </c>
      <c r="J222" s="11">
        <f t="shared" ca="1" si="1"/>
        <v>46118</v>
      </c>
      <c r="K222" s="13"/>
    </row>
    <row r="223" spans="1:11" ht="18" x14ac:dyDescent="0.4">
      <c r="A223" s="7" t="s">
        <v>98</v>
      </c>
      <c r="B223" s="85" t="s">
        <v>214</v>
      </c>
      <c r="C223" s="8">
        <v>21342</v>
      </c>
      <c r="D223" s="9">
        <v>463496650</v>
      </c>
      <c r="E223" s="57">
        <v>25</v>
      </c>
      <c r="F223" s="10" t="s">
        <v>216</v>
      </c>
      <c r="G223" s="88">
        <v>0</v>
      </c>
      <c r="H223" s="70">
        <f t="shared" si="15"/>
        <v>0</v>
      </c>
      <c r="I223" s="11">
        <f t="shared" ca="1" si="16"/>
        <v>46120</v>
      </c>
      <c r="J223" s="11">
        <f t="shared" ca="1" si="1"/>
        <v>46118</v>
      </c>
      <c r="K223" s="13"/>
    </row>
    <row r="224" spans="1:11" ht="18" x14ac:dyDescent="0.4">
      <c r="A224" s="7" t="s">
        <v>98</v>
      </c>
      <c r="B224" s="85" t="s">
        <v>214</v>
      </c>
      <c r="C224" s="8">
        <v>21342</v>
      </c>
      <c r="D224" s="9">
        <v>463581750</v>
      </c>
      <c r="E224" s="57">
        <v>25</v>
      </c>
      <c r="F224" s="10" t="s">
        <v>216</v>
      </c>
      <c r="G224" s="88">
        <v>0</v>
      </c>
      <c r="H224" s="70">
        <f t="shared" si="15"/>
        <v>0</v>
      </c>
      <c r="I224" s="11">
        <f t="shared" ca="1" si="16"/>
        <v>46120</v>
      </c>
      <c r="J224" s="11">
        <f t="shared" ca="1" si="1"/>
        <v>46118</v>
      </c>
      <c r="K224" s="13"/>
    </row>
    <row r="225" spans="1:11" ht="18" x14ac:dyDescent="0.4">
      <c r="A225" s="7" t="s">
        <v>98</v>
      </c>
      <c r="B225" s="85" t="s">
        <v>214</v>
      </c>
      <c r="C225" s="8">
        <v>21342</v>
      </c>
      <c r="D225" s="9">
        <v>463491660</v>
      </c>
      <c r="E225" s="57">
        <v>300</v>
      </c>
      <c r="F225" s="10" t="s">
        <v>217</v>
      </c>
      <c r="G225" s="88">
        <v>0</v>
      </c>
      <c r="H225" s="70">
        <f t="shared" si="15"/>
        <v>0</v>
      </c>
      <c r="I225" s="11">
        <f t="shared" ca="1" si="16"/>
        <v>46120</v>
      </c>
      <c r="J225" s="11">
        <f t="shared" ca="1" si="1"/>
        <v>46118</v>
      </c>
      <c r="K225" s="13"/>
    </row>
    <row r="226" spans="1:11" ht="18" x14ac:dyDescent="0.4">
      <c r="A226" s="7" t="s">
        <v>98</v>
      </c>
      <c r="B226" s="85" t="s">
        <v>218</v>
      </c>
      <c r="C226" s="8">
        <v>23480</v>
      </c>
      <c r="D226" s="9">
        <v>552849890</v>
      </c>
      <c r="E226" s="57">
        <v>180</v>
      </c>
      <c r="F226" s="10" t="s">
        <v>219</v>
      </c>
      <c r="G226" s="88">
        <v>0</v>
      </c>
      <c r="H226" s="70">
        <f t="shared" si="15"/>
        <v>0</v>
      </c>
      <c r="I226" s="11">
        <f t="shared" ca="1" si="16"/>
        <v>46120</v>
      </c>
      <c r="J226" s="11">
        <f t="shared" ca="1" si="1"/>
        <v>46118</v>
      </c>
      <c r="K226" s="13"/>
    </row>
    <row r="227" spans="1:11" ht="18" x14ac:dyDescent="0.4">
      <c r="A227" s="7" t="s">
        <v>98</v>
      </c>
      <c r="B227" s="85" t="s">
        <v>218</v>
      </c>
      <c r="C227" s="8">
        <v>23480</v>
      </c>
      <c r="D227" s="9">
        <v>463357980</v>
      </c>
      <c r="E227" s="57">
        <v>1000</v>
      </c>
      <c r="F227" s="10" t="s">
        <v>712</v>
      </c>
      <c r="G227" s="88">
        <v>0</v>
      </c>
      <c r="H227" s="70">
        <f t="shared" si="15"/>
        <v>0</v>
      </c>
      <c r="I227" s="11">
        <f t="shared" ca="1" si="16"/>
        <v>46120</v>
      </c>
      <c r="J227" s="11">
        <f t="shared" ca="1" si="1"/>
        <v>46118</v>
      </c>
      <c r="K227" s="13"/>
    </row>
    <row r="228" spans="1:11" ht="18" x14ac:dyDescent="0.4">
      <c r="A228" s="7" t="s">
        <v>98</v>
      </c>
      <c r="B228" s="85" t="s">
        <v>218</v>
      </c>
      <c r="C228" s="8">
        <v>23480</v>
      </c>
      <c r="D228" s="9">
        <v>463482030</v>
      </c>
      <c r="E228" s="57">
        <v>200</v>
      </c>
      <c r="F228" s="10" t="s">
        <v>221</v>
      </c>
      <c r="G228" s="88">
        <v>0</v>
      </c>
      <c r="H228" s="70">
        <f t="shared" si="15"/>
        <v>0</v>
      </c>
      <c r="I228" s="11">
        <f t="shared" ca="1" si="16"/>
        <v>46120</v>
      </c>
      <c r="J228" s="11">
        <f t="shared" ca="1" si="1"/>
        <v>46118</v>
      </c>
      <c r="K228" s="13"/>
    </row>
    <row r="229" spans="1:11" ht="18" x14ac:dyDescent="0.4">
      <c r="A229" s="7" t="s">
        <v>98</v>
      </c>
      <c r="B229" s="85" t="s">
        <v>218</v>
      </c>
      <c r="C229" s="8">
        <v>23480</v>
      </c>
      <c r="D229" s="9">
        <v>144576860</v>
      </c>
      <c r="E229" s="57">
        <v>1500</v>
      </c>
      <c r="F229" s="10" t="s">
        <v>713</v>
      </c>
      <c r="G229" s="88">
        <v>0</v>
      </c>
      <c r="H229" s="70">
        <f t="shared" si="15"/>
        <v>0</v>
      </c>
      <c r="I229" s="11">
        <f t="shared" ca="1" si="16"/>
        <v>46120</v>
      </c>
      <c r="J229" s="11">
        <f t="shared" ca="1" si="1"/>
        <v>46118</v>
      </c>
      <c r="K229" s="13"/>
    </row>
    <row r="230" spans="1:11" ht="18" x14ac:dyDescent="0.4">
      <c r="A230" s="7" t="s">
        <v>98</v>
      </c>
      <c r="B230" s="85" t="s">
        <v>218</v>
      </c>
      <c r="C230" s="8">
        <v>23481</v>
      </c>
      <c r="D230" s="9">
        <v>463526250</v>
      </c>
      <c r="E230" s="57">
        <v>500</v>
      </c>
      <c r="F230" s="10" t="s">
        <v>224</v>
      </c>
      <c r="G230" s="88">
        <v>1500</v>
      </c>
      <c r="H230" s="70">
        <f t="shared" si="15"/>
        <v>3</v>
      </c>
      <c r="I230" s="11">
        <f t="shared" ca="1" si="16"/>
        <v>46120</v>
      </c>
      <c r="J230" s="11">
        <f t="shared" ca="1" si="1"/>
        <v>46118</v>
      </c>
      <c r="K230" s="13"/>
    </row>
    <row r="231" spans="1:11" ht="18" x14ac:dyDescent="0.4">
      <c r="A231" s="7" t="s">
        <v>98</v>
      </c>
      <c r="B231" s="85" t="s">
        <v>218</v>
      </c>
      <c r="C231" s="8">
        <v>23481</v>
      </c>
      <c r="D231" s="9">
        <v>463399250</v>
      </c>
      <c r="E231" s="57">
        <v>500</v>
      </c>
      <c r="F231" s="10" t="s">
        <v>224</v>
      </c>
      <c r="G231" s="88">
        <v>1500</v>
      </c>
      <c r="H231" s="70">
        <f t="shared" si="15"/>
        <v>3</v>
      </c>
      <c r="I231" s="11">
        <f t="shared" ca="1" si="16"/>
        <v>46120</v>
      </c>
      <c r="J231" s="11">
        <f t="shared" ca="1" si="1"/>
        <v>46118</v>
      </c>
      <c r="K231" s="13"/>
    </row>
    <row r="232" spans="1:11" ht="18" x14ac:dyDescent="0.4">
      <c r="A232" s="7" t="s">
        <v>98</v>
      </c>
      <c r="B232" s="85" t="s">
        <v>225</v>
      </c>
      <c r="C232" s="8">
        <v>27986</v>
      </c>
      <c r="D232" s="9">
        <v>463526190</v>
      </c>
      <c r="E232" s="57">
        <v>400</v>
      </c>
      <c r="F232" s="10" t="s">
        <v>226</v>
      </c>
      <c r="G232" s="88">
        <v>0</v>
      </c>
      <c r="H232" s="70">
        <f t="shared" si="15"/>
        <v>0</v>
      </c>
      <c r="I232" s="11">
        <f t="shared" ca="1" si="16"/>
        <v>46120</v>
      </c>
      <c r="J232" s="11">
        <f t="shared" ca="1" si="1"/>
        <v>46118</v>
      </c>
      <c r="K232" s="13"/>
    </row>
    <row r="233" spans="1:11" ht="18" x14ac:dyDescent="0.4">
      <c r="A233" s="7" t="s">
        <v>98</v>
      </c>
      <c r="B233" s="85" t="s">
        <v>225</v>
      </c>
      <c r="C233" s="8">
        <v>27986</v>
      </c>
      <c r="D233" s="9">
        <v>463524600</v>
      </c>
      <c r="E233" s="57">
        <v>500</v>
      </c>
      <c r="F233" s="10" t="s">
        <v>227</v>
      </c>
      <c r="G233" s="88">
        <v>0</v>
      </c>
      <c r="H233" s="70">
        <f t="shared" si="15"/>
        <v>0</v>
      </c>
      <c r="I233" s="11">
        <f t="shared" ca="1" si="16"/>
        <v>46120</v>
      </c>
      <c r="J233" s="11">
        <f t="shared" ca="1" si="1"/>
        <v>46118</v>
      </c>
      <c r="K233" s="13"/>
    </row>
    <row r="234" spans="1:11" ht="18" x14ac:dyDescent="0.4">
      <c r="A234" s="7" t="s">
        <v>98</v>
      </c>
      <c r="B234" s="85" t="s">
        <v>225</v>
      </c>
      <c r="C234" s="8">
        <v>27986</v>
      </c>
      <c r="D234" s="9">
        <v>552849810</v>
      </c>
      <c r="E234" s="57">
        <v>500</v>
      </c>
      <c r="F234" s="10" t="s">
        <v>228</v>
      </c>
      <c r="G234" s="88">
        <v>0</v>
      </c>
      <c r="H234" s="70">
        <f t="shared" si="15"/>
        <v>0</v>
      </c>
      <c r="I234" s="11">
        <f t="shared" ca="1" si="16"/>
        <v>46120</v>
      </c>
      <c r="J234" s="11">
        <f t="shared" ca="1" si="1"/>
        <v>46118</v>
      </c>
      <c r="K234" s="13"/>
    </row>
    <row r="235" spans="1:11" ht="18" x14ac:dyDescent="0.4">
      <c r="A235" s="7" t="s">
        <v>98</v>
      </c>
      <c r="B235" s="85" t="s">
        <v>225</v>
      </c>
      <c r="C235" s="8">
        <v>27986</v>
      </c>
      <c r="D235" s="9">
        <v>463355140</v>
      </c>
      <c r="E235" s="57">
        <v>500</v>
      </c>
      <c r="F235" s="10" t="s">
        <v>228</v>
      </c>
      <c r="G235" s="88">
        <v>0</v>
      </c>
      <c r="H235" s="70">
        <f t="shared" si="15"/>
        <v>0</v>
      </c>
      <c r="I235" s="11">
        <f t="shared" ca="1" si="16"/>
        <v>46120</v>
      </c>
      <c r="J235" s="11">
        <f t="shared" ca="1" si="1"/>
        <v>46118</v>
      </c>
      <c r="K235" s="13"/>
    </row>
    <row r="236" spans="1:11" ht="18" x14ac:dyDescent="0.4">
      <c r="A236" s="7" t="s">
        <v>98</v>
      </c>
      <c r="B236" s="85" t="s">
        <v>229</v>
      </c>
      <c r="C236" s="8">
        <v>32059</v>
      </c>
      <c r="D236" s="9">
        <v>552822590</v>
      </c>
      <c r="E236" s="57">
        <v>2800</v>
      </c>
      <c r="F236" s="10" t="s">
        <v>230</v>
      </c>
      <c r="G236" s="88">
        <v>0</v>
      </c>
      <c r="H236" s="70">
        <f t="shared" si="15"/>
        <v>0</v>
      </c>
      <c r="I236" s="11">
        <f t="shared" ca="1" si="16"/>
        <v>46120</v>
      </c>
      <c r="J236" s="11">
        <f t="shared" ca="1" si="1"/>
        <v>46118</v>
      </c>
      <c r="K236" s="13"/>
    </row>
    <row r="237" spans="1:11" ht="18" x14ac:dyDescent="0.4">
      <c r="A237" s="7" t="s">
        <v>98</v>
      </c>
      <c r="B237" s="85" t="s">
        <v>231</v>
      </c>
      <c r="C237" s="8">
        <v>32572</v>
      </c>
      <c r="D237" s="9">
        <v>552820870</v>
      </c>
      <c r="E237" s="57">
        <v>720</v>
      </c>
      <c r="F237" s="10" t="s">
        <v>232</v>
      </c>
      <c r="G237" s="88">
        <v>0</v>
      </c>
      <c r="H237" s="70">
        <f t="shared" si="15"/>
        <v>0</v>
      </c>
      <c r="I237" s="11">
        <f t="shared" ca="1" si="16"/>
        <v>46120</v>
      </c>
      <c r="J237" s="11">
        <f t="shared" ca="1" si="1"/>
        <v>46118</v>
      </c>
      <c r="K237" s="13"/>
    </row>
    <row r="238" spans="1:11" ht="18" x14ac:dyDescent="0.4">
      <c r="A238" s="7" t="s">
        <v>98</v>
      </c>
      <c r="B238" s="85" t="s">
        <v>714</v>
      </c>
      <c r="C238" s="8">
        <v>33518</v>
      </c>
      <c r="D238" s="9">
        <v>463496670</v>
      </c>
      <c r="E238" s="57">
        <v>48</v>
      </c>
      <c r="F238" s="10" t="s">
        <v>236</v>
      </c>
      <c r="G238" s="88">
        <v>0</v>
      </c>
      <c r="H238" s="70">
        <f t="shared" si="15"/>
        <v>0</v>
      </c>
      <c r="I238" s="11">
        <f t="shared" ca="1" si="16"/>
        <v>46120</v>
      </c>
      <c r="J238" s="11">
        <f t="shared" ca="1" si="1"/>
        <v>46118</v>
      </c>
      <c r="K238" s="13"/>
    </row>
    <row r="239" spans="1:11" ht="18" x14ac:dyDescent="0.4">
      <c r="A239" s="7" t="s">
        <v>98</v>
      </c>
      <c r="B239" s="85" t="s">
        <v>714</v>
      </c>
      <c r="C239" s="8">
        <v>33518</v>
      </c>
      <c r="D239" s="9">
        <v>463433880</v>
      </c>
      <c r="E239" s="57">
        <v>48</v>
      </c>
      <c r="F239" s="10" t="s">
        <v>237</v>
      </c>
      <c r="G239" s="88">
        <v>0</v>
      </c>
      <c r="H239" s="70">
        <f t="shared" si="15"/>
        <v>0</v>
      </c>
      <c r="I239" s="11">
        <f t="shared" ca="1" si="16"/>
        <v>46120</v>
      </c>
      <c r="J239" s="11">
        <f t="shared" ca="1" si="1"/>
        <v>46118</v>
      </c>
      <c r="K239" s="13"/>
    </row>
    <row r="240" spans="1:11" ht="18" x14ac:dyDescent="0.4">
      <c r="A240" s="7" t="s">
        <v>98</v>
      </c>
      <c r="B240" s="85" t="s">
        <v>715</v>
      </c>
      <c r="C240" s="8">
        <v>58696</v>
      </c>
      <c r="D240" s="9">
        <v>463495790</v>
      </c>
      <c r="E240" s="57">
        <v>1200</v>
      </c>
      <c r="F240" s="10" t="s">
        <v>239</v>
      </c>
      <c r="G240" s="88">
        <v>0</v>
      </c>
      <c r="H240" s="70">
        <f t="shared" si="15"/>
        <v>0</v>
      </c>
      <c r="I240" s="11">
        <f t="shared" ca="1" si="16"/>
        <v>46120</v>
      </c>
      <c r="J240" s="11">
        <f t="shared" ca="1" si="1"/>
        <v>46118</v>
      </c>
      <c r="K240" s="13"/>
    </row>
    <row r="241" spans="1:11" ht="18" x14ac:dyDescent="0.4">
      <c r="A241" s="7" t="s">
        <v>98</v>
      </c>
      <c r="B241" s="85" t="s">
        <v>697</v>
      </c>
      <c r="C241" s="8">
        <v>47104</v>
      </c>
      <c r="D241" s="9">
        <v>552840970</v>
      </c>
      <c r="E241" s="57">
        <v>240</v>
      </c>
      <c r="F241" s="10" t="s">
        <v>240</v>
      </c>
      <c r="G241" s="88">
        <v>0</v>
      </c>
      <c r="H241" s="70">
        <f t="shared" si="15"/>
        <v>0</v>
      </c>
      <c r="I241" s="11">
        <f t="shared" ca="1" si="16"/>
        <v>46120</v>
      </c>
      <c r="J241" s="11">
        <f t="shared" ca="1" si="1"/>
        <v>46118</v>
      </c>
      <c r="K241" s="13"/>
    </row>
    <row r="242" spans="1:11" ht="18" x14ac:dyDescent="0.4">
      <c r="A242" s="7" t="s">
        <v>98</v>
      </c>
      <c r="B242" s="85" t="s">
        <v>697</v>
      </c>
      <c r="C242" s="8">
        <v>47104</v>
      </c>
      <c r="D242" s="9">
        <v>552840960</v>
      </c>
      <c r="E242" s="57">
        <v>240</v>
      </c>
      <c r="F242" s="10" t="s">
        <v>241</v>
      </c>
      <c r="G242" s="88">
        <v>0</v>
      </c>
      <c r="H242" s="70">
        <f t="shared" si="15"/>
        <v>0</v>
      </c>
      <c r="I242" s="11">
        <f t="shared" ca="1" si="16"/>
        <v>46120</v>
      </c>
      <c r="J242" s="11">
        <f t="shared" ca="1" si="1"/>
        <v>46118</v>
      </c>
      <c r="K242" s="13"/>
    </row>
    <row r="243" spans="1:11" ht="18" x14ac:dyDescent="0.4">
      <c r="A243" s="7" t="s">
        <v>98</v>
      </c>
      <c r="B243" s="85" t="s">
        <v>722</v>
      </c>
      <c r="C243" s="8">
        <v>47850</v>
      </c>
      <c r="D243" s="61">
        <v>463603200</v>
      </c>
      <c r="E243" s="57">
        <v>80</v>
      </c>
      <c r="F243" s="10" t="s">
        <v>723</v>
      </c>
      <c r="G243" s="88">
        <v>0</v>
      </c>
      <c r="H243" s="70">
        <f t="shared" si="15"/>
        <v>0</v>
      </c>
      <c r="I243" s="11">
        <f t="shared" ca="1" si="16"/>
        <v>46120</v>
      </c>
      <c r="J243" s="11">
        <f t="shared" ref="J243" ca="1" si="17">TODAY()</f>
        <v>46118</v>
      </c>
      <c r="K243" s="13"/>
    </row>
    <row r="244" spans="1:11" ht="18" x14ac:dyDescent="0.4">
      <c r="A244" s="7" t="s">
        <v>98</v>
      </c>
      <c r="B244" s="85" t="s">
        <v>716</v>
      </c>
      <c r="C244" s="8">
        <v>35657</v>
      </c>
      <c r="D244" s="9">
        <v>463370940</v>
      </c>
      <c r="E244" s="57">
        <v>500</v>
      </c>
      <c r="F244" s="10" t="s">
        <v>243</v>
      </c>
      <c r="G244" s="88">
        <v>0</v>
      </c>
      <c r="H244" s="70">
        <f t="shared" si="15"/>
        <v>0</v>
      </c>
      <c r="I244" s="11">
        <f ca="1">I242</f>
        <v>46120</v>
      </c>
      <c r="J244" s="11">
        <f t="shared" ca="1" si="1"/>
        <v>46118</v>
      </c>
      <c r="K244" s="13"/>
    </row>
    <row r="245" spans="1:11" ht="18" x14ac:dyDescent="0.4">
      <c r="A245" s="7" t="s">
        <v>98</v>
      </c>
      <c r="B245" s="85" t="s">
        <v>716</v>
      </c>
      <c r="C245" s="8">
        <v>35657</v>
      </c>
      <c r="D245" s="9">
        <v>463488490</v>
      </c>
      <c r="E245" s="57">
        <v>500</v>
      </c>
      <c r="F245" s="10" t="s">
        <v>243</v>
      </c>
      <c r="G245" s="88">
        <v>0</v>
      </c>
      <c r="H245" s="70">
        <f t="shared" si="15"/>
        <v>0</v>
      </c>
      <c r="I245" s="11">
        <f t="shared" ca="1" si="16"/>
        <v>46120</v>
      </c>
      <c r="J245" s="11">
        <f t="shared" ca="1" si="1"/>
        <v>46118</v>
      </c>
      <c r="K245" s="13"/>
    </row>
    <row r="246" spans="1:11" ht="18" x14ac:dyDescent="0.4">
      <c r="A246" s="7" t="s">
        <v>98</v>
      </c>
      <c r="B246" s="85" t="s">
        <v>244</v>
      </c>
      <c r="C246" s="8">
        <v>40840</v>
      </c>
      <c r="D246" s="9">
        <v>552822730</v>
      </c>
      <c r="E246" s="57">
        <v>750</v>
      </c>
      <c r="F246" s="10" t="s">
        <v>245</v>
      </c>
      <c r="G246" s="88">
        <v>0</v>
      </c>
      <c r="H246" s="70">
        <f t="shared" si="15"/>
        <v>0</v>
      </c>
      <c r="I246" s="11">
        <f t="shared" ca="1" si="16"/>
        <v>46120</v>
      </c>
      <c r="J246" s="11">
        <f t="shared" ca="1" si="1"/>
        <v>46118</v>
      </c>
      <c r="K246" s="13"/>
    </row>
    <row r="247" spans="1:11" ht="18" x14ac:dyDescent="0.4">
      <c r="A247" s="7" t="s">
        <v>98</v>
      </c>
      <c r="B247" s="85" t="s">
        <v>244</v>
      </c>
      <c r="C247" s="8">
        <v>40840</v>
      </c>
      <c r="D247" s="9">
        <v>552822450</v>
      </c>
      <c r="E247" s="57">
        <v>700</v>
      </c>
      <c r="F247" s="10" t="s">
        <v>717</v>
      </c>
      <c r="G247" s="88">
        <v>0</v>
      </c>
      <c r="H247" s="70">
        <f t="shared" si="15"/>
        <v>0</v>
      </c>
      <c r="I247" s="11">
        <f t="shared" ca="1" si="16"/>
        <v>46120</v>
      </c>
      <c r="J247" s="11">
        <f t="shared" ca="1" si="1"/>
        <v>46118</v>
      </c>
      <c r="K247" s="13"/>
    </row>
    <row r="248" spans="1:11" ht="18" x14ac:dyDescent="0.4">
      <c r="A248" s="7" t="s">
        <v>98</v>
      </c>
      <c r="B248" s="85" t="s">
        <v>244</v>
      </c>
      <c r="C248" s="8">
        <v>40840</v>
      </c>
      <c r="D248" s="9">
        <v>552822810</v>
      </c>
      <c r="E248" s="57">
        <v>400</v>
      </c>
      <c r="F248" s="10" t="s">
        <v>247</v>
      </c>
      <c r="G248" s="88">
        <v>0</v>
      </c>
      <c r="H248" s="70">
        <f t="shared" si="15"/>
        <v>0</v>
      </c>
      <c r="I248" s="11">
        <f t="shared" ca="1" si="16"/>
        <v>46120</v>
      </c>
      <c r="J248" s="11">
        <f t="shared" ca="1" si="1"/>
        <v>46118</v>
      </c>
      <c r="K248" s="13"/>
    </row>
    <row r="249" spans="1:11" ht="18" x14ac:dyDescent="0.4">
      <c r="A249" s="7" t="s">
        <v>98</v>
      </c>
      <c r="B249" s="85" t="s">
        <v>244</v>
      </c>
      <c r="C249" s="8">
        <v>40840</v>
      </c>
      <c r="D249" s="9">
        <v>463384870</v>
      </c>
      <c r="E249" s="57">
        <v>500</v>
      </c>
      <c r="F249" s="10" t="s">
        <v>718</v>
      </c>
      <c r="G249" s="88">
        <v>0</v>
      </c>
      <c r="H249" s="70">
        <f t="shared" si="15"/>
        <v>0</v>
      </c>
      <c r="I249" s="11">
        <f t="shared" ca="1" si="16"/>
        <v>46120</v>
      </c>
      <c r="J249" s="11">
        <f t="shared" ca="1" si="1"/>
        <v>46118</v>
      </c>
      <c r="K249" s="13"/>
    </row>
    <row r="250" spans="1:11" ht="18" x14ac:dyDescent="0.4">
      <c r="A250" s="32" t="s">
        <v>98</v>
      </c>
      <c r="B250" s="87" t="s">
        <v>244</v>
      </c>
      <c r="C250" s="33">
        <v>40840</v>
      </c>
      <c r="D250" s="34">
        <v>162970240</v>
      </c>
      <c r="E250" s="62">
        <v>250</v>
      </c>
      <c r="F250" s="35" t="s">
        <v>196</v>
      </c>
      <c r="G250" s="88">
        <v>0</v>
      </c>
      <c r="H250" s="70">
        <f t="shared" si="15"/>
        <v>0</v>
      </c>
      <c r="I250" s="11">
        <f t="shared" ca="1" si="16"/>
        <v>46120</v>
      </c>
      <c r="J250" s="11">
        <f t="shared" ca="1" si="1"/>
        <v>46118</v>
      </c>
      <c r="K250" s="13"/>
    </row>
    <row r="251" spans="1:11" ht="18" x14ac:dyDescent="0.4">
      <c r="A251" s="7" t="s">
        <v>0</v>
      </c>
      <c r="B251" s="60" t="s">
        <v>248</v>
      </c>
      <c r="C251" s="57">
        <v>72958</v>
      </c>
      <c r="D251" s="70">
        <v>463526030</v>
      </c>
      <c r="E251" s="57">
        <v>120</v>
      </c>
      <c r="F251" s="71" t="s">
        <v>249</v>
      </c>
      <c r="G251" s="91">
        <v>0</v>
      </c>
      <c r="H251" s="70">
        <f t="shared" si="15"/>
        <v>0</v>
      </c>
      <c r="I251" s="53">
        <f ca="1">I250</f>
        <v>46120</v>
      </c>
      <c r="J251" s="53">
        <f t="shared" ca="1" si="1"/>
        <v>46118</v>
      </c>
      <c r="K251" s="21"/>
    </row>
    <row r="252" spans="1:11" ht="18" x14ac:dyDescent="0.4">
      <c r="A252" s="7" t="s">
        <v>0</v>
      </c>
      <c r="B252" s="60" t="s">
        <v>248</v>
      </c>
      <c r="C252" s="57">
        <v>72958</v>
      </c>
      <c r="D252" s="70">
        <v>463523670</v>
      </c>
      <c r="E252" s="57">
        <v>120</v>
      </c>
      <c r="F252" s="71" t="s">
        <v>249</v>
      </c>
      <c r="G252" s="61">
        <v>0</v>
      </c>
      <c r="H252" s="70">
        <f t="shared" si="15"/>
        <v>0</v>
      </c>
      <c r="I252" s="53">
        <f t="shared" ref="I252:I315" ca="1" si="18">I251</f>
        <v>46120</v>
      </c>
      <c r="J252" s="53">
        <f t="shared" ca="1" si="1"/>
        <v>46118</v>
      </c>
      <c r="K252" s="21"/>
    </row>
    <row r="253" spans="1:11" ht="18" x14ac:dyDescent="0.4">
      <c r="A253" s="7" t="s">
        <v>0</v>
      </c>
      <c r="B253" s="60" t="s">
        <v>248</v>
      </c>
      <c r="C253" s="57">
        <v>72958</v>
      </c>
      <c r="D253" s="70">
        <v>463523680</v>
      </c>
      <c r="E253" s="57">
        <v>120</v>
      </c>
      <c r="F253" s="71" t="s">
        <v>249</v>
      </c>
      <c r="G253" s="61">
        <v>0</v>
      </c>
      <c r="H253" s="70">
        <f t="shared" si="15"/>
        <v>0</v>
      </c>
      <c r="I253" s="53">
        <f t="shared" ca="1" si="18"/>
        <v>46120</v>
      </c>
      <c r="J253" s="53">
        <f t="shared" ca="1" si="1"/>
        <v>46118</v>
      </c>
      <c r="K253" s="21"/>
    </row>
    <row r="254" spans="1:11" ht="18" x14ac:dyDescent="0.4">
      <c r="A254" s="7" t="s">
        <v>0</v>
      </c>
      <c r="B254" s="60" t="s">
        <v>248</v>
      </c>
      <c r="C254" s="57">
        <v>72958</v>
      </c>
      <c r="D254" s="70">
        <v>463524370</v>
      </c>
      <c r="E254" s="57">
        <v>120</v>
      </c>
      <c r="F254" s="71" t="s">
        <v>249</v>
      </c>
      <c r="G254" s="61">
        <v>0</v>
      </c>
      <c r="H254" s="70">
        <f t="shared" si="15"/>
        <v>0</v>
      </c>
      <c r="I254" s="53">
        <f t="shared" ca="1" si="18"/>
        <v>46120</v>
      </c>
      <c r="J254" s="53">
        <f t="shared" ca="1" si="1"/>
        <v>46118</v>
      </c>
      <c r="K254" s="7"/>
    </row>
    <row r="255" spans="1:11" ht="18" x14ac:dyDescent="0.4">
      <c r="A255" s="7" t="s">
        <v>0</v>
      </c>
      <c r="B255" s="60" t="s">
        <v>248</v>
      </c>
      <c r="C255" s="57">
        <v>72958</v>
      </c>
      <c r="D255" s="70">
        <v>463524380</v>
      </c>
      <c r="E255" s="57">
        <v>120</v>
      </c>
      <c r="F255" s="71" t="s">
        <v>249</v>
      </c>
      <c r="G255" s="61">
        <v>0</v>
      </c>
      <c r="H255" s="70">
        <f t="shared" si="15"/>
        <v>0</v>
      </c>
      <c r="I255" s="53">
        <f t="shared" ca="1" si="18"/>
        <v>46120</v>
      </c>
      <c r="J255" s="53">
        <f t="shared" ca="1" si="1"/>
        <v>46118</v>
      </c>
      <c r="K255" s="7"/>
    </row>
    <row r="256" spans="1:11" ht="18" x14ac:dyDescent="0.4">
      <c r="A256" s="7" t="s">
        <v>0</v>
      </c>
      <c r="B256" s="60" t="s">
        <v>250</v>
      </c>
      <c r="C256" s="57">
        <v>37866</v>
      </c>
      <c r="D256" s="70">
        <v>463453590</v>
      </c>
      <c r="E256" s="57">
        <v>120</v>
      </c>
      <c r="F256" s="71" t="s">
        <v>249</v>
      </c>
      <c r="G256" s="61">
        <v>0</v>
      </c>
      <c r="H256" s="70">
        <f t="shared" si="15"/>
        <v>0</v>
      </c>
      <c r="I256" s="53">
        <f t="shared" ca="1" si="18"/>
        <v>46120</v>
      </c>
      <c r="J256" s="53">
        <f t="shared" ca="1" si="1"/>
        <v>46118</v>
      </c>
      <c r="K256" s="21"/>
    </row>
    <row r="257" spans="1:11" ht="18" x14ac:dyDescent="0.4">
      <c r="A257" s="7" t="s">
        <v>0</v>
      </c>
      <c r="B257" s="81" t="s">
        <v>250</v>
      </c>
      <c r="C257" s="57">
        <v>37866</v>
      </c>
      <c r="D257" s="70">
        <v>463453600</v>
      </c>
      <c r="E257" s="57">
        <v>120</v>
      </c>
      <c r="F257" s="71" t="s">
        <v>251</v>
      </c>
      <c r="G257" s="61">
        <v>0</v>
      </c>
      <c r="H257" s="70">
        <f t="shared" si="15"/>
        <v>0</v>
      </c>
      <c r="I257" s="53">
        <f t="shared" ca="1" si="18"/>
        <v>46120</v>
      </c>
      <c r="J257" s="53">
        <f t="shared" ca="1" si="1"/>
        <v>46118</v>
      </c>
      <c r="K257" s="21"/>
    </row>
    <row r="258" spans="1:11" ht="18" x14ac:dyDescent="0.4">
      <c r="A258" s="7" t="s">
        <v>0</v>
      </c>
      <c r="B258" s="81" t="s">
        <v>250</v>
      </c>
      <c r="C258" s="57">
        <v>37866</v>
      </c>
      <c r="D258" s="70">
        <v>463453610</v>
      </c>
      <c r="E258" s="57">
        <v>120</v>
      </c>
      <c r="F258" s="71" t="s">
        <v>252</v>
      </c>
      <c r="G258" s="61">
        <v>0</v>
      </c>
      <c r="H258" s="70">
        <f t="shared" si="15"/>
        <v>0</v>
      </c>
      <c r="I258" s="53">
        <f t="shared" ca="1" si="18"/>
        <v>46120</v>
      </c>
      <c r="J258" s="53">
        <f t="shared" ca="1" si="1"/>
        <v>46118</v>
      </c>
      <c r="K258" s="21"/>
    </row>
    <row r="259" spans="1:11" ht="18" x14ac:dyDescent="0.4">
      <c r="A259" s="7" t="s">
        <v>0</v>
      </c>
      <c r="B259" s="81" t="s">
        <v>250</v>
      </c>
      <c r="C259" s="57">
        <v>37866</v>
      </c>
      <c r="D259" s="70">
        <v>463453620</v>
      </c>
      <c r="E259" s="57">
        <v>120</v>
      </c>
      <c r="F259" s="71" t="s">
        <v>253</v>
      </c>
      <c r="G259" s="61">
        <v>0</v>
      </c>
      <c r="H259" s="70">
        <f t="shared" si="15"/>
        <v>0</v>
      </c>
      <c r="I259" s="53">
        <f t="shared" ca="1" si="18"/>
        <v>46120</v>
      </c>
      <c r="J259" s="53">
        <f t="shared" ca="1" si="1"/>
        <v>46118</v>
      </c>
      <c r="K259" s="21"/>
    </row>
    <row r="260" spans="1:11" ht="18" x14ac:dyDescent="0.4">
      <c r="A260" s="7" t="s">
        <v>0</v>
      </c>
      <c r="B260" s="81" t="s">
        <v>250</v>
      </c>
      <c r="C260" s="57">
        <v>37866</v>
      </c>
      <c r="D260" s="70">
        <v>463453580</v>
      </c>
      <c r="E260" s="57">
        <v>120</v>
      </c>
      <c r="F260" s="71" t="s">
        <v>249</v>
      </c>
      <c r="G260" s="61">
        <v>0</v>
      </c>
      <c r="H260" s="70">
        <f t="shared" si="15"/>
        <v>0</v>
      </c>
      <c r="I260" s="53">
        <f t="shared" ca="1" si="18"/>
        <v>46120</v>
      </c>
      <c r="J260" s="53">
        <f t="shared" ca="1" si="1"/>
        <v>46118</v>
      </c>
      <c r="K260" s="7"/>
    </row>
    <row r="261" spans="1:11" ht="18" x14ac:dyDescent="0.4">
      <c r="A261" s="7" t="s">
        <v>0</v>
      </c>
      <c r="B261" s="81" t="s">
        <v>250</v>
      </c>
      <c r="C261" s="57">
        <v>37866</v>
      </c>
      <c r="D261" s="70">
        <v>463453570</v>
      </c>
      <c r="E261" s="57">
        <v>120</v>
      </c>
      <c r="F261" s="71" t="s">
        <v>249</v>
      </c>
      <c r="G261" s="61">
        <v>0</v>
      </c>
      <c r="H261" s="70">
        <f t="shared" si="15"/>
        <v>0</v>
      </c>
      <c r="I261" s="53">
        <f t="shared" ca="1" si="18"/>
        <v>46120</v>
      </c>
      <c r="J261" s="53">
        <f t="shared" ca="1" si="1"/>
        <v>46118</v>
      </c>
      <c r="K261" s="21"/>
    </row>
    <row r="262" spans="1:11" ht="18" x14ac:dyDescent="0.4">
      <c r="A262" s="7" t="s">
        <v>0</v>
      </c>
      <c r="B262" s="81" t="s">
        <v>250</v>
      </c>
      <c r="C262" s="57">
        <v>37866</v>
      </c>
      <c r="D262" s="70">
        <v>463522020</v>
      </c>
      <c r="E262" s="57">
        <v>120</v>
      </c>
      <c r="F262" s="71" t="s">
        <v>249</v>
      </c>
      <c r="G262" s="61">
        <v>0</v>
      </c>
      <c r="H262" s="70">
        <f t="shared" si="15"/>
        <v>0</v>
      </c>
      <c r="I262" s="53">
        <f t="shared" ca="1" si="18"/>
        <v>46120</v>
      </c>
      <c r="J262" s="53">
        <f t="shared" ca="1" si="1"/>
        <v>46118</v>
      </c>
      <c r="K262" s="21"/>
    </row>
    <row r="263" spans="1:11" ht="18" x14ac:dyDescent="0.4">
      <c r="A263" s="7" t="s">
        <v>0</v>
      </c>
      <c r="B263" s="81" t="s">
        <v>250</v>
      </c>
      <c r="C263" s="57">
        <v>37866</v>
      </c>
      <c r="D263" s="70">
        <v>463522030</v>
      </c>
      <c r="E263" s="57">
        <v>120</v>
      </c>
      <c r="F263" s="71" t="s">
        <v>249</v>
      </c>
      <c r="G263" s="61">
        <v>0</v>
      </c>
      <c r="H263" s="70">
        <f t="shared" si="15"/>
        <v>0</v>
      </c>
      <c r="I263" s="53">
        <f t="shared" ca="1" si="18"/>
        <v>46120</v>
      </c>
      <c r="J263" s="53">
        <f t="shared" ca="1" si="1"/>
        <v>46118</v>
      </c>
      <c r="K263" s="7"/>
    </row>
    <row r="264" spans="1:11" ht="18" x14ac:dyDescent="0.4">
      <c r="A264" s="7" t="s">
        <v>0</v>
      </c>
      <c r="B264" s="81" t="s">
        <v>254</v>
      </c>
      <c r="C264" s="57">
        <v>1097</v>
      </c>
      <c r="D264" s="70">
        <v>552172560</v>
      </c>
      <c r="E264" s="57">
        <v>32</v>
      </c>
      <c r="F264" s="71" t="s">
        <v>255</v>
      </c>
      <c r="G264" s="61">
        <v>0</v>
      </c>
      <c r="H264" s="70">
        <f t="shared" si="15"/>
        <v>0</v>
      </c>
      <c r="I264" s="53">
        <f t="shared" ca="1" si="18"/>
        <v>46120</v>
      </c>
      <c r="J264" s="53">
        <f t="shared" ref="J264:J511" ca="1" si="19">TODAY()</f>
        <v>46118</v>
      </c>
      <c r="K264" s="21"/>
    </row>
    <row r="265" spans="1:11" ht="18" x14ac:dyDescent="0.4">
      <c r="A265" s="7" t="s">
        <v>0</v>
      </c>
      <c r="B265" s="60" t="s">
        <v>254</v>
      </c>
      <c r="C265" s="57">
        <v>1097</v>
      </c>
      <c r="D265" s="70">
        <v>552172570</v>
      </c>
      <c r="E265" s="57">
        <v>32</v>
      </c>
      <c r="F265" s="71" t="s">
        <v>256</v>
      </c>
      <c r="G265" s="61">
        <v>0</v>
      </c>
      <c r="H265" s="70">
        <f t="shared" si="15"/>
        <v>0</v>
      </c>
      <c r="I265" s="53">
        <f ca="1">I264</f>
        <v>46120</v>
      </c>
      <c r="J265" s="53">
        <f t="shared" ca="1" si="19"/>
        <v>46118</v>
      </c>
      <c r="K265" s="21"/>
    </row>
    <row r="266" spans="1:11" ht="18" x14ac:dyDescent="0.4">
      <c r="A266" s="7" t="s">
        <v>0</v>
      </c>
      <c r="B266" s="60" t="s">
        <v>254</v>
      </c>
      <c r="C266" s="57">
        <v>1097</v>
      </c>
      <c r="D266" s="70">
        <v>463497420</v>
      </c>
      <c r="E266" s="57">
        <v>32</v>
      </c>
      <c r="F266" s="71" t="s">
        <v>257</v>
      </c>
      <c r="G266" s="61">
        <v>0</v>
      </c>
      <c r="H266" s="70">
        <f t="shared" ref="H266:H329" si="20">+G266/E266</f>
        <v>0</v>
      </c>
      <c r="I266" s="53">
        <f t="shared" ca="1" si="18"/>
        <v>46120</v>
      </c>
      <c r="J266" s="53">
        <f t="shared" ca="1" si="19"/>
        <v>46118</v>
      </c>
      <c r="K266" s="21"/>
    </row>
    <row r="267" spans="1:11" ht="18" x14ac:dyDescent="0.4">
      <c r="A267" s="7" t="s">
        <v>0</v>
      </c>
      <c r="B267" s="60" t="s">
        <v>254</v>
      </c>
      <c r="C267" s="57">
        <v>1097</v>
      </c>
      <c r="D267" s="70">
        <v>463497440</v>
      </c>
      <c r="E267" s="57">
        <v>32</v>
      </c>
      <c r="F267" s="71" t="s">
        <v>258</v>
      </c>
      <c r="G267" s="61">
        <v>0</v>
      </c>
      <c r="H267" s="70">
        <f t="shared" si="20"/>
        <v>0</v>
      </c>
      <c r="I267" s="53">
        <f t="shared" ca="1" si="18"/>
        <v>46120</v>
      </c>
      <c r="J267" s="53">
        <f t="shared" ca="1" si="19"/>
        <v>46118</v>
      </c>
      <c r="K267" s="21"/>
    </row>
    <row r="268" spans="1:11" ht="18" x14ac:dyDescent="0.4">
      <c r="A268" s="7" t="s">
        <v>0</v>
      </c>
      <c r="B268" s="60" t="s">
        <v>254</v>
      </c>
      <c r="C268" s="57">
        <v>1097</v>
      </c>
      <c r="D268" s="70">
        <v>552168990</v>
      </c>
      <c r="E268" s="57">
        <v>32</v>
      </c>
      <c r="F268" s="71" t="s">
        <v>257</v>
      </c>
      <c r="G268" s="61">
        <v>0</v>
      </c>
      <c r="H268" s="70">
        <f t="shared" si="20"/>
        <v>0</v>
      </c>
      <c r="I268" s="53">
        <f t="shared" ca="1" si="18"/>
        <v>46120</v>
      </c>
      <c r="J268" s="53">
        <f t="shared" ca="1" si="19"/>
        <v>46118</v>
      </c>
      <c r="K268" s="21"/>
    </row>
    <row r="269" spans="1:11" ht="18" x14ac:dyDescent="0.4">
      <c r="A269" s="7" t="s">
        <v>0</v>
      </c>
      <c r="B269" s="60" t="s">
        <v>254</v>
      </c>
      <c r="C269" s="57">
        <v>1097</v>
      </c>
      <c r="D269" s="70">
        <v>463478520</v>
      </c>
      <c r="E269" s="57">
        <v>32</v>
      </c>
      <c r="F269" s="71" t="s">
        <v>259</v>
      </c>
      <c r="G269" s="61">
        <v>0</v>
      </c>
      <c r="H269" s="70">
        <f t="shared" si="20"/>
        <v>0</v>
      </c>
      <c r="I269" s="53">
        <f t="shared" ca="1" si="18"/>
        <v>46120</v>
      </c>
      <c r="J269" s="53">
        <f t="shared" ca="1" si="19"/>
        <v>46118</v>
      </c>
      <c r="K269" s="21"/>
    </row>
    <row r="270" spans="1:11" ht="18" x14ac:dyDescent="0.4">
      <c r="A270" s="7" t="s">
        <v>0</v>
      </c>
      <c r="B270" s="60" t="s">
        <v>254</v>
      </c>
      <c r="C270" s="57">
        <v>1097</v>
      </c>
      <c r="D270" s="70">
        <v>463478480</v>
      </c>
      <c r="E270" s="57">
        <v>32</v>
      </c>
      <c r="F270" s="71" t="s">
        <v>260</v>
      </c>
      <c r="G270" s="61">
        <v>0</v>
      </c>
      <c r="H270" s="70">
        <f t="shared" si="20"/>
        <v>0</v>
      </c>
      <c r="I270" s="53">
        <f t="shared" ca="1" si="18"/>
        <v>46120</v>
      </c>
      <c r="J270" s="53">
        <f t="shared" ca="1" si="19"/>
        <v>46118</v>
      </c>
      <c r="K270" s="21"/>
    </row>
    <row r="271" spans="1:11" ht="18" x14ac:dyDescent="0.4">
      <c r="A271" s="7" t="s">
        <v>0</v>
      </c>
      <c r="B271" s="60" t="s">
        <v>254</v>
      </c>
      <c r="C271" s="57">
        <v>1097</v>
      </c>
      <c r="D271" s="70">
        <v>463478560</v>
      </c>
      <c r="E271" s="57">
        <v>32</v>
      </c>
      <c r="F271" s="71" t="s">
        <v>261</v>
      </c>
      <c r="G271" s="61">
        <v>0</v>
      </c>
      <c r="H271" s="70">
        <f t="shared" si="20"/>
        <v>0</v>
      </c>
      <c r="I271" s="53">
        <f t="shared" ca="1" si="18"/>
        <v>46120</v>
      </c>
      <c r="J271" s="53">
        <f t="shared" ca="1" si="19"/>
        <v>46118</v>
      </c>
      <c r="K271" s="21"/>
    </row>
    <row r="272" spans="1:11" ht="18" x14ac:dyDescent="0.4">
      <c r="A272" s="7" t="s">
        <v>0</v>
      </c>
      <c r="B272" s="60" t="s">
        <v>254</v>
      </c>
      <c r="C272" s="57">
        <v>1097</v>
      </c>
      <c r="D272" s="70">
        <v>463478590</v>
      </c>
      <c r="E272" s="57">
        <v>32</v>
      </c>
      <c r="F272" s="71" t="s">
        <v>262</v>
      </c>
      <c r="G272" s="61">
        <v>0</v>
      </c>
      <c r="H272" s="70">
        <f t="shared" si="20"/>
        <v>0</v>
      </c>
      <c r="I272" s="53">
        <f t="shared" ca="1" si="18"/>
        <v>46120</v>
      </c>
      <c r="J272" s="53">
        <f t="shared" ca="1" si="19"/>
        <v>46118</v>
      </c>
      <c r="K272" s="7"/>
    </row>
    <row r="273" spans="1:11" ht="18" x14ac:dyDescent="0.4">
      <c r="A273" s="7" t="s">
        <v>0</v>
      </c>
      <c r="B273" s="60" t="s">
        <v>254</v>
      </c>
      <c r="C273" s="57">
        <v>1097</v>
      </c>
      <c r="D273" s="70">
        <v>463526890</v>
      </c>
      <c r="E273" s="57">
        <v>32</v>
      </c>
      <c r="F273" s="71" t="s">
        <v>263</v>
      </c>
      <c r="G273" s="61">
        <v>0</v>
      </c>
      <c r="H273" s="70">
        <f t="shared" si="20"/>
        <v>0</v>
      </c>
      <c r="I273" s="53">
        <f t="shared" ca="1" si="18"/>
        <v>46120</v>
      </c>
      <c r="J273" s="53">
        <f t="shared" ca="1" si="19"/>
        <v>46118</v>
      </c>
      <c r="K273" s="7"/>
    </row>
    <row r="274" spans="1:11" ht="18" x14ac:dyDescent="0.4">
      <c r="A274" s="7" t="s">
        <v>0</v>
      </c>
      <c r="B274" s="60" t="s">
        <v>254</v>
      </c>
      <c r="C274" s="57">
        <v>1097</v>
      </c>
      <c r="D274" s="70">
        <v>463534080</v>
      </c>
      <c r="E274" s="57">
        <v>32</v>
      </c>
      <c r="F274" s="71" t="s">
        <v>263</v>
      </c>
      <c r="G274" s="61">
        <v>0</v>
      </c>
      <c r="H274" s="70">
        <f t="shared" si="20"/>
        <v>0</v>
      </c>
      <c r="I274" s="53">
        <f t="shared" ca="1" si="18"/>
        <v>46120</v>
      </c>
      <c r="J274" s="53">
        <f t="shared" ca="1" si="19"/>
        <v>46118</v>
      </c>
      <c r="K274" s="21"/>
    </row>
    <row r="275" spans="1:11" ht="18" x14ac:dyDescent="0.4">
      <c r="A275" s="7" t="s">
        <v>0</v>
      </c>
      <c r="B275" s="60" t="s">
        <v>264</v>
      </c>
      <c r="C275" s="7">
        <v>39667</v>
      </c>
      <c r="D275" s="9">
        <v>552809780</v>
      </c>
      <c r="E275" s="7">
        <v>360</v>
      </c>
      <c r="F275" s="19" t="s">
        <v>265</v>
      </c>
      <c r="G275" s="61">
        <v>0</v>
      </c>
      <c r="H275" s="70">
        <f t="shared" si="20"/>
        <v>0</v>
      </c>
      <c r="I275" s="53">
        <f t="shared" ca="1" si="18"/>
        <v>46120</v>
      </c>
      <c r="J275" s="53">
        <f t="shared" ca="1" si="19"/>
        <v>46118</v>
      </c>
      <c r="K275" s="21"/>
    </row>
    <row r="276" spans="1:11" ht="18" x14ac:dyDescent="0.4">
      <c r="A276" s="7" t="s">
        <v>0</v>
      </c>
      <c r="B276" s="81" t="s">
        <v>266</v>
      </c>
      <c r="C276" s="57">
        <v>35281</v>
      </c>
      <c r="D276" s="70">
        <v>521498190</v>
      </c>
      <c r="E276" s="57">
        <v>100</v>
      </c>
      <c r="F276" s="71" t="s">
        <v>267</v>
      </c>
      <c r="G276" s="61">
        <v>0</v>
      </c>
      <c r="H276" s="70">
        <f t="shared" si="20"/>
        <v>0</v>
      </c>
      <c r="I276" s="53">
        <f t="shared" ca="1" si="18"/>
        <v>46120</v>
      </c>
      <c r="J276" s="53">
        <f t="shared" ca="1" si="19"/>
        <v>46118</v>
      </c>
      <c r="K276" s="7"/>
    </row>
    <row r="277" spans="1:11" ht="18" x14ac:dyDescent="0.4">
      <c r="A277" s="7" t="s">
        <v>0</v>
      </c>
      <c r="B277" s="81" t="s">
        <v>266</v>
      </c>
      <c r="C277" s="57">
        <v>35281</v>
      </c>
      <c r="D277" s="70">
        <v>521641510</v>
      </c>
      <c r="E277" s="57">
        <v>100</v>
      </c>
      <c r="F277" s="71" t="s">
        <v>268</v>
      </c>
      <c r="G277" s="61">
        <v>0</v>
      </c>
      <c r="H277" s="70">
        <f t="shared" si="20"/>
        <v>0</v>
      </c>
      <c r="I277" s="53">
        <f t="shared" ca="1" si="18"/>
        <v>46120</v>
      </c>
      <c r="J277" s="53">
        <f t="shared" ca="1" si="19"/>
        <v>46118</v>
      </c>
      <c r="K277" s="7"/>
    </row>
    <row r="278" spans="1:11" ht="18" x14ac:dyDescent="0.4">
      <c r="A278" s="7" t="s">
        <v>0</v>
      </c>
      <c r="B278" s="81" t="s">
        <v>269</v>
      </c>
      <c r="C278" s="57">
        <v>64680</v>
      </c>
      <c r="D278" s="70">
        <v>552364550</v>
      </c>
      <c r="E278" s="57">
        <v>2160</v>
      </c>
      <c r="F278" s="71" t="s">
        <v>270</v>
      </c>
      <c r="G278" s="61">
        <v>0</v>
      </c>
      <c r="H278" s="70">
        <f t="shared" si="20"/>
        <v>0</v>
      </c>
      <c r="I278" s="53">
        <f t="shared" ca="1" si="18"/>
        <v>46120</v>
      </c>
      <c r="J278" s="53">
        <f t="shared" ca="1" si="19"/>
        <v>46118</v>
      </c>
      <c r="K278" s="21"/>
    </row>
    <row r="279" spans="1:11" ht="18" x14ac:dyDescent="0.4">
      <c r="A279" s="7" t="s">
        <v>0</v>
      </c>
      <c r="B279" s="81" t="s">
        <v>269</v>
      </c>
      <c r="C279" s="57">
        <v>64680</v>
      </c>
      <c r="D279" s="70">
        <v>552597520</v>
      </c>
      <c r="E279" s="57">
        <v>3600</v>
      </c>
      <c r="F279" s="71" t="s">
        <v>271</v>
      </c>
      <c r="G279" s="61">
        <v>0</v>
      </c>
      <c r="H279" s="70">
        <f t="shared" si="20"/>
        <v>0</v>
      </c>
      <c r="I279" s="53">
        <f t="shared" ca="1" si="18"/>
        <v>46120</v>
      </c>
      <c r="J279" s="53">
        <f t="shared" ca="1" si="19"/>
        <v>46118</v>
      </c>
      <c r="K279" s="21"/>
    </row>
    <row r="280" spans="1:11" ht="18" x14ac:dyDescent="0.4">
      <c r="A280" s="7" t="s">
        <v>0</v>
      </c>
      <c r="B280" s="81" t="s">
        <v>269</v>
      </c>
      <c r="C280" s="57">
        <v>64680</v>
      </c>
      <c r="D280" s="70">
        <v>551896360</v>
      </c>
      <c r="E280" s="57">
        <v>360</v>
      </c>
      <c r="F280" s="71" t="s">
        <v>272</v>
      </c>
      <c r="G280" s="61">
        <v>0</v>
      </c>
      <c r="H280" s="70">
        <f t="shared" si="20"/>
        <v>0</v>
      </c>
      <c r="I280" s="53">
        <f t="shared" ca="1" si="18"/>
        <v>46120</v>
      </c>
      <c r="J280" s="53">
        <f t="shared" ca="1" si="19"/>
        <v>46118</v>
      </c>
      <c r="K280" s="21"/>
    </row>
    <row r="281" spans="1:11" ht="18" x14ac:dyDescent="0.4">
      <c r="A281" s="7" t="s">
        <v>0</v>
      </c>
      <c r="B281" s="81" t="s">
        <v>269</v>
      </c>
      <c r="C281" s="57">
        <v>64680</v>
      </c>
      <c r="D281" s="70">
        <v>552305070</v>
      </c>
      <c r="E281" s="57">
        <v>360</v>
      </c>
      <c r="F281" s="71" t="s">
        <v>265</v>
      </c>
      <c r="G281" s="61">
        <v>0</v>
      </c>
      <c r="H281" s="70">
        <f t="shared" si="20"/>
        <v>0</v>
      </c>
      <c r="I281" s="53">
        <f t="shared" ca="1" si="18"/>
        <v>46120</v>
      </c>
      <c r="J281" s="53">
        <f t="shared" ca="1" si="19"/>
        <v>46118</v>
      </c>
      <c r="K281" s="21"/>
    </row>
    <row r="282" spans="1:11" ht="18" x14ac:dyDescent="0.4">
      <c r="A282" s="7" t="s">
        <v>0</v>
      </c>
      <c r="B282" s="81" t="s">
        <v>269</v>
      </c>
      <c r="C282" s="57">
        <v>64680</v>
      </c>
      <c r="D282" s="70">
        <v>463361860</v>
      </c>
      <c r="E282" s="57">
        <v>32</v>
      </c>
      <c r="F282" s="71" t="s">
        <v>273</v>
      </c>
      <c r="G282" s="61">
        <v>0</v>
      </c>
      <c r="H282" s="70">
        <f t="shared" si="20"/>
        <v>0</v>
      </c>
      <c r="I282" s="53">
        <f t="shared" ca="1" si="18"/>
        <v>46120</v>
      </c>
      <c r="J282" s="53">
        <f t="shared" ca="1" si="19"/>
        <v>46118</v>
      </c>
      <c r="K282" s="21"/>
    </row>
    <row r="283" spans="1:11" ht="18" x14ac:dyDescent="0.4">
      <c r="A283" s="7" t="s">
        <v>0</v>
      </c>
      <c r="B283" s="81" t="s">
        <v>269</v>
      </c>
      <c r="C283" s="57">
        <v>64680</v>
      </c>
      <c r="D283" s="70">
        <v>463361870</v>
      </c>
      <c r="E283" s="57">
        <v>32</v>
      </c>
      <c r="F283" s="71" t="s">
        <v>273</v>
      </c>
      <c r="G283" s="61">
        <v>0</v>
      </c>
      <c r="H283" s="70">
        <f t="shared" si="20"/>
        <v>0</v>
      </c>
      <c r="I283" s="53">
        <f t="shared" ca="1" si="18"/>
        <v>46120</v>
      </c>
      <c r="J283" s="53">
        <f t="shared" ca="1" si="19"/>
        <v>46118</v>
      </c>
      <c r="K283" s="21"/>
    </row>
    <row r="284" spans="1:11" ht="18" x14ac:dyDescent="0.4">
      <c r="A284" s="7" t="s">
        <v>0</v>
      </c>
      <c r="B284" s="81" t="s">
        <v>269</v>
      </c>
      <c r="C284" s="57">
        <v>64680</v>
      </c>
      <c r="D284" s="70">
        <v>463361880</v>
      </c>
      <c r="E284" s="57">
        <v>32</v>
      </c>
      <c r="F284" s="71" t="s">
        <v>274</v>
      </c>
      <c r="G284" s="61">
        <v>0</v>
      </c>
      <c r="H284" s="70">
        <f t="shared" si="20"/>
        <v>0</v>
      </c>
      <c r="I284" s="53">
        <f t="shared" ca="1" si="18"/>
        <v>46120</v>
      </c>
      <c r="J284" s="53">
        <f t="shared" ca="1" si="19"/>
        <v>46118</v>
      </c>
      <c r="K284" s="21"/>
    </row>
    <row r="285" spans="1:11" ht="18" x14ac:dyDescent="0.4">
      <c r="A285" s="7" t="s">
        <v>0</v>
      </c>
      <c r="B285" s="81" t="s">
        <v>269</v>
      </c>
      <c r="C285" s="57">
        <v>64680</v>
      </c>
      <c r="D285" s="70">
        <v>463361890</v>
      </c>
      <c r="E285" s="57">
        <v>32</v>
      </c>
      <c r="F285" s="71" t="s">
        <v>273</v>
      </c>
      <c r="G285" s="61">
        <v>0</v>
      </c>
      <c r="H285" s="70">
        <f t="shared" si="20"/>
        <v>0</v>
      </c>
      <c r="I285" s="53">
        <f t="shared" ca="1" si="18"/>
        <v>46120</v>
      </c>
      <c r="J285" s="53">
        <f t="shared" ca="1" si="19"/>
        <v>46118</v>
      </c>
      <c r="K285" s="21"/>
    </row>
    <row r="286" spans="1:11" ht="18" x14ac:dyDescent="0.4">
      <c r="A286" s="7" t="s">
        <v>0</v>
      </c>
      <c r="B286" s="81" t="s">
        <v>275</v>
      </c>
      <c r="C286" s="57">
        <v>37474</v>
      </c>
      <c r="D286" s="70">
        <v>518657410</v>
      </c>
      <c r="E286" s="57">
        <v>80</v>
      </c>
      <c r="F286" s="71" t="s">
        <v>276</v>
      </c>
      <c r="G286" s="61">
        <v>0</v>
      </c>
      <c r="H286" s="70">
        <f t="shared" si="20"/>
        <v>0</v>
      </c>
      <c r="I286" s="53">
        <f t="shared" ca="1" si="18"/>
        <v>46120</v>
      </c>
      <c r="J286" s="53">
        <f t="shared" ca="1" si="19"/>
        <v>46118</v>
      </c>
      <c r="K286" s="21"/>
    </row>
    <row r="287" spans="1:11" ht="18" x14ac:dyDescent="0.4">
      <c r="A287" s="7" t="s">
        <v>0</v>
      </c>
      <c r="B287" s="60" t="s">
        <v>277</v>
      </c>
      <c r="C287" s="57">
        <v>47097</v>
      </c>
      <c r="D287" s="70">
        <v>518469540</v>
      </c>
      <c r="E287" s="57">
        <v>80</v>
      </c>
      <c r="F287" s="71" t="s">
        <v>278</v>
      </c>
      <c r="G287" s="61">
        <v>0</v>
      </c>
      <c r="H287" s="70">
        <f t="shared" si="20"/>
        <v>0</v>
      </c>
      <c r="I287" s="53">
        <f t="shared" ca="1" si="18"/>
        <v>46120</v>
      </c>
      <c r="J287" s="53">
        <f t="shared" ca="1" si="19"/>
        <v>46118</v>
      </c>
      <c r="K287" s="21"/>
    </row>
    <row r="288" spans="1:11" ht="18" x14ac:dyDescent="0.4">
      <c r="A288" s="7" t="s">
        <v>0</v>
      </c>
      <c r="B288" s="60" t="s">
        <v>277</v>
      </c>
      <c r="C288" s="57">
        <v>47097</v>
      </c>
      <c r="D288" s="70">
        <v>521053400</v>
      </c>
      <c r="E288" s="57">
        <v>80</v>
      </c>
      <c r="F288" s="71" t="s">
        <v>279</v>
      </c>
      <c r="G288" s="61">
        <v>0</v>
      </c>
      <c r="H288" s="70">
        <f t="shared" si="20"/>
        <v>0</v>
      </c>
      <c r="I288" s="53">
        <f t="shared" ca="1" si="18"/>
        <v>46120</v>
      </c>
      <c r="J288" s="53">
        <f t="shared" ca="1" si="19"/>
        <v>46118</v>
      </c>
      <c r="K288" s="21"/>
    </row>
    <row r="289" spans="1:11" ht="18" x14ac:dyDescent="0.4">
      <c r="A289" s="7" t="s">
        <v>0</v>
      </c>
      <c r="B289" s="83" t="s">
        <v>277</v>
      </c>
      <c r="C289" s="75">
        <v>47097</v>
      </c>
      <c r="D289" s="76">
        <v>521053400</v>
      </c>
      <c r="E289" s="75">
        <v>80</v>
      </c>
      <c r="F289" s="77" t="s">
        <v>279</v>
      </c>
      <c r="G289" s="61">
        <v>0</v>
      </c>
      <c r="H289" s="70">
        <f t="shared" si="20"/>
        <v>0</v>
      </c>
      <c r="I289" s="11">
        <f t="shared" ca="1" si="18"/>
        <v>46120</v>
      </c>
      <c r="J289" s="11">
        <f t="shared" ca="1" si="19"/>
        <v>46118</v>
      </c>
      <c r="K289" s="8"/>
    </row>
    <row r="290" spans="1:11" ht="18" x14ac:dyDescent="0.4">
      <c r="A290" s="7" t="s">
        <v>0</v>
      </c>
      <c r="B290" s="60" t="s">
        <v>280</v>
      </c>
      <c r="C290" s="57">
        <v>78605</v>
      </c>
      <c r="D290" s="70">
        <v>552398190</v>
      </c>
      <c r="E290" s="57">
        <v>500</v>
      </c>
      <c r="F290" s="71" t="s">
        <v>281</v>
      </c>
      <c r="G290" s="61">
        <v>0</v>
      </c>
      <c r="H290" s="70">
        <f t="shared" si="20"/>
        <v>0</v>
      </c>
      <c r="I290" s="53">
        <f t="shared" ca="1" si="18"/>
        <v>46120</v>
      </c>
      <c r="J290" s="53">
        <f t="shared" ca="1" si="19"/>
        <v>46118</v>
      </c>
      <c r="K290" s="21"/>
    </row>
    <row r="291" spans="1:11" ht="18" x14ac:dyDescent="0.4">
      <c r="A291" s="7" t="s">
        <v>0</v>
      </c>
      <c r="B291" s="81" t="s">
        <v>282</v>
      </c>
      <c r="C291" s="57">
        <v>73850</v>
      </c>
      <c r="D291" s="70">
        <v>552188560</v>
      </c>
      <c r="E291" s="57">
        <v>50</v>
      </c>
      <c r="F291" s="71" t="s">
        <v>283</v>
      </c>
      <c r="G291" s="61">
        <v>0</v>
      </c>
      <c r="H291" s="70">
        <f t="shared" si="20"/>
        <v>0</v>
      </c>
      <c r="I291" s="53">
        <f t="shared" ca="1" si="18"/>
        <v>46120</v>
      </c>
      <c r="J291" s="53">
        <f t="shared" ca="1" si="19"/>
        <v>46118</v>
      </c>
      <c r="K291" s="21"/>
    </row>
    <row r="292" spans="1:11" ht="18" x14ac:dyDescent="0.4">
      <c r="A292" s="7" t="s">
        <v>0</v>
      </c>
      <c r="B292" s="81" t="s">
        <v>282</v>
      </c>
      <c r="C292" s="57">
        <v>73850</v>
      </c>
      <c r="D292" s="70">
        <v>552278750</v>
      </c>
      <c r="E292" s="57">
        <v>150</v>
      </c>
      <c r="F292" s="71" t="s">
        <v>284</v>
      </c>
      <c r="G292" s="61">
        <v>0</v>
      </c>
      <c r="H292" s="70">
        <f t="shared" si="20"/>
        <v>0</v>
      </c>
      <c r="I292" s="53">
        <f t="shared" ca="1" si="18"/>
        <v>46120</v>
      </c>
      <c r="J292" s="53">
        <f t="shared" ca="1" si="19"/>
        <v>46118</v>
      </c>
      <c r="K292" s="21"/>
    </row>
    <row r="293" spans="1:11" ht="18" x14ac:dyDescent="0.4">
      <c r="A293" s="7" t="s">
        <v>0</v>
      </c>
      <c r="B293" s="81" t="s">
        <v>282</v>
      </c>
      <c r="C293" s="57">
        <v>73850</v>
      </c>
      <c r="D293" s="70">
        <v>552278770</v>
      </c>
      <c r="E293" s="57">
        <v>150</v>
      </c>
      <c r="F293" s="71" t="s">
        <v>285</v>
      </c>
      <c r="G293" s="61">
        <v>0</v>
      </c>
      <c r="H293" s="70">
        <f t="shared" si="20"/>
        <v>0</v>
      </c>
      <c r="I293" s="53">
        <f t="shared" ca="1" si="18"/>
        <v>46120</v>
      </c>
      <c r="J293" s="53">
        <f t="shared" ca="1" si="19"/>
        <v>46118</v>
      </c>
      <c r="K293" s="21"/>
    </row>
    <row r="294" spans="1:11" ht="18" x14ac:dyDescent="0.4">
      <c r="A294" s="7" t="s">
        <v>0</v>
      </c>
      <c r="B294" s="81" t="s">
        <v>286</v>
      </c>
      <c r="C294" s="57">
        <v>51625</v>
      </c>
      <c r="D294" s="70">
        <v>551812430</v>
      </c>
      <c r="E294" s="57">
        <v>2160</v>
      </c>
      <c r="F294" s="71" t="s">
        <v>287</v>
      </c>
      <c r="G294" s="61">
        <v>0</v>
      </c>
      <c r="H294" s="70">
        <f t="shared" si="20"/>
        <v>0</v>
      </c>
      <c r="I294" s="53">
        <f t="shared" ca="1" si="18"/>
        <v>46120</v>
      </c>
      <c r="J294" s="53">
        <f t="shared" ca="1" si="19"/>
        <v>46118</v>
      </c>
      <c r="K294" s="21"/>
    </row>
    <row r="295" spans="1:11" ht="18" x14ac:dyDescent="0.4">
      <c r="A295" s="7" t="s">
        <v>0</v>
      </c>
      <c r="B295" s="81" t="s">
        <v>286</v>
      </c>
      <c r="C295" s="57">
        <v>51625</v>
      </c>
      <c r="D295" s="70">
        <v>552168510</v>
      </c>
      <c r="E295" s="57">
        <v>640</v>
      </c>
      <c r="F295" s="71" t="s">
        <v>287</v>
      </c>
      <c r="G295" s="61">
        <v>0</v>
      </c>
      <c r="H295" s="70">
        <f t="shared" si="20"/>
        <v>0</v>
      </c>
      <c r="I295" s="53">
        <f t="shared" ca="1" si="18"/>
        <v>46120</v>
      </c>
      <c r="J295" s="53">
        <f t="shared" ca="1" si="19"/>
        <v>46118</v>
      </c>
      <c r="K295" s="7"/>
    </row>
    <row r="296" spans="1:11" ht="18" x14ac:dyDescent="0.4">
      <c r="A296" s="7" t="s">
        <v>0</v>
      </c>
      <c r="B296" s="81" t="s">
        <v>286</v>
      </c>
      <c r="C296" s="57">
        <v>51625</v>
      </c>
      <c r="D296" s="70">
        <v>552188650</v>
      </c>
      <c r="E296" s="57">
        <v>640</v>
      </c>
      <c r="F296" s="71" t="s">
        <v>287</v>
      </c>
      <c r="G296" s="61">
        <v>0</v>
      </c>
      <c r="H296" s="70">
        <f t="shared" si="20"/>
        <v>0</v>
      </c>
      <c r="I296" s="53">
        <f t="shared" ca="1" si="18"/>
        <v>46120</v>
      </c>
      <c r="J296" s="53">
        <f t="shared" ca="1" si="19"/>
        <v>46118</v>
      </c>
      <c r="K296" s="7"/>
    </row>
    <row r="297" spans="1:11" ht="18" x14ac:dyDescent="0.4">
      <c r="A297" s="7" t="s">
        <v>0</v>
      </c>
      <c r="B297" s="82" t="s">
        <v>288</v>
      </c>
      <c r="C297" s="57">
        <v>20748</v>
      </c>
      <c r="D297" s="70">
        <v>552178590</v>
      </c>
      <c r="E297" s="57">
        <v>288</v>
      </c>
      <c r="F297" s="71" t="s">
        <v>289</v>
      </c>
      <c r="G297" s="61">
        <v>0</v>
      </c>
      <c r="H297" s="70">
        <f t="shared" si="20"/>
        <v>0</v>
      </c>
      <c r="I297" s="53">
        <f t="shared" ca="1" si="18"/>
        <v>46120</v>
      </c>
      <c r="J297" s="53">
        <f t="shared" ca="1" si="19"/>
        <v>46118</v>
      </c>
      <c r="K297" s="21"/>
    </row>
    <row r="298" spans="1:11" ht="18" x14ac:dyDescent="0.4">
      <c r="A298" s="7" t="s">
        <v>0</v>
      </c>
      <c r="B298" s="81" t="s">
        <v>290</v>
      </c>
      <c r="C298" s="57">
        <v>68265</v>
      </c>
      <c r="D298" s="70">
        <v>552776160</v>
      </c>
      <c r="E298" s="57">
        <v>150</v>
      </c>
      <c r="F298" s="71" t="s">
        <v>291</v>
      </c>
      <c r="G298" s="61">
        <v>0</v>
      </c>
      <c r="H298" s="70">
        <f t="shared" si="20"/>
        <v>0</v>
      </c>
      <c r="I298" s="11">
        <f t="shared" ca="1" si="18"/>
        <v>46120</v>
      </c>
      <c r="J298" s="11">
        <f t="shared" ca="1" si="19"/>
        <v>46118</v>
      </c>
      <c r="K298" s="13"/>
    </row>
    <row r="299" spans="1:11" ht="18" x14ac:dyDescent="0.4">
      <c r="A299" s="7" t="s">
        <v>0</v>
      </c>
      <c r="B299" s="81" t="s">
        <v>290</v>
      </c>
      <c r="C299" s="57">
        <v>68265</v>
      </c>
      <c r="D299" s="70">
        <v>552282450</v>
      </c>
      <c r="E299" s="57">
        <v>150</v>
      </c>
      <c r="F299" s="71" t="s">
        <v>291</v>
      </c>
      <c r="G299" s="61">
        <v>0</v>
      </c>
      <c r="H299" s="70">
        <f t="shared" si="20"/>
        <v>0</v>
      </c>
      <c r="I299" s="11">
        <f t="shared" ca="1" si="18"/>
        <v>46120</v>
      </c>
      <c r="J299" s="11">
        <f t="shared" ca="1" si="19"/>
        <v>46118</v>
      </c>
      <c r="K299" s="8"/>
    </row>
    <row r="300" spans="1:11" ht="18" x14ac:dyDescent="0.4">
      <c r="A300" s="7" t="s">
        <v>0</v>
      </c>
      <c r="B300" s="82" t="s">
        <v>292</v>
      </c>
      <c r="C300" s="57">
        <v>19424</v>
      </c>
      <c r="D300" s="70">
        <v>552384520</v>
      </c>
      <c r="E300" s="57">
        <v>1440</v>
      </c>
      <c r="F300" s="71" t="s">
        <v>293</v>
      </c>
      <c r="G300" s="61">
        <v>0</v>
      </c>
      <c r="H300" s="70">
        <f t="shared" si="20"/>
        <v>0</v>
      </c>
      <c r="I300" s="11">
        <f t="shared" ca="1" si="18"/>
        <v>46120</v>
      </c>
      <c r="J300" s="11">
        <f t="shared" ca="1" si="19"/>
        <v>46118</v>
      </c>
      <c r="K300" s="13"/>
    </row>
    <row r="301" spans="1:11" ht="18" x14ac:dyDescent="0.4">
      <c r="A301" s="7" t="s">
        <v>0</v>
      </c>
      <c r="B301" s="81" t="s">
        <v>294</v>
      </c>
      <c r="C301" s="57">
        <v>21796</v>
      </c>
      <c r="D301" s="70">
        <v>552807200</v>
      </c>
      <c r="E301" s="57">
        <v>1920</v>
      </c>
      <c r="F301" s="71" t="s">
        <v>293</v>
      </c>
      <c r="G301" s="61">
        <v>0</v>
      </c>
      <c r="H301" s="70">
        <f t="shared" si="20"/>
        <v>0</v>
      </c>
      <c r="I301" s="11">
        <f t="shared" ca="1" si="18"/>
        <v>46120</v>
      </c>
      <c r="J301" s="11">
        <f t="shared" ca="1" si="19"/>
        <v>46118</v>
      </c>
      <c r="K301" s="8"/>
    </row>
    <row r="302" spans="1:11" ht="18" x14ac:dyDescent="0.4">
      <c r="A302" s="7" t="s">
        <v>0</v>
      </c>
      <c r="B302" s="81" t="s">
        <v>295</v>
      </c>
      <c r="C302" s="60">
        <v>51620</v>
      </c>
      <c r="D302" s="70">
        <v>552610980</v>
      </c>
      <c r="E302" s="57">
        <v>840</v>
      </c>
      <c r="F302" s="71" t="s">
        <v>296</v>
      </c>
      <c r="G302" s="61">
        <v>0</v>
      </c>
      <c r="H302" s="70">
        <f t="shared" si="20"/>
        <v>0</v>
      </c>
      <c r="I302" s="11">
        <f t="shared" ca="1" si="18"/>
        <v>46120</v>
      </c>
      <c r="J302" s="11">
        <f t="shared" ca="1" si="19"/>
        <v>46118</v>
      </c>
      <c r="K302" s="8"/>
    </row>
    <row r="303" spans="1:11" ht="18" x14ac:dyDescent="0.4">
      <c r="A303" s="7" t="s">
        <v>0</v>
      </c>
      <c r="B303" s="81" t="s">
        <v>295</v>
      </c>
      <c r="C303" s="60">
        <v>51620</v>
      </c>
      <c r="D303" s="70">
        <v>552611020</v>
      </c>
      <c r="E303" s="57">
        <v>1440</v>
      </c>
      <c r="F303" s="71" t="s">
        <v>297</v>
      </c>
      <c r="G303" s="61">
        <v>0</v>
      </c>
      <c r="H303" s="70">
        <f t="shared" si="20"/>
        <v>0</v>
      </c>
      <c r="I303" s="11">
        <f t="shared" ca="1" si="18"/>
        <v>46120</v>
      </c>
      <c r="J303" s="11">
        <f t="shared" ca="1" si="19"/>
        <v>46118</v>
      </c>
      <c r="K303" s="13"/>
    </row>
    <row r="304" spans="1:11" ht="18" x14ac:dyDescent="0.4">
      <c r="A304" s="7" t="s">
        <v>0</v>
      </c>
      <c r="B304" s="81" t="s">
        <v>295</v>
      </c>
      <c r="C304" s="60">
        <v>51620</v>
      </c>
      <c r="D304" s="70">
        <v>552611060</v>
      </c>
      <c r="E304" s="57">
        <v>840</v>
      </c>
      <c r="F304" s="71" t="s">
        <v>298</v>
      </c>
      <c r="G304" s="61">
        <v>0</v>
      </c>
      <c r="H304" s="70">
        <f t="shared" si="20"/>
        <v>0</v>
      </c>
      <c r="I304" s="11">
        <f t="shared" ca="1" si="18"/>
        <v>46120</v>
      </c>
      <c r="J304" s="11">
        <f t="shared" ca="1" si="19"/>
        <v>46118</v>
      </c>
      <c r="K304" s="13"/>
    </row>
    <row r="305" spans="1:11" ht="18" x14ac:dyDescent="0.4">
      <c r="A305" s="7" t="s">
        <v>0</v>
      </c>
      <c r="B305" s="81" t="s">
        <v>295</v>
      </c>
      <c r="C305" s="60">
        <v>51620</v>
      </c>
      <c r="D305" s="70">
        <v>552670810</v>
      </c>
      <c r="E305" s="57">
        <v>840</v>
      </c>
      <c r="F305" s="71" t="s">
        <v>296</v>
      </c>
      <c r="G305" s="61">
        <v>0</v>
      </c>
      <c r="H305" s="70">
        <f t="shared" si="20"/>
        <v>0</v>
      </c>
      <c r="I305" s="11">
        <f t="shared" ca="1" si="18"/>
        <v>46120</v>
      </c>
      <c r="J305" s="11">
        <f t="shared" ca="1" si="19"/>
        <v>46118</v>
      </c>
      <c r="K305" s="13"/>
    </row>
    <row r="306" spans="1:11" ht="18" x14ac:dyDescent="0.4">
      <c r="A306" s="7" t="s">
        <v>0</v>
      </c>
      <c r="B306" s="81" t="s">
        <v>295</v>
      </c>
      <c r="C306" s="60">
        <v>51620</v>
      </c>
      <c r="D306" s="70">
        <v>552670830</v>
      </c>
      <c r="E306" s="57">
        <v>1440</v>
      </c>
      <c r="F306" s="71" t="s">
        <v>297</v>
      </c>
      <c r="G306" s="61">
        <v>0</v>
      </c>
      <c r="H306" s="70">
        <f t="shared" si="20"/>
        <v>0</v>
      </c>
      <c r="I306" s="11">
        <f t="shared" ca="1" si="18"/>
        <v>46120</v>
      </c>
      <c r="J306" s="11">
        <f t="shared" ca="1" si="19"/>
        <v>46118</v>
      </c>
      <c r="K306" s="13"/>
    </row>
    <row r="307" spans="1:11" ht="18" x14ac:dyDescent="0.4">
      <c r="A307" s="7" t="s">
        <v>0</v>
      </c>
      <c r="B307" s="81" t="s">
        <v>295</v>
      </c>
      <c r="C307" s="60">
        <v>51620</v>
      </c>
      <c r="D307" s="70">
        <v>552670850</v>
      </c>
      <c r="E307" s="57">
        <v>840</v>
      </c>
      <c r="F307" s="71" t="s">
        <v>298</v>
      </c>
      <c r="G307" s="61">
        <v>0</v>
      </c>
      <c r="H307" s="70">
        <f t="shared" si="20"/>
        <v>0</v>
      </c>
      <c r="I307" s="11">
        <f t="shared" ca="1" si="18"/>
        <v>46120</v>
      </c>
      <c r="J307" s="11">
        <f t="shared" ca="1" si="19"/>
        <v>46118</v>
      </c>
      <c r="K307" s="13"/>
    </row>
    <row r="308" spans="1:11" ht="18" x14ac:dyDescent="0.4">
      <c r="A308" s="7" t="s">
        <v>0</v>
      </c>
      <c r="B308" s="81" t="s">
        <v>295</v>
      </c>
      <c r="C308" s="60">
        <v>51620</v>
      </c>
      <c r="D308" s="70">
        <v>552527010</v>
      </c>
      <c r="E308" s="57">
        <v>840</v>
      </c>
      <c r="F308" s="71" t="s">
        <v>296</v>
      </c>
      <c r="G308" s="61">
        <v>0</v>
      </c>
      <c r="H308" s="70">
        <f t="shared" si="20"/>
        <v>0</v>
      </c>
      <c r="I308" s="11">
        <f t="shared" ca="1" si="18"/>
        <v>46120</v>
      </c>
      <c r="J308" s="11">
        <f t="shared" ca="1" si="19"/>
        <v>46118</v>
      </c>
      <c r="K308" s="13"/>
    </row>
    <row r="309" spans="1:11" ht="18" x14ac:dyDescent="0.4">
      <c r="A309" s="7" t="s">
        <v>0</v>
      </c>
      <c r="B309" s="81" t="s">
        <v>295</v>
      </c>
      <c r="C309" s="60">
        <v>51620</v>
      </c>
      <c r="D309" s="70">
        <v>552527050</v>
      </c>
      <c r="E309" s="57">
        <v>1456</v>
      </c>
      <c r="F309" s="71" t="s">
        <v>297</v>
      </c>
      <c r="G309" s="61">
        <v>0</v>
      </c>
      <c r="H309" s="70">
        <f t="shared" si="20"/>
        <v>0</v>
      </c>
      <c r="I309" s="11">
        <f t="shared" ca="1" si="18"/>
        <v>46120</v>
      </c>
      <c r="J309" s="11">
        <f t="shared" ca="1" si="19"/>
        <v>46118</v>
      </c>
      <c r="K309" s="8"/>
    </row>
    <row r="310" spans="1:11" ht="18" x14ac:dyDescent="0.4">
      <c r="A310" s="7" t="s">
        <v>0</v>
      </c>
      <c r="B310" s="81" t="s">
        <v>295</v>
      </c>
      <c r="C310" s="60">
        <v>51620</v>
      </c>
      <c r="D310" s="70">
        <v>552527090</v>
      </c>
      <c r="E310" s="57">
        <v>840</v>
      </c>
      <c r="F310" s="71" t="s">
        <v>298</v>
      </c>
      <c r="G310" s="61">
        <v>0</v>
      </c>
      <c r="H310" s="70">
        <f t="shared" si="20"/>
        <v>0</v>
      </c>
      <c r="I310" s="11">
        <f t="shared" ca="1" si="18"/>
        <v>46120</v>
      </c>
      <c r="J310" s="11">
        <f t="shared" ca="1" si="19"/>
        <v>46118</v>
      </c>
      <c r="K310" s="8"/>
    </row>
    <row r="311" spans="1:11" ht="18" x14ac:dyDescent="0.4">
      <c r="A311" s="7" t="s">
        <v>0</v>
      </c>
      <c r="B311" s="81" t="s">
        <v>295</v>
      </c>
      <c r="C311" s="60">
        <v>51620</v>
      </c>
      <c r="D311" s="70">
        <v>552718660</v>
      </c>
      <c r="E311" s="57">
        <v>840</v>
      </c>
      <c r="F311" s="71" t="s">
        <v>296</v>
      </c>
      <c r="G311" s="61">
        <v>0</v>
      </c>
      <c r="H311" s="70">
        <f t="shared" si="20"/>
        <v>0</v>
      </c>
      <c r="I311" s="11">
        <f t="shared" ca="1" si="18"/>
        <v>46120</v>
      </c>
      <c r="J311" s="11">
        <f t="shared" ca="1" si="19"/>
        <v>46118</v>
      </c>
      <c r="K311" s="13"/>
    </row>
    <row r="312" spans="1:11" ht="18" x14ac:dyDescent="0.4">
      <c r="A312" s="7" t="s">
        <v>0</v>
      </c>
      <c r="B312" s="81" t="s">
        <v>295</v>
      </c>
      <c r="C312" s="60">
        <v>51620</v>
      </c>
      <c r="D312" s="70">
        <v>552720150</v>
      </c>
      <c r="E312" s="57">
        <v>1440</v>
      </c>
      <c r="F312" s="71" t="s">
        <v>297</v>
      </c>
      <c r="G312" s="61">
        <v>0</v>
      </c>
      <c r="H312" s="70">
        <f t="shared" si="20"/>
        <v>0</v>
      </c>
      <c r="I312" s="11">
        <f t="shared" ca="1" si="18"/>
        <v>46120</v>
      </c>
      <c r="J312" s="11">
        <f t="shared" ca="1" si="19"/>
        <v>46118</v>
      </c>
      <c r="K312" s="8"/>
    </row>
    <row r="313" spans="1:11" ht="18" x14ac:dyDescent="0.4">
      <c r="A313" s="7" t="s">
        <v>0</v>
      </c>
      <c r="B313" s="81" t="s">
        <v>295</v>
      </c>
      <c r="C313" s="60">
        <v>51620</v>
      </c>
      <c r="D313" s="70">
        <v>552720240</v>
      </c>
      <c r="E313" s="57">
        <v>840</v>
      </c>
      <c r="F313" s="71" t="s">
        <v>298</v>
      </c>
      <c r="G313" s="61">
        <v>0</v>
      </c>
      <c r="H313" s="70">
        <f t="shared" si="20"/>
        <v>0</v>
      </c>
      <c r="I313" s="11">
        <f t="shared" ca="1" si="18"/>
        <v>46120</v>
      </c>
      <c r="J313" s="11">
        <f t="shared" ca="1" si="19"/>
        <v>46118</v>
      </c>
      <c r="K313" s="13"/>
    </row>
    <row r="314" spans="1:11" ht="18" x14ac:dyDescent="0.4">
      <c r="A314" s="7" t="s">
        <v>0</v>
      </c>
      <c r="B314" s="81" t="s">
        <v>295</v>
      </c>
      <c r="C314" s="60">
        <v>51620</v>
      </c>
      <c r="D314" s="70">
        <v>552527390</v>
      </c>
      <c r="E314" s="57">
        <v>840</v>
      </c>
      <c r="F314" s="71" t="s">
        <v>296</v>
      </c>
      <c r="G314" s="61">
        <v>0</v>
      </c>
      <c r="H314" s="70">
        <f t="shared" si="20"/>
        <v>0</v>
      </c>
      <c r="I314" s="11">
        <f t="shared" ca="1" si="18"/>
        <v>46120</v>
      </c>
      <c r="J314" s="11">
        <f t="shared" ca="1" si="19"/>
        <v>46118</v>
      </c>
      <c r="K314" s="13"/>
    </row>
    <row r="315" spans="1:11" ht="18" x14ac:dyDescent="0.4">
      <c r="A315" s="7" t="s">
        <v>0</v>
      </c>
      <c r="B315" s="81" t="s">
        <v>295</v>
      </c>
      <c r="C315" s="60">
        <v>51620</v>
      </c>
      <c r="D315" s="70">
        <v>552527680</v>
      </c>
      <c r="E315" s="57">
        <v>1440</v>
      </c>
      <c r="F315" s="71" t="s">
        <v>297</v>
      </c>
      <c r="G315" s="61">
        <v>0</v>
      </c>
      <c r="H315" s="70">
        <f t="shared" si="20"/>
        <v>0</v>
      </c>
      <c r="I315" s="11">
        <f t="shared" ca="1" si="18"/>
        <v>46120</v>
      </c>
      <c r="J315" s="11">
        <f t="shared" ca="1" si="19"/>
        <v>46118</v>
      </c>
      <c r="K315" s="8"/>
    </row>
    <row r="316" spans="1:11" ht="18" x14ac:dyDescent="0.4">
      <c r="A316" s="7" t="s">
        <v>0</v>
      </c>
      <c r="B316" s="81" t="s">
        <v>295</v>
      </c>
      <c r="C316" s="60">
        <v>51620</v>
      </c>
      <c r="D316" s="70">
        <v>552527760</v>
      </c>
      <c r="E316" s="57">
        <v>840</v>
      </c>
      <c r="F316" s="71" t="s">
        <v>298</v>
      </c>
      <c r="G316" s="61">
        <v>0</v>
      </c>
      <c r="H316" s="70">
        <f t="shared" si="20"/>
        <v>0</v>
      </c>
      <c r="I316" s="11">
        <f t="shared" ref="I316:I379" ca="1" si="21">I315</f>
        <v>46120</v>
      </c>
      <c r="J316" s="11">
        <f t="shared" ca="1" si="19"/>
        <v>46118</v>
      </c>
      <c r="K316" s="13"/>
    </row>
    <row r="317" spans="1:11" ht="18" x14ac:dyDescent="0.4">
      <c r="A317" s="7" t="s">
        <v>0</v>
      </c>
      <c r="B317" s="81" t="s">
        <v>299</v>
      </c>
      <c r="C317" s="60">
        <v>51658</v>
      </c>
      <c r="D317" s="70">
        <v>552804260</v>
      </c>
      <c r="E317" s="57">
        <v>2000</v>
      </c>
      <c r="F317" s="71" t="s">
        <v>300</v>
      </c>
      <c r="G317" s="61">
        <v>0</v>
      </c>
      <c r="H317" s="70">
        <f t="shared" si="20"/>
        <v>0</v>
      </c>
      <c r="I317" s="11">
        <f t="shared" ca="1" si="21"/>
        <v>46120</v>
      </c>
      <c r="J317" s="11">
        <f t="shared" ca="1" si="19"/>
        <v>46118</v>
      </c>
      <c r="K317" s="13"/>
    </row>
    <row r="318" spans="1:11" ht="18" x14ac:dyDescent="0.4">
      <c r="A318" s="7" t="s">
        <v>0</v>
      </c>
      <c r="B318" s="81" t="s">
        <v>299</v>
      </c>
      <c r="C318" s="60">
        <v>51658</v>
      </c>
      <c r="D318" s="70">
        <v>552804270</v>
      </c>
      <c r="E318" s="57">
        <v>15000</v>
      </c>
      <c r="F318" s="71" t="s">
        <v>301</v>
      </c>
      <c r="G318" s="61">
        <v>0</v>
      </c>
      <c r="H318" s="70">
        <f t="shared" si="20"/>
        <v>0</v>
      </c>
      <c r="I318" s="11">
        <f t="shared" ca="1" si="21"/>
        <v>46120</v>
      </c>
      <c r="J318" s="11">
        <f t="shared" ca="1" si="19"/>
        <v>46118</v>
      </c>
      <c r="K318" s="13"/>
    </row>
    <row r="319" spans="1:11" ht="18" x14ac:dyDescent="0.4">
      <c r="A319" s="7" t="s">
        <v>0</v>
      </c>
      <c r="B319" s="81" t="s">
        <v>299</v>
      </c>
      <c r="C319" s="60">
        <v>51658</v>
      </c>
      <c r="D319" s="70">
        <v>552804280</v>
      </c>
      <c r="E319" s="57">
        <v>2000</v>
      </c>
      <c r="F319" s="71" t="s">
        <v>302</v>
      </c>
      <c r="G319" s="61">
        <v>0</v>
      </c>
      <c r="H319" s="70">
        <f t="shared" si="20"/>
        <v>0</v>
      </c>
      <c r="I319" s="11">
        <f t="shared" ca="1" si="21"/>
        <v>46120</v>
      </c>
      <c r="J319" s="11">
        <f t="shared" ca="1" si="19"/>
        <v>46118</v>
      </c>
      <c r="K319" s="13"/>
    </row>
    <row r="320" spans="1:11" ht="18" x14ac:dyDescent="0.4">
      <c r="A320" s="7" t="s">
        <v>0</v>
      </c>
      <c r="B320" s="81" t="s">
        <v>299</v>
      </c>
      <c r="C320" s="60">
        <v>51658</v>
      </c>
      <c r="D320" s="70">
        <v>552804320</v>
      </c>
      <c r="E320" s="57">
        <v>840</v>
      </c>
      <c r="F320" s="71" t="s">
        <v>303</v>
      </c>
      <c r="G320" s="61">
        <v>0</v>
      </c>
      <c r="H320" s="70">
        <f t="shared" si="20"/>
        <v>0</v>
      </c>
      <c r="I320" s="11">
        <f t="shared" ca="1" si="21"/>
        <v>46120</v>
      </c>
      <c r="J320" s="11">
        <f t="shared" ca="1" si="19"/>
        <v>46118</v>
      </c>
      <c r="K320" s="13"/>
    </row>
    <row r="321" spans="1:11" ht="18" x14ac:dyDescent="0.4">
      <c r="A321" s="7" t="s">
        <v>0</v>
      </c>
      <c r="B321" s="81" t="s">
        <v>299</v>
      </c>
      <c r="C321" s="60">
        <v>51658</v>
      </c>
      <c r="D321" s="70">
        <v>552804330</v>
      </c>
      <c r="E321" s="57">
        <v>2400</v>
      </c>
      <c r="F321" s="71" t="s">
        <v>304</v>
      </c>
      <c r="G321" s="61">
        <v>0</v>
      </c>
      <c r="H321" s="70">
        <f t="shared" si="20"/>
        <v>0</v>
      </c>
      <c r="I321" s="11">
        <f t="shared" ca="1" si="21"/>
        <v>46120</v>
      </c>
      <c r="J321" s="11">
        <f t="shared" ca="1" si="19"/>
        <v>46118</v>
      </c>
      <c r="K321" s="13"/>
    </row>
    <row r="322" spans="1:11" ht="18" x14ac:dyDescent="0.4">
      <c r="A322" s="7" t="s">
        <v>0</v>
      </c>
      <c r="B322" s="81" t="s">
        <v>299</v>
      </c>
      <c r="C322" s="60">
        <v>51658</v>
      </c>
      <c r="D322" s="70">
        <v>552804340</v>
      </c>
      <c r="E322" s="57">
        <v>960</v>
      </c>
      <c r="F322" s="71" t="s">
        <v>305</v>
      </c>
      <c r="G322" s="61">
        <v>0</v>
      </c>
      <c r="H322" s="70">
        <f t="shared" si="20"/>
        <v>0</v>
      </c>
      <c r="I322" s="11">
        <f t="shared" ca="1" si="21"/>
        <v>46120</v>
      </c>
      <c r="J322" s="11">
        <f t="shared" ca="1" si="19"/>
        <v>46118</v>
      </c>
      <c r="K322" s="13"/>
    </row>
    <row r="323" spans="1:11" ht="18" x14ac:dyDescent="0.4">
      <c r="A323" s="7" t="s">
        <v>0</v>
      </c>
      <c r="B323" s="81" t="s">
        <v>299</v>
      </c>
      <c r="C323" s="60">
        <v>51658</v>
      </c>
      <c r="D323" s="70">
        <v>552105070</v>
      </c>
      <c r="E323" s="57">
        <v>1488</v>
      </c>
      <c r="F323" s="71" t="s">
        <v>306</v>
      </c>
      <c r="G323" s="61">
        <v>0</v>
      </c>
      <c r="H323" s="70">
        <f t="shared" si="20"/>
        <v>0</v>
      </c>
      <c r="I323" s="11">
        <f t="shared" ca="1" si="21"/>
        <v>46120</v>
      </c>
      <c r="J323" s="11">
        <f t="shared" ca="1" si="19"/>
        <v>46118</v>
      </c>
      <c r="K323" s="13"/>
    </row>
    <row r="324" spans="1:11" ht="18" x14ac:dyDescent="0.4">
      <c r="A324" s="7" t="s">
        <v>0</v>
      </c>
      <c r="B324" s="81" t="s">
        <v>299</v>
      </c>
      <c r="C324" s="60">
        <v>51658</v>
      </c>
      <c r="D324" s="70">
        <v>552105090</v>
      </c>
      <c r="E324" s="57">
        <v>14880</v>
      </c>
      <c r="F324" s="71" t="s">
        <v>307</v>
      </c>
      <c r="G324" s="61">
        <v>0</v>
      </c>
      <c r="H324" s="70">
        <f t="shared" si="20"/>
        <v>0</v>
      </c>
      <c r="I324" s="11">
        <f t="shared" ca="1" si="21"/>
        <v>46120</v>
      </c>
      <c r="J324" s="11">
        <f t="shared" ca="1" si="19"/>
        <v>46118</v>
      </c>
      <c r="K324" s="13"/>
    </row>
    <row r="325" spans="1:11" ht="18" x14ac:dyDescent="0.4">
      <c r="A325" s="7" t="s">
        <v>0</v>
      </c>
      <c r="B325" s="81" t="s">
        <v>299</v>
      </c>
      <c r="C325" s="60">
        <v>51658</v>
      </c>
      <c r="D325" s="70">
        <v>552105110</v>
      </c>
      <c r="E325" s="57">
        <v>1488</v>
      </c>
      <c r="F325" s="71" t="s">
        <v>308</v>
      </c>
      <c r="G325" s="61">
        <v>0</v>
      </c>
      <c r="H325" s="70">
        <f t="shared" si="20"/>
        <v>0</v>
      </c>
      <c r="I325" s="11">
        <f t="shared" ca="1" si="21"/>
        <v>46120</v>
      </c>
      <c r="J325" s="11">
        <f t="shared" ca="1" si="19"/>
        <v>46118</v>
      </c>
      <c r="K325" s="13"/>
    </row>
    <row r="326" spans="1:11" ht="18" x14ac:dyDescent="0.4">
      <c r="A326" s="7" t="s">
        <v>0</v>
      </c>
      <c r="B326" s="81" t="s">
        <v>299</v>
      </c>
      <c r="C326" s="60">
        <v>51658</v>
      </c>
      <c r="D326" s="70">
        <v>552107380</v>
      </c>
      <c r="E326" s="57">
        <v>1536</v>
      </c>
      <c r="F326" s="71" t="s">
        <v>306</v>
      </c>
      <c r="G326" s="61">
        <v>0</v>
      </c>
      <c r="H326" s="70">
        <f t="shared" si="20"/>
        <v>0</v>
      </c>
      <c r="I326" s="11">
        <f t="shared" ca="1" si="21"/>
        <v>46120</v>
      </c>
      <c r="J326" s="11">
        <f t="shared" ca="1" si="19"/>
        <v>46118</v>
      </c>
      <c r="K326" s="13"/>
    </row>
    <row r="327" spans="1:11" ht="18" x14ac:dyDescent="0.4">
      <c r="A327" s="7" t="s">
        <v>0</v>
      </c>
      <c r="B327" s="81" t="s">
        <v>299</v>
      </c>
      <c r="C327" s="60">
        <v>51658</v>
      </c>
      <c r="D327" s="70">
        <v>552107390</v>
      </c>
      <c r="E327" s="57">
        <v>15360</v>
      </c>
      <c r="F327" s="71" t="s">
        <v>307</v>
      </c>
      <c r="G327" s="61">
        <v>0</v>
      </c>
      <c r="H327" s="70">
        <f t="shared" si="20"/>
        <v>0</v>
      </c>
      <c r="I327" s="11">
        <f t="shared" ca="1" si="21"/>
        <v>46120</v>
      </c>
      <c r="J327" s="11">
        <f t="shared" ca="1" si="19"/>
        <v>46118</v>
      </c>
      <c r="K327" s="13"/>
    </row>
    <row r="328" spans="1:11" ht="18" x14ac:dyDescent="0.4">
      <c r="A328" s="7" t="s">
        <v>0</v>
      </c>
      <c r="B328" s="81" t="s">
        <v>299</v>
      </c>
      <c r="C328" s="60">
        <v>51658</v>
      </c>
      <c r="D328" s="70">
        <v>552107400</v>
      </c>
      <c r="E328" s="57">
        <v>1536</v>
      </c>
      <c r="F328" s="71" t="s">
        <v>308</v>
      </c>
      <c r="G328" s="61">
        <v>0</v>
      </c>
      <c r="H328" s="70">
        <f t="shared" si="20"/>
        <v>0</v>
      </c>
      <c r="I328" s="11">
        <f t="shared" ca="1" si="21"/>
        <v>46120</v>
      </c>
      <c r="J328" s="11">
        <f t="shared" ca="1" si="19"/>
        <v>46118</v>
      </c>
      <c r="K328" s="13"/>
    </row>
    <row r="329" spans="1:11" ht="18" x14ac:dyDescent="0.4">
      <c r="A329" s="7" t="s">
        <v>0</v>
      </c>
      <c r="B329" s="81" t="s">
        <v>309</v>
      </c>
      <c r="C329" s="60">
        <v>21570</v>
      </c>
      <c r="D329" s="70">
        <v>463363330</v>
      </c>
      <c r="E329" s="57">
        <v>28000</v>
      </c>
      <c r="F329" s="71" t="s">
        <v>310</v>
      </c>
      <c r="G329" s="61">
        <v>0</v>
      </c>
      <c r="H329" s="70">
        <f t="shared" si="20"/>
        <v>0</v>
      </c>
      <c r="I329" s="11">
        <f t="shared" ca="1" si="21"/>
        <v>46120</v>
      </c>
      <c r="J329" s="11">
        <f t="shared" ca="1" si="19"/>
        <v>46118</v>
      </c>
      <c r="K329" s="13"/>
    </row>
    <row r="330" spans="1:11" ht="18" x14ac:dyDescent="0.4">
      <c r="A330" s="7" t="s">
        <v>0</v>
      </c>
      <c r="B330" s="81" t="s">
        <v>311</v>
      </c>
      <c r="C330" s="60">
        <v>40840</v>
      </c>
      <c r="D330" s="70">
        <v>187521210</v>
      </c>
      <c r="E330" s="57">
        <v>900</v>
      </c>
      <c r="F330" s="71" t="s">
        <v>312</v>
      </c>
      <c r="G330" s="61">
        <v>0</v>
      </c>
      <c r="H330" s="70">
        <f t="shared" ref="H330:H373" si="22">+G330/E330</f>
        <v>0</v>
      </c>
      <c r="I330" s="11">
        <f t="shared" ca="1" si="21"/>
        <v>46120</v>
      </c>
      <c r="J330" s="11">
        <f t="shared" ca="1" si="19"/>
        <v>46118</v>
      </c>
      <c r="K330" s="13"/>
    </row>
    <row r="331" spans="1:11" ht="18" x14ac:dyDescent="0.4">
      <c r="A331" s="7" t="s">
        <v>0</v>
      </c>
      <c r="B331" s="81" t="s">
        <v>311</v>
      </c>
      <c r="C331" s="60">
        <v>40840</v>
      </c>
      <c r="D331" s="70">
        <v>162891240</v>
      </c>
      <c r="E331" s="57">
        <v>100</v>
      </c>
      <c r="F331" s="71" t="s">
        <v>313</v>
      </c>
      <c r="G331" s="61">
        <v>0</v>
      </c>
      <c r="H331" s="70">
        <f t="shared" si="22"/>
        <v>0</v>
      </c>
      <c r="I331" s="11">
        <f t="shared" ca="1" si="21"/>
        <v>46120</v>
      </c>
      <c r="J331" s="11">
        <f t="shared" ca="1" si="19"/>
        <v>46118</v>
      </c>
      <c r="K331" s="13"/>
    </row>
    <row r="332" spans="1:11" ht="18" x14ac:dyDescent="0.4">
      <c r="A332" s="7" t="s">
        <v>0</v>
      </c>
      <c r="B332" s="81" t="s">
        <v>311</v>
      </c>
      <c r="C332" s="60">
        <v>40840</v>
      </c>
      <c r="D332" s="70">
        <v>463447260</v>
      </c>
      <c r="E332" s="57">
        <v>100</v>
      </c>
      <c r="F332" s="71" t="s">
        <v>313</v>
      </c>
      <c r="G332" s="61">
        <v>0</v>
      </c>
      <c r="H332" s="70">
        <f t="shared" si="22"/>
        <v>0</v>
      </c>
      <c r="I332" s="11">
        <f t="shared" ca="1" si="21"/>
        <v>46120</v>
      </c>
      <c r="J332" s="11">
        <f t="shared" ca="1" si="19"/>
        <v>46118</v>
      </c>
      <c r="K332" s="13"/>
    </row>
    <row r="333" spans="1:11" ht="18" x14ac:dyDescent="0.4">
      <c r="A333" s="7" t="s">
        <v>0</v>
      </c>
      <c r="B333" s="81" t="s">
        <v>311</v>
      </c>
      <c r="C333" s="60">
        <v>40840</v>
      </c>
      <c r="D333" s="70">
        <v>551877380</v>
      </c>
      <c r="E333" s="57">
        <v>150</v>
      </c>
      <c r="F333" s="71" t="s">
        <v>314</v>
      </c>
      <c r="G333" s="61">
        <v>0</v>
      </c>
      <c r="H333" s="70">
        <f t="shared" si="22"/>
        <v>0</v>
      </c>
      <c r="I333" s="11">
        <f t="shared" ca="1" si="21"/>
        <v>46120</v>
      </c>
      <c r="J333" s="11">
        <f t="shared" ca="1" si="19"/>
        <v>46118</v>
      </c>
      <c r="K333" s="13"/>
    </row>
    <row r="334" spans="1:11" ht="18" x14ac:dyDescent="0.4">
      <c r="A334" s="7" t="s">
        <v>0</v>
      </c>
      <c r="B334" s="81" t="s">
        <v>311</v>
      </c>
      <c r="C334" s="60">
        <v>40840</v>
      </c>
      <c r="D334" s="70">
        <v>552650820</v>
      </c>
      <c r="E334" s="57">
        <v>300</v>
      </c>
      <c r="F334" s="71" t="s">
        <v>315</v>
      </c>
      <c r="G334" s="61">
        <v>0</v>
      </c>
      <c r="H334" s="70">
        <f t="shared" si="22"/>
        <v>0</v>
      </c>
      <c r="I334" s="11">
        <f t="shared" ca="1" si="21"/>
        <v>46120</v>
      </c>
      <c r="J334" s="11">
        <f t="shared" ca="1" si="19"/>
        <v>46118</v>
      </c>
      <c r="K334" s="13"/>
    </row>
    <row r="335" spans="1:11" ht="18" x14ac:dyDescent="0.4">
      <c r="A335" s="7" t="s">
        <v>0</v>
      </c>
      <c r="B335" s="81" t="s">
        <v>316</v>
      </c>
      <c r="C335" s="57">
        <v>30467</v>
      </c>
      <c r="D335" s="70">
        <v>140593110</v>
      </c>
      <c r="E335" s="57">
        <v>1200</v>
      </c>
      <c r="F335" s="71" t="s">
        <v>317</v>
      </c>
      <c r="G335" s="61">
        <v>0</v>
      </c>
      <c r="H335" s="70">
        <f t="shared" si="22"/>
        <v>0</v>
      </c>
      <c r="I335" s="11">
        <f t="shared" ca="1" si="21"/>
        <v>46120</v>
      </c>
      <c r="J335" s="11">
        <f t="shared" ca="1" si="19"/>
        <v>46118</v>
      </c>
      <c r="K335" s="13"/>
    </row>
    <row r="336" spans="1:11" ht="18" x14ac:dyDescent="0.4">
      <c r="A336" s="7" t="s">
        <v>0</v>
      </c>
      <c r="B336" s="81" t="s">
        <v>316</v>
      </c>
      <c r="C336" s="57">
        <v>30467</v>
      </c>
      <c r="D336" s="70">
        <v>140594210</v>
      </c>
      <c r="E336" s="57">
        <v>800</v>
      </c>
      <c r="F336" s="71" t="s">
        <v>318</v>
      </c>
      <c r="G336" s="61">
        <v>0</v>
      </c>
      <c r="H336" s="70">
        <f t="shared" si="22"/>
        <v>0</v>
      </c>
      <c r="I336" s="11">
        <f t="shared" ca="1" si="21"/>
        <v>46120</v>
      </c>
      <c r="J336" s="11">
        <f t="shared" ca="1" si="19"/>
        <v>46118</v>
      </c>
      <c r="K336" s="13"/>
    </row>
    <row r="337" spans="1:11" ht="18" x14ac:dyDescent="0.4">
      <c r="A337" s="7" t="s">
        <v>0</v>
      </c>
      <c r="B337" s="81" t="s">
        <v>316</v>
      </c>
      <c r="C337" s="57">
        <v>30467</v>
      </c>
      <c r="D337" s="70">
        <v>517309140</v>
      </c>
      <c r="E337" s="57">
        <v>2500</v>
      </c>
      <c r="F337" s="71" t="s">
        <v>319</v>
      </c>
      <c r="G337" s="61">
        <v>0</v>
      </c>
      <c r="H337" s="70">
        <f t="shared" si="22"/>
        <v>0</v>
      </c>
      <c r="I337" s="11">
        <f t="shared" ca="1" si="21"/>
        <v>46120</v>
      </c>
      <c r="J337" s="11">
        <f t="shared" ca="1" si="19"/>
        <v>46118</v>
      </c>
      <c r="K337" s="13"/>
    </row>
    <row r="338" spans="1:11" ht="18" x14ac:dyDescent="0.4">
      <c r="A338" s="7" t="s">
        <v>0</v>
      </c>
      <c r="B338" s="60" t="s">
        <v>320</v>
      </c>
      <c r="C338" s="57">
        <v>19414</v>
      </c>
      <c r="D338" s="70">
        <v>77463090</v>
      </c>
      <c r="E338" s="57">
        <v>430</v>
      </c>
      <c r="F338" s="71" t="s">
        <v>321</v>
      </c>
      <c r="G338" s="61">
        <v>0</v>
      </c>
      <c r="H338" s="70">
        <f t="shared" si="22"/>
        <v>0</v>
      </c>
      <c r="I338" s="11">
        <f t="shared" ca="1" si="21"/>
        <v>46120</v>
      </c>
      <c r="J338" s="11">
        <f t="shared" ca="1" si="19"/>
        <v>46118</v>
      </c>
      <c r="K338" s="13"/>
    </row>
    <row r="339" spans="1:11" ht="18" x14ac:dyDescent="0.4">
      <c r="A339" s="7" t="s">
        <v>0</v>
      </c>
      <c r="B339" s="81" t="s">
        <v>320</v>
      </c>
      <c r="C339" s="57">
        <v>19414</v>
      </c>
      <c r="D339" s="70">
        <v>115864240</v>
      </c>
      <c r="E339" s="57">
        <v>300</v>
      </c>
      <c r="F339" s="71" t="s">
        <v>322</v>
      </c>
      <c r="G339" s="61">
        <v>0</v>
      </c>
      <c r="H339" s="70">
        <f t="shared" si="22"/>
        <v>0</v>
      </c>
      <c r="I339" s="11">
        <f t="shared" ca="1" si="21"/>
        <v>46120</v>
      </c>
      <c r="J339" s="11">
        <f t="shared" ca="1" si="19"/>
        <v>46118</v>
      </c>
      <c r="K339" s="13"/>
    </row>
    <row r="340" spans="1:11" ht="18" x14ac:dyDescent="0.4">
      <c r="A340" s="7" t="s">
        <v>0</v>
      </c>
      <c r="B340" s="81" t="s">
        <v>320</v>
      </c>
      <c r="C340" s="57">
        <v>19414</v>
      </c>
      <c r="D340" s="70">
        <v>143083240</v>
      </c>
      <c r="E340" s="57">
        <v>260</v>
      </c>
      <c r="F340" s="71" t="s">
        <v>323</v>
      </c>
      <c r="G340" s="61">
        <v>0</v>
      </c>
      <c r="H340" s="70">
        <f t="shared" si="22"/>
        <v>0</v>
      </c>
      <c r="I340" s="11">
        <f t="shared" ca="1" si="21"/>
        <v>46120</v>
      </c>
      <c r="J340" s="11">
        <f t="shared" ca="1" si="19"/>
        <v>46118</v>
      </c>
      <c r="K340" s="13"/>
    </row>
    <row r="341" spans="1:11" ht="18" x14ac:dyDescent="0.4">
      <c r="A341" s="7" t="s">
        <v>0</v>
      </c>
      <c r="B341" s="81" t="s">
        <v>320</v>
      </c>
      <c r="C341" s="57">
        <v>19414</v>
      </c>
      <c r="D341" s="70">
        <v>143085240</v>
      </c>
      <c r="E341" s="57">
        <v>210</v>
      </c>
      <c r="F341" s="71" t="s">
        <v>324</v>
      </c>
      <c r="G341" s="61">
        <v>0</v>
      </c>
      <c r="H341" s="70">
        <f t="shared" si="22"/>
        <v>0</v>
      </c>
      <c r="I341" s="11">
        <f t="shared" ca="1" si="21"/>
        <v>46120</v>
      </c>
      <c r="J341" s="11">
        <f t="shared" ca="1" si="19"/>
        <v>46118</v>
      </c>
      <c r="K341" s="13"/>
    </row>
    <row r="342" spans="1:11" ht="18" x14ac:dyDescent="0.4">
      <c r="A342" s="7" t="s">
        <v>0</v>
      </c>
      <c r="B342" s="81" t="s">
        <v>320</v>
      </c>
      <c r="C342" s="57">
        <v>19414</v>
      </c>
      <c r="D342" s="70">
        <v>116127240</v>
      </c>
      <c r="E342" s="57">
        <v>2000</v>
      </c>
      <c r="F342" s="71" t="s">
        <v>325</v>
      </c>
      <c r="G342" s="61">
        <v>0</v>
      </c>
      <c r="H342" s="70">
        <f t="shared" si="22"/>
        <v>0</v>
      </c>
      <c r="I342" s="11">
        <f t="shared" ca="1" si="21"/>
        <v>46120</v>
      </c>
      <c r="J342" s="11">
        <f t="shared" ca="1" si="19"/>
        <v>46118</v>
      </c>
      <c r="K342" s="13"/>
    </row>
    <row r="343" spans="1:11" ht="18" x14ac:dyDescent="0.4">
      <c r="A343" s="7" t="s">
        <v>0</v>
      </c>
      <c r="B343" s="81" t="s">
        <v>320</v>
      </c>
      <c r="C343" s="57">
        <v>19414</v>
      </c>
      <c r="D343" s="70">
        <v>116131240</v>
      </c>
      <c r="E343" s="57">
        <v>1500</v>
      </c>
      <c r="F343" s="71" t="s">
        <v>326</v>
      </c>
      <c r="G343" s="61">
        <v>0</v>
      </c>
      <c r="H343" s="70">
        <f t="shared" si="22"/>
        <v>0</v>
      </c>
      <c r="I343" s="11">
        <f t="shared" ca="1" si="21"/>
        <v>46120</v>
      </c>
      <c r="J343" s="11">
        <f t="shared" ca="1" si="19"/>
        <v>46118</v>
      </c>
      <c r="K343" s="13"/>
    </row>
    <row r="344" spans="1:11" ht="18" x14ac:dyDescent="0.4">
      <c r="A344" s="7" t="s">
        <v>0</v>
      </c>
      <c r="B344" s="81" t="s">
        <v>320</v>
      </c>
      <c r="C344" s="57">
        <v>19414</v>
      </c>
      <c r="D344" s="70">
        <v>117340240</v>
      </c>
      <c r="E344" s="57">
        <v>300</v>
      </c>
      <c r="F344" s="71" t="s">
        <v>327</v>
      </c>
      <c r="G344" s="61">
        <v>0</v>
      </c>
      <c r="H344" s="70">
        <f t="shared" si="22"/>
        <v>0</v>
      </c>
      <c r="I344" s="11">
        <f t="shared" ca="1" si="21"/>
        <v>46120</v>
      </c>
      <c r="J344" s="11">
        <f t="shared" ca="1" si="19"/>
        <v>46118</v>
      </c>
      <c r="K344" s="13"/>
    </row>
    <row r="345" spans="1:11" ht="18" x14ac:dyDescent="0.4">
      <c r="A345" s="7" t="s">
        <v>0</v>
      </c>
      <c r="B345" s="81" t="s">
        <v>320</v>
      </c>
      <c r="C345" s="57">
        <v>19414</v>
      </c>
      <c r="D345" s="70">
        <v>160433240</v>
      </c>
      <c r="E345" s="57">
        <v>1000</v>
      </c>
      <c r="F345" s="71" t="s">
        <v>328</v>
      </c>
      <c r="G345" s="61">
        <v>0</v>
      </c>
      <c r="H345" s="70">
        <f t="shared" si="22"/>
        <v>0</v>
      </c>
      <c r="I345" s="11">
        <f t="shared" ca="1" si="21"/>
        <v>46120</v>
      </c>
      <c r="J345" s="11">
        <f t="shared" ca="1" si="19"/>
        <v>46118</v>
      </c>
      <c r="K345" s="13"/>
    </row>
    <row r="346" spans="1:11" ht="18" x14ac:dyDescent="0.4">
      <c r="A346" s="7" t="s">
        <v>0</v>
      </c>
      <c r="B346" s="81" t="s">
        <v>320</v>
      </c>
      <c r="C346" s="57">
        <v>19414</v>
      </c>
      <c r="D346" s="70">
        <v>162874240</v>
      </c>
      <c r="E346" s="57">
        <v>500</v>
      </c>
      <c r="F346" s="71" t="s">
        <v>329</v>
      </c>
      <c r="G346" s="61">
        <v>0</v>
      </c>
      <c r="H346" s="70">
        <f t="shared" si="22"/>
        <v>0</v>
      </c>
      <c r="I346" s="11">
        <f t="shared" ca="1" si="21"/>
        <v>46120</v>
      </c>
      <c r="J346" s="11">
        <f t="shared" ca="1" si="19"/>
        <v>46118</v>
      </c>
      <c r="K346" s="13"/>
    </row>
    <row r="347" spans="1:11" ht="18" x14ac:dyDescent="0.4">
      <c r="A347" s="7" t="s">
        <v>0</v>
      </c>
      <c r="B347" s="81" t="s">
        <v>320</v>
      </c>
      <c r="C347" s="57">
        <v>19414</v>
      </c>
      <c r="D347" s="70">
        <v>162883240</v>
      </c>
      <c r="E347" s="57">
        <v>500</v>
      </c>
      <c r="F347" s="71" t="s">
        <v>330</v>
      </c>
      <c r="G347" s="61">
        <v>0</v>
      </c>
      <c r="H347" s="70">
        <f t="shared" si="22"/>
        <v>0</v>
      </c>
      <c r="I347" s="11">
        <f t="shared" ca="1" si="21"/>
        <v>46120</v>
      </c>
      <c r="J347" s="11">
        <f t="shared" ca="1" si="19"/>
        <v>46118</v>
      </c>
      <c r="K347" s="13"/>
    </row>
    <row r="348" spans="1:11" ht="18" x14ac:dyDescent="0.4">
      <c r="A348" s="7" t="s">
        <v>0</v>
      </c>
      <c r="B348" s="81" t="s">
        <v>320</v>
      </c>
      <c r="C348" s="57">
        <v>19414</v>
      </c>
      <c r="D348" s="70">
        <v>187517240</v>
      </c>
      <c r="E348" s="57">
        <v>1200</v>
      </c>
      <c r="F348" s="71" t="s">
        <v>331</v>
      </c>
      <c r="G348" s="61">
        <v>0</v>
      </c>
      <c r="H348" s="70">
        <f t="shared" si="22"/>
        <v>0</v>
      </c>
      <c r="I348" s="11">
        <f t="shared" ca="1" si="21"/>
        <v>46120</v>
      </c>
      <c r="J348" s="11">
        <f t="shared" ca="1" si="19"/>
        <v>46118</v>
      </c>
      <c r="K348" s="13"/>
    </row>
    <row r="349" spans="1:11" ht="18" x14ac:dyDescent="0.4">
      <c r="A349" s="7" t="s">
        <v>0</v>
      </c>
      <c r="B349" s="81" t="s">
        <v>320</v>
      </c>
      <c r="C349" s="57">
        <v>19414</v>
      </c>
      <c r="D349" s="70">
        <v>465484560</v>
      </c>
      <c r="E349" s="57">
        <v>700</v>
      </c>
      <c r="F349" s="71" t="s">
        <v>185</v>
      </c>
      <c r="G349" s="61">
        <v>0</v>
      </c>
      <c r="H349" s="70">
        <f t="shared" si="22"/>
        <v>0</v>
      </c>
      <c r="I349" s="11">
        <f t="shared" ca="1" si="21"/>
        <v>46120</v>
      </c>
      <c r="J349" s="11">
        <f t="shared" ca="1" si="19"/>
        <v>46118</v>
      </c>
      <c r="K349" s="13"/>
    </row>
    <row r="350" spans="1:11" ht="18" x14ac:dyDescent="0.4">
      <c r="A350" s="7" t="s">
        <v>0</v>
      </c>
      <c r="B350" s="81" t="s">
        <v>320</v>
      </c>
      <c r="C350" s="57">
        <v>19414</v>
      </c>
      <c r="D350" s="70">
        <v>465484570</v>
      </c>
      <c r="E350" s="57">
        <v>400</v>
      </c>
      <c r="F350" s="71" t="s">
        <v>185</v>
      </c>
      <c r="G350" s="61">
        <v>0</v>
      </c>
      <c r="H350" s="70">
        <f t="shared" si="22"/>
        <v>0</v>
      </c>
      <c r="I350" s="11">
        <f t="shared" ca="1" si="21"/>
        <v>46120</v>
      </c>
      <c r="J350" s="11">
        <f t="shared" ca="1" si="19"/>
        <v>46118</v>
      </c>
      <c r="K350" s="13"/>
    </row>
    <row r="351" spans="1:11" ht="18" x14ac:dyDescent="0.4">
      <c r="A351" s="7" t="s">
        <v>0</v>
      </c>
      <c r="B351" s="81" t="s">
        <v>320</v>
      </c>
      <c r="C351" s="57">
        <v>19414</v>
      </c>
      <c r="D351" s="70">
        <v>552607160</v>
      </c>
      <c r="E351" s="57">
        <v>800</v>
      </c>
      <c r="F351" s="71" t="s">
        <v>332</v>
      </c>
      <c r="G351" s="61">
        <v>0</v>
      </c>
      <c r="H351" s="70">
        <f t="shared" si="22"/>
        <v>0</v>
      </c>
      <c r="I351" s="11">
        <f t="shared" ca="1" si="21"/>
        <v>46120</v>
      </c>
      <c r="J351" s="11">
        <f t="shared" ca="1" si="19"/>
        <v>46118</v>
      </c>
      <c r="K351" s="13"/>
    </row>
    <row r="352" spans="1:11" ht="18" x14ac:dyDescent="0.4">
      <c r="A352" s="7" t="s">
        <v>0</v>
      </c>
      <c r="B352" s="81" t="s">
        <v>320</v>
      </c>
      <c r="C352" s="57">
        <v>19414</v>
      </c>
      <c r="D352" s="70">
        <v>162860240</v>
      </c>
      <c r="E352" s="57">
        <v>1800</v>
      </c>
      <c r="F352" s="71" t="s">
        <v>315</v>
      </c>
      <c r="G352" s="61">
        <v>0</v>
      </c>
      <c r="H352" s="70">
        <f t="shared" si="22"/>
        <v>0</v>
      </c>
      <c r="I352" s="11">
        <f t="shared" ca="1" si="21"/>
        <v>46120</v>
      </c>
      <c r="J352" s="11">
        <f t="shared" ca="1" si="19"/>
        <v>46118</v>
      </c>
      <c r="K352" s="13"/>
    </row>
    <row r="353" spans="1:11" ht="18" x14ac:dyDescent="0.4">
      <c r="A353" s="7" t="s">
        <v>0</v>
      </c>
      <c r="B353" s="81" t="s">
        <v>320</v>
      </c>
      <c r="C353" s="57">
        <v>19414</v>
      </c>
      <c r="D353" s="70">
        <v>187505240</v>
      </c>
      <c r="E353" s="57">
        <v>1000</v>
      </c>
      <c r="F353" s="71" t="s">
        <v>333</v>
      </c>
      <c r="G353" s="61">
        <v>0</v>
      </c>
      <c r="H353" s="70">
        <f t="shared" si="22"/>
        <v>0</v>
      </c>
      <c r="I353" s="11">
        <f t="shared" ca="1" si="21"/>
        <v>46120</v>
      </c>
      <c r="J353" s="11">
        <f t="shared" ca="1" si="19"/>
        <v>46118</v>
      </c>
      <c r="K353" s="13"/>
    </row>
    <row r="354" spans="1:11" ht="18" x14ac:dyDescent="0.4">
      <c r="A354" s="7" t="s">
        <v>0</v>
      </c>
      <c r="B354" s="81" t="s">
        <v>320</v>
      </c>
      <c r="C354" s="57">
        <v>19414</v>
      </c>
      <c r="D354" s="70">
        <v>187524240</v>
      </c>
      <c r="E354" s="57">
        <v>800</v>
      </c>
      <c r="F354" s="71" t="s">
        <v>334</v>
      </c>
      <c r="G354" s="61">
        <v>0</v>
      </c>
      <c r="H354" s="70">
        <f t="shared" si="22"/>
        <v>0</v>
      </c>
      <c r="I354" s="11">
        <f t="shared" ca="1" si="21"/>
        <v>46120</v>
      </c>
      <c r="J354" s="11">
        <f t="shared" ca="1" si="19"/>
        <v>46118</v>
      </c>
      <c r="K354" s="13"/>
    </row>
    <row r="355" spans="1:11" ht="18" x14ac:dyDescent="0.4">
      <c r="A355" s="7" t="s">
        <v>0</v>
      </c>
      <c r="B355" s="81" t="s">
        <v>320</v>
      </c>
      <c r="C355" s="57">
        <v>19414</v>
      </c>
      <c r="D355" s="70">
        <v>551872090</v>
      </c>
      <c r="E355" s="57">
        <v>180</v>
      </c>
      <c r="F355" s="71" t="s">
        <v>335</v>
      </c>
      <c r="G355" s="61">
        <v>0</v>
      </c>
      <c r="H355" s="70">
        <f t="shared" si="22"/>
        <v>0</v>
      </c>
      <c r="I355" s="11">
        <f t="shared" ca="1" si="21"/>
        <v>46120</v>
      </c>
      <c r="J355" s="11">
        <f t="shared" ca="1" si="19"/>
        <v>46118</v>
      </c>
      <c r="K355" s="13"/>
    </row>
    <row r="356" spans="1:11" ht="18" x14ac:dyDescent="0.4">
      <c r="A356" s="7" t="s">
        <v>0</v>
      </c>
      <c r="B356" s="81" t="s">
        <v>320</v>
      </c>
      <c r="C356" s="57">
        <v>19414</v>
      </c>
      <c r="D356" s="70">
        <v>735012020</v>
      </c>
      <c r="E356" s="57">
        <v>220</v>
      </c>
      <c r="F356" s="71" t="s">
        <v>336</v>
      </c>
      <c r="G356" s="61">
        <v>0</v>
      </c>
      <c r="H356" s="70">
        <f t="shared" si="22"/>
        <v>0</v>
      </c>
      <c r="I356" s="11">
        <f t="shared" ca="1" si="21"/>
        <v>46120</v>
      </c>
      <c r="J356" s="11">
        <f t="shared" ca="1" si="19"/>
        <v>46118</v>
      </c>
      <c r="K356" s="13"/>
    </row>
    <row r="357" spans="1:11" ht="18" x14ac:dyDescent="0.4">
      <c r="A357" s="7" t="s">
        <v>0</v>
      </c>
      <c r="B357" s="81" t="s">
        <v>320</v>
      </c>
      <c r="C357" s="57">
        <v>19414</v>
      </c>
      <c r="D357" s="70">
        <v>735012040</v>
      </c>
      <c r="E357" s="57">
        <v>250</v>
      </c>
      <c r="F357" s="71" t="s">
        <v>337</v>
      </c>
      <c r="G357" s="61">
        <v>0</v>
      </c>
      <c r="H357" s="70">
        <f t="shared" si="22"/>
        <v>0</v>
      </c>
      <c r="I357" s="11">
        <f t="shared" ca="1" si="21"/>
        <v>46120</v>
      </c>
      <c r="J357" s="11">
        <f t="shared" ca="1" si="19"/>
        <v>46118</v>
      </c>
      <c r="K357" s="13"/>
    </row>
    <row r="358" spans="1:11" ht="18" x14ac:dyDescent="0.4">
      <c r="A358" s="7" t="s">
        <v>0</v>
      </c>
      <c r="B358" s="81" t="s">
        <v>320</v>
      </c>
      <c r="C358" s="57">
        <v>19414</v>
      </c>
      <c r="D358" s="70">
        <v>735012080</v>
      </c>
      <c r="E358" s="57">
        <v>600</v>
      </c>
      <c r="F358" s="71" t="s">
        <v>338</v>
      </c>
      <c r="G358" s="61">
        <v>0</v>
      </c>
      <c r="H358" s="70">
        <f t="shared" si="22"/>
        <v>0</v>
      </c>
      <c r="I358" s="11">
        <f t="shared" ca="1" si="21"/>
        <v>46120</v>
      </c>
      <c r="J358" s="11">
        <f t="shared" ca="1" si="19"/>
        <v>46118</v>
      </c>
      <c r="K358" s="13"/>
    </row>
    <row r="359" spans="1:11" ht="18" x14ac:dyDescent="0.4">
      <c r="A359" s="7" t="s">
        <v>0</v>
      </c>
      <c r="B359" s="81" t="s">
        <v>320</v>
      </c>
      <c r="C359" s="57">
        <v>19414</v>
      </c>
      <c r="D359" s="70">
        <v>135872210</v>
      </c>
      <c r="E359" s="57">
        <v>2800</v>
      </c>
      <c r="F359" s="71" t="s">
        <v>339</v>
      </c>
      <c r="G359" s="61">
        <v>0</v>
      </c>
      <c r="H359" s="70">
        <f t="shared" si="22"/>
        <v>0</v>
      </c>
      <c r="I359" s="11">
        <f t="shared" ca="1" si="21"/>
        <v>46120</v>
      </c>
      <c r="J359" s="11">
        <f t="shared" ca="1" si="19"/>
        <v>46118</v>
      </c>
      <c r="K359" s="13"/>
    </row>
    <row r="360" spans="1:11" ht="18" x14ac:dyDescent="0.4">
      <c r="A360" s="7" t="s">
        <v>0</v>
      </c>
      <c r="B360" s="81" t="s">
        <v>340</v>
      </c>
      <c r="C360" s="57">
        <v>27951</v>
      </c>
      <c r="D360" s="70">
        <v>162870240</v>
      </c>
      <c r="E360" s="57">
        <v>800</v>
      </c>
      <c r="F360" s="71" t="s">
        <v>341</v>
      </c>
      <c r="G360" s="61">
        <v>0</v>
      </c>
      <c r="H360" s="70">
        <f t="shared" si="22"/>
        <v>0</v>
      </c>
      <c r="I360" s="11">
        <f t="shared" ca="1" si="21"/>
        <v>46120</v>
      </c>
      <c r="J360" s="11">
        <f t="shared" ca="1" si="19"/>
        <v>46118</v>
      </c>
      <c r="K360" s="13"/>
    </row>
    <row r="361" spans="1:11" ht="18" x14ac:dyDescent="0.4">
      <c r="A361" s="7" t="s">
        <v>0</v>
      </c>
      <c r="B361" s="81" t="s">
        <v>340</v>
      </c>
      <c r="C361" s="57">
        <v>27951</v>
      </c>
      <c r="D361" s="70">
        <v>552581940</v>
      </c>
      <c r="E361" s="57">
        <v>800</v>
      </c>
      <c r="F361" s="71" t="s">
        <v>342</v>
      </c>
      <c r="G361" s="61">
        <v>0</v>
      </c>
      <c r="H361" s="70">
        <f t="shared" si="22"/>
        <v>0</v>
      </c>
      <c r="I361" s="11">
        <f t="shared" ca="1" si="21"/>
        <v>46120</v>
      </c>
      <c r="J361" s="11">
        <f t="shared" ca="1" si="19"/>
        <v>46118</v>
      </c>
      <c r="K361" s="13"/>
    </row>
    <row r="362" spans="1:11" ht="18" x14ac:dyDescent="0.4">
      <c r="A362" s="7" t="s">
        <v>0</v>
      </c>
      <c r="B362" s="81" t="s">
        <v>343</v>
      </c>
      <c r="C362" s="57">
        <v>10627</v>
      </c>
      <c r="D362" s="70">
        <v>116123240</v>
      </c>
      <c r="E362" s="57">
        <v>18000</v>
      </c>
      <c r="F362" s="71" t="s">
        <v>344</v>
      </c>
      <c r="G362" s="61">
        <v>0</v>
      </c>
      <c r="H362" s="70">
        <f t="shared" si="22"/>
        <v>0</v>
      </c>
      <c r="I362" s="11">
        <f t="shared" ca="1" si="21"/>
        <v>46120</v>
      </c>
      <c r="J362" s="11">
        <f t="shared" ca="1" si="19"/>
        <v>46118</v>
      </c>
      <c r="K362" s="13"/>
    </row>
    <row r="363" spans="1:11" ht="18" x14ac:dyDescent="0.4">
      <c r="A363" s="7" t="s">
        <v>0</v>
      </c>
      <c r="B363" s="81" t="s">
        <v>137</v>
      </c>
      <c r="C363" s="57">
        <v>36019</v>
      </c>
      <c r="D363" s="70">
        <v>130307240</v>
      </c>
      <c r="E363" s="57">
        <v>350</v>
      </c>
      <c r="F363" s="71" t="s">
        <v>345</v>
      </c>
      <c r="G363" s="61">
        <v>0</v>
      </c>
      <c r="H363" s="70">
        <f t="shared" si="22"/>
        <v>0</v>
      </c>
      <c r="I363" s="11">
        <f t="shared" ca="1" si="21"/>
        <v>46120</v>
      </c>
      <c r="J363" s="11">
        <f t="shared" ca="1" si="19"/>
        <v>46118</v>
      </c>
      <c r="K363" s="13"/>
    </row>
    <row r="364" spans="1:11" ht="18" x14ac:dyDescent="0.4">
      <c r="A364" s="7" t="s">
        <v>0</v>
      </c>
      <c r="B364" s="81" t="s">
        <v>137</v>
      </c>
      <c r="C364" s="57">
        <v>36019</v>
      </c>
      <c r="D364" s="70">
        <v>143078240</v>
      </c>
      <c r="E364" s="57">
        <v>350</v>
      </c>
      <c r="F364" s="71" t="s">
        <v>346</v>
      </c>
      <c r="G364" s="61">
        <v>0</v>
      </c>
      <c r="H364" s="70">
        <f t="shared" si="22"/>
        <v>0</v>
      </c>
      <c r="I364" s="11">
        <f t="shared" ca="1" si="21"/>
        <v>46120</v>
      </c>
      <c r="J364" s="11">
        <f t="shared" ca="1" si="19"/>
        <v>46118</v>
      </c>
      <c r="K364" s="13"/>
    </row>
    <row r="365" spans="1:11" ht="18" x14ac:dyDescent="0.4">
      <c r="A365" s="7" t="s">
        <v>0</v>
      </c>
      <c r="B365" s="81" t="s">
        <v>137</v>
      </c>
      <c r="C365" s="57">
        <v>36019</v>
      </c>
      <c r="D365" s="70">
        <v>159720240</v>
      </c>
      <c r="E365" s="57">
        <v>130</v>
      </c>
      <c r="F365" s="71" t="s">
        <v>347</v>
      </c>
      <c r="G365" s="61">
        <v>0</v>
      </c>
      <c r="H365" s="70">
        <f t="shared" si="22"/>
        <v>0</v>
      </c>
      <c r="I365" s="11">
        <f t="shared" ca="1" si="21"/>
        <v>46120</v>
      </c>
      <c r="J365" s="11">
        <f t="shared" ca="1" si="19"/>
        <v>46118</v>
      </c>
      <c r="K365" s="13"/>
    </row>
    <row r="366" spans="1:11" ht="18" x14ac:dyDescent="0.4">
      <c r="A366" s="7" t="s">
        <v>0</v>
      </c>
      <c r="B366" s="81" t="s">
        <v>137</v>
      </c>
      <c r="C366" s="57">
        <v>36019</v>
      </c>
      <c r="D366" s="70">
        <v>187502240</v>
      </c>
      <c r="E366" s="57">
        <v>1400</v>
      </c>
      <c r="F366" s="71" t="s">
        <v>348</v>
      </c>
      <c r="G366" s="61">
        <v>0</v>
      </c>
      <c r="H366" s="70">
        <f t="shared" si="22"/>
        <v>0</v>
      </c>
      <c r="I366" s="11">
        <f t="shared" ca="1" si="21"/>
        <v>46120</v>
      </c>
      <c r="J366" s="11">
        <f t="shared" ca="1" si="19"/>
        <v>46118</v>
      </c>
      <c r="K366" s="13"/>
    </row>
    <row r="367" spans="1:11" ht="18" x14ac:dyDescent="0.4">
      <c r="A367" s="7" t="s">
        <v>0</v>
      </c>
      <c r="B367" s="81" t="s">
        <v>137</v>
      </c>
      <c r="C367" s="57">
        <v>36019</v>
      </c>
      <c r="D367" s="70">
        <v>187528210</v>
      </c>
      <c r="E367" s="57">
        <v>1400</v>
      </c>
      <c r="F367" s="71" t="s">
        <v>349</v>
      </c>
      <c r="G367" s="61">
        <v>0</v>
      </c>
      <c r="H367" s="70">
        <f t="shared" si="22"/>
        <v>0</v>
      </c>
      <c r="I367" s="11">
        <f t="shared" ca="1" si="21"/>
        <v>46120</v>
      </c>
      <c r="J367" s="11">
        <f t="shared" ca="1" si="19"/>
        <v>46118</v>
      </c>
      <c r="K367" s="13"/>
    </row>
    <row r="368" spans="1:11" ht="18" x14ac:dyDescent="0.4">
      <c r="A368" s="7" t="s">
        <v>0</v>
      </c>
      <c r="B368" s="81" t="s">
        <v>137</v>
      </c>
      <c r="C368" s="57">
        <v>36019</v>
      </c>
      <c r="D368" s="70">
        <v>463472570</v>
      </c>
      <c r="E368" s="57">
        <v>1200</v>
      </c>
      <c r="F368" s="71" t="s">
        <v>350</v>
      </c>
      <c r="G368" s="61">
        <v>0</v>
      </c>
      <c r="H368" s="70">
        <f t="shared" si="22"/>
        <v>0</v>
      </c>
      <c r="I368" s="11">
        <f t="shared" ca="1" si="21"/>
        <v>46120</v>
      </c>
      <c r="J368" s="11">
        <f t="shared" ca="1" si="19"/>
        <v>46118</v>
      </c>
      <c r="K368" s="13"/>
    </row>
    <row r="369" spans="1:11" ht="18" x14ac:dyDescent="0.4">
      <c r="A369" s="7" t="s">
        <v>0</v>
      </c>
      <c r="B369" s="81" t="s">
        <v>137</v>
      </c>
      <c r="C369" s="57">
        <v>36019</v>
      </c>
      <c r="D369" s="70">
        <v>551877370</v>
      </c>
      <c r="E369" s="57">
        <v>3600</v>
      </c>
      <c r="F369" s="71" t="s">
        <v>351</v>
      </c>
      <c r="G369" s="61">
        <v>0</v>
      </c>
      <c r="H369" s="70">
        <f t="shared" si="22"/>
        <v>0</v>
      </c>
      <c r="I369" s="11">
        <f t="shared" ca="1" si="21"/>
        <v>46120</v>
      </c>
      <c r="J369" s="11">
        <f t="shared" ca="1" si="19"/>
        <v>46118</v>
      </c>
      <c r="K369" s="13"/>
    </row>
    <row r="370" spans="1:11" ht="18" x14ac:dyDescent="0.4">
      <c r="A370" s="7" t="s">
        <v>0</v>
      </c>
      <c r="B370" s="81" t="s">
        <v>137</v>
      </c>
      <c r="C370" s="57">
        <v>36019</v>
      </c>
      <c r="D370" s="70">
        <v>552501310</v>
      </c>
      <c r="E370" s="57">
        <v>350</v>
      </c>
      <c r="F370" s="71" t="s">
        <v>352</v>
      </c>
      <c r="G370" s="61">
        <v>0</v>
      </c>
      <c r="H370" s="70">
        <f t="shared" si="22"/>
        <v>0</v>
      </c>
      <c r="I370" s="11">
        <f t="shared" ca="1" si="21"/>
        <v>46120</v>
      </c>
      <c r="J370" s="11">
        <f t="shared" ca="1" si="19"/>
        <v>46118</v>
      </c>
      <c r="K370" s="13"/>
    </row>
    <row r="371" spans="1:11" ht="18" x14ac:dyDescent="0.4">
      <c r="A371" s="7" t="s">
        <v>0</v>
      </c>
      <c r="B371" s="81" t="s">
        <v>137</v>
      </c>
      <c r="C371" s="57">
        <v>36019</v>
      </c>
      <c r="D371" s="70">
        <v>552261740</v>
      </c>
      <c r="E371" s="57">
        <v>250</v>
      </c>
      <c r="F371" s="71" t="s">
        <v>353</v>
      </c>
      <c r="G371" s="61">
        <v>0</v>
      </c>
      <c r="H371" s="70">
        <f t="shared" si="22"/>
        <v>0</v>
      </c>
      <c r="I371" s="11">
        <f t="shared" ca="1" si="21"/>
        <v>46120</v>
      </c>
      <c r="J371" s="11">
        <f t="shared" ca="1" si="19"/>
        <v>46118</v>
      </c>
      <c r="K371" s="13"/>
    </row>
    <row r="372" spans="1:11" ht="18" x14ac:dyDescent="0.4">
      <c r="A372" s="7" t="s">
        <v>0</v>
      </c>
      <c r="B372" s="81" t="s">
        <v>137</v>
      </c>
      <c r="C372" s="57">
        <v>36019</v>
      </c>
      <c r="D372" s="70">
        <v>463507860</v>
      </c>
      <c r="E372" s="57">
        <v>150</v>
      </c>
      <c r="F372" s="71" t="s">
        <v>127</v>
      </c>
      <c r="G372" s="61">
        <v>0</v>
      </c>
      <c r="H372" s="70">
        <f t="shared" si="22"/>
        <v>0</v>
      </c>
      <c r="I372" s="11">
        <f t="shared" ca="1" si="21"/>
        <v>46120</v>
      </c>
      <c r="J372" s="11">
        <f t="shared" ca="1" si="19"/>
        <v>46118</v>
      </c>
      <c r="K372" s="13"/>
    </row>
    <row r="373" spans="1:11" ht="18" x14ac:dyDescent="0.4">
      <c r="A373" s="14" t="s">
        <v>0</v>
      </c>
      <c r="B373" s="84" t="s">
        <v>137</v>
      </c>
      <c r="C373" s="78">
        <v>36019</v>
      </c>
      <c r="D373" s="79">
        <v>552589360</v>
      </c>
      <c r="E373" s="78">
        <v>230</v>
      </c>
      <c r="F373" s="80" t="s">
        <v>127</v>
      </c>
      <c r="G373" s="90">
        <v>0</v>
      </c>
      <c r="H373" s="72">
        <f t="shared" si="22"/>
        <v>0</v>
      </c>
      <c r="I373" s="36">
        <f t="shared" ca="1" si="21"/>
        <v>46120</v>
      </c>
      <c r="J373" s="36">
        <f t="shared" ca="1" si="19"/>
        <v>46118</v>
      </c>
      <c r="K373" s="15"/>
    </row>
    <row r="374" spans="1:11" ht="18" x14ac:dyDescent="0.4">
      <c r="A374" s="60" t="s">
        <v>719</v>
      </c>
      <c r="B374" s="7" t="s">
        <v>354</v>
      </c>
      <c r="C374" s="8">
        <v>30464</v>
      </c>
      <c r="D374" s="9">
        <v>463444260</v>
      </c>
      <c r="E374" s="57">
        <v>200</v>
      </c>
      <c r="F374" s="10" t="s">
        <v>356</v>
      </c>
      <c r="G374" s="9">
        <v>0</v>
      </c>
      <c r="H374" s="9">
        <f t="shared" ref="H374:H432" si="23">G374/E374</f>
        <v>0</v>
      </c>
      <c r="I374" s="11">
        <f t="shared" ca="1" si="21"/>
        <v>46120</v>
      </c>
      <c r="J374" s="11">
        <f t="shared" ca="1" si="19"/>
        <v>46118</v>
      </c>
      <c r="K374" s="17"/>
    </row>
    <row r="375" spans="1:11" ht="18" x14ac:dyDescent="0.4">
      <c r="A375" s="7" t="s">
        <v>719</v>
      </c>
      <c r="B375" s="7" t="s">
        <v>357</v>
      </c>
      <c r="C375" s="8">
        <v>19414</v>
      </c>
      <c r="D375" s="9">
        <v>463584330</v>
      </c>
      <c r="E375" s="57">
        <v>1500</v>
      </c>
      <c r="F375" s="10" t="s">
        <v>168</v>
      </c>
      <c r="G375" s="9">
        <v>0</v>
      </c>
      <c r="H375" s="9">
        <f t="shared" si="23"/>
        <v>0</v>
      </c>
      <c r="I375" s="11">
        <f t="shared" ca="1" si="21"/>
        <v>46120</v>
      </c>
      <c r="J375" s="11">
        <f t="shared" ca="1" si="19"/>
        <v>46118</v>
      </c>
      <c r="K375" s="13"/>
    </row>
    <row r="376" spans="1:11" ht="18" x14ac:dyDescent="0.4">
      <c r="A376" s="7" t="s">
        <v>719</v>
      </c>
      <c r="B376" s="7" t="s">
        <v>357</v>
      </c>
      <c r="C376" s="8">
        <v>19414</v>
      </c>
      <c r="D376" s="9">
        <v>552709810</v>
      </c>
      <c r="E376" s="57">
        <v>100</v>
      </c>
      <c r="F376" s="10" t="s">
        <v>358</v>
      </c>
      <c r="G376" s="9">
        <v>0</v>
      </c>
      <c r="H376" s="9">
        <f t="shared" si="23"/>
        <v>0</v>
      </c>
      <c r="I376" s="11">
        <f t="shared" ca="1" si="21"/>
        <v>46120</v>
      </c>
      <c r="J376" s="11">
        <f t="shared" ca="1" si="19"/>
        <v>46118</v>
      </c>
      <c r="K376" s="13"/>
    </row>
    <row r="377" spans="1:11" ht="18" x14ac:dyDescent="0.4">
      <c r="A377" s="7" t="s">
        <v>719</v>
      </c>
      <c r="B377" s="7" t="s">
        <v>357</v>
      </c>
      <c r="C377" s="8">
        <v>19414</v>
      </c>
      <c r="D377" s="9">
        <v>552679990</v>
      </c>
      <c r="E377" s="57">
        <v>600</v>
      </c>
      <c r="F377" s="10" t="s">
        <v>359</v>
      </c>
      <c r="G377" s="9">
        <v>0</v>
      </c>
      <c r="H377" s="9">
        <f t="shared" si="23"/>
        <v>0</v>
      </c>
      <c r="I377" s="11">
        <f t="shared" ca="1" si="21"/>
        <v>46120</v>
      </c>
      <c r="J377" s="11">
        <f t="shared" ca="1" si="19"/>
        <v>46118</v>
      </c>
      <c r="K377" s="13"/>
    </row>
    <row r="378" spans="1:11" ht="18" x14ac:dyDescent="0.4">
      <c r="A378" s="7" t="s">
        <v>719</v>
      </c>
      <c r="B378" s="7" t="s">
        <v>357</v>
      </c>
      <c r="C378" s="8">
        <v>19414</v>
      </c>
      <c r="D378" s="9">
        <v>552819860</v>
      </c>
      <c r="E378" s="57">
        <v>50</v>
      </c>
      <c r="F378" s="10" t="s">
        <v>360</v>
      </c>
      <c r="G378" s="9">
        <v>0</v>
      </c>
      <c r="H378" s="9">
        <f t="shared" si="23"/>
        <v>0</v>
      </c>
      <c r="I378" s="11">
        <f ca="1">I376</f>
        <v>46120</v>
      </c>
      <c r="J378" s="11">
        <f t="shared" ca="1" si="19"/>
        <v>46118</v>
      </c>
      <c r="K378" s="13"/>
    </row>
    <row r="379" spans="1:11" ht="18" x14ac:dyDescent="0.4">
      <c r="A379" s="7" t="s">
        <v>719</v>
      </c>
      <c r="B379" s="7" t="s">
        <v>357</v>
      </c>
      <c r="C379" s="8">
        <v>19414</v>
      </c>
      <c r="D379" s="9">
        <v>552584580</v>
      </c>
      <c r="E379" s="57">
        <v>600</v>
      </c>
      <c r="F379" s="10" t="s">
        <v>361</v>
      </c>
      <c r="G379" s="9">
        <v>0</v>
      </c>
      <c r="H379" s="9">
        <f t="shared" si="23"/>
        <v>0</v>
      </c>
      <c r="I379" s="11">
        <f t="shared" ca="1" si="21"/>
        <v>46120</v>
      </c>
      <c r="J379" s="11">
        <f t="shared" ca="1" si="19"/>
        <v>46118</v>
      </c>
      <c r="K379" s="13"/>
    </row>
    <row r="380" spans="1:11" ht="18" x14ac:dyDescent="0.4">
      <c r="A380" s="7" t="s">
        <v>719</v>
      </c>
      <c r="B380" s="7" t="s">
        <v>357</v>
      </c>
      <c r="C380" s="8">
        <v>19414</v>
      </c>
      <c r="D380" s="9">
        <v>552691000</v>
      </c>
      <c r="E380" s="57">
        <v>800</v>
      </c>
      <c r="F380" s="10" t="s">
        <v>362</v>
      </c>
      <c r="G380" s="9">
        <v>0</v>
      </c>
      <c r="H380" s="9">
        <f t="shared" si="23"/>
        <v>0</v>
      </c>
      <c r="I380" s="11">
        <f t="shared" ref="I380:I438" ca="1" si="24">I379</f>
        <v>46120</v>
      </c>
      <c r="J380" s="11">
        <f t="shared" ca="1" si="19"/>
        <v>46118</v>
      </c>
      <c r="K380" s="13"/>
    </row>
    <row r="381" spans="1:11" ht="18" x14ac:dyDescent="0.4">
      <c r="A381" s="7" t="s">
        <v>719</v>
      </c>
      <c r="B381" s="7" t="s">
        <v>357</v>
      </c>
      <c r="C381" s="8">
        <v>19414</v>
      </c>
      <c r="D381" s="9">
        <v>187529240</v>
      </c>
      <c r="E381" s="57">
        <v>400</v>
      </c>
      <c r="F381" s="10" t="s">
        <v>363</v>
      </c>
      <c r="G381" s="9">
        <v>0</v>
      </c>
      <c r="H381" s="9">
        <f t="shared" si="23"/>
        <v>0</v>
      </c>
      <c r="I381" s="11">
        <f t="shared" ca="1" si="24"/>
        <v>46120</v>
      </c>
      <c r="J381" s="11">
        <f t="shared" ca="1" si="19"/>
        <v>46118</v>
      </c>
      <c r="K381" s="13"/>
    </row>
    <row r="382" spans="1:11" ht="18" x14ac:dyDescent="0.4">
      <c r="A382" s="7" t="s">
        <v>719</v>
      </c>
      <c r="B382" s="7" t="s">
        <v>357</v>
      </c>
      <c r="C382" s="8">
        <v>19414</v>
      </c>
      <c r="D382" s="9">
        <v>552836160</v>
      </c>
      <c r="E382" s="57">
        <v>800</v>
      </c>
      <c r="F382" s="10" t="s">
        <v>364</v>
      </c>
      <c r="G382" s="9">
        <v>0</v>
      </c>
      <c r="H382" s="9">
        <f t="shared" si="23"/>
        <v>0</v>
      </c>
      <c r="I382" s="11">
        <f t="shared" ca="1" si="24"/>
        <v>46120</v>
      </c>
      <c r="J382" s="11">
        <f t="shared" ca="1" si="19"/>
        <v>46118</v>
      </c>
      <c r="K382" s="13"/>
    </row>
    <row r="383" spans="1:11" ht="18" x14ac:dyDescent="0.4">
      <c r="A383" s="7" t="s">
        <v>719</v>
      </c>
      <c r="B383" s="7" t="s">
        <v>357</v>
      </c>
      <c r="C383" s="8">
        <v>19414</v>
      </c>
      <c r="D383" s="9">
        <v>187505240</v>
      </c>
      <c r="E383" s="57">
        <v>1000</v>
      </c>
      <c r="F383" s="10" t="s">
        <v>365</v>
      </c>
      <c r="G383" s="9">
        <v>0</v>
      </c>
      <c r="H383" s="9">
        <f t="shared" si="23"/>
        <v>0</v>
      </c>
      <c r="I383" s="11">
        <f t="shared" ca="1" si="24"/>
        <v>46120</v>
      </c>
      <c r="J383" s="11">
        <f t="shared" ca="1" si="19"/>
        <v>46118</v>
      </c>
      <c r="K383" s="13"/>
    </row>
    <row r="384" spans="1:11" ht="18" x14ac:dyDescent="0.4">
      <c r="A384" s="7" t="s">
        <v>719</v>
      </c>
      <c r="B384" s="7" t="s">
        <v>357</v>
      </c>
      <c r="C384" s="8">
        <v>19414</v>
      </c>
      <c r="D384" s="9">
        <v>187517240</v>
      </c>
      <c r="E384" s="57">
        <v>1200</v>
      </c>
      <c r="F384" s="10" t="s">
        <v>366</v>
      </c>
      <c r="G384" s="9">
        <v>0</v>
      </c>
      <c r="H384" s="9">
        <f t="shared" si="23"/>
        <v>0</v>
      </c>
      <c r="I384" s="11">
        <f t="shared" ca="1" si="24"/>
        <v>46120</v>
      </c>
      <c r="J384" s="11">
        <f t="shared" ca="1" si="19"/>
        <v>46118</v>
      </c>
      <c r="K384" s="13"/>
    </row>
    <row r="385" spans="1:11" ht="18" x14ac:dyDescent="0.4">
      <c r="A385" s="7" t="s">
        <v>719</v>
      </c>
      <c r="B385" s="7" t="s">
        <v>357</v>
      </c>
      <c r="C385" s="8">
        <v>19414</v>
      </c>
      <c r="D385" s="9">
        <v>463479880</v>
      </c>
      <c r="E385" s="57">
        <v>1000</v>
      </c>
      <c r="F385" s="10" t="s">
        <v>127</v>
      </c>
      <c r="G385" s="9">
        <v>0</v>
      </c>
      <c r="H385" s="9">
        <f t="shared" si="23"/>
        <v>0</v>
      </c>
      <c r="I385" s="11">
        <f t="shared" ca="1" si="24"/>
        <v>46120</v>
      </c>
      <c r="J385" s="11">
        <f t="shared" ca="1" si="19"/>
        <v>46118</v>
      </c>
      <c r="K385" s="13"/>
    </row>
    <row r="386" spans="1:11" ht="18" x14ac:dyDescent="0.4">
      <c r="A386" s="7" t="s">
        <v>719</v>
      </c>
      <c r="B386" s="7" t="s">
        <v>367</v>
      </c>
      <c r="C386" s="8">
        <v>20419</v>
      </c>
      <c r="D386" s="9">
        <v>552681860</v>
      </c>
      <c r="E386" s="57">
        <v>560</v>
      </c>
      <c r="F386" s="10" t="s">
        <v>234</v>
      </c>
      <c r="G386" s="9">
        <v>0</v>
      </c>
      <c r="H386" s="9">
        <f t="shared" si="23"/>
        <v>0</v>
      </c>
      <c r="I386" s="11">
        <f t="shared" ca="1" si="24"/>
        <v>46120</v>
      </c>
      <c r="J386" s="11">
        <f t="shared" ca="1" si="19"/>
        <v>46118</v>
      </c>
      <c r="K386" s="13"/>
    </row>
    <row r="387" spans="1:11" ht="18" x14ac:dyDescent="0.4">
      <c r="A387" s="7" t="s">
        <v>719</v>
      </c>
      <c r="B387" s="7" t="s">
        <v>367</v>
      </c>
      <c r="C387" s="8">
        <v>20419</v>
      </c>
      <c r="D387" s="9">
        <v>552678480</v>
      </c>
      <c r="E387" s="57">
        <v>800</v>
      </c>
      <c r="F387" s="10" t="s">
        <v>234</v>
      </c>
      <c r="G387" s="9">
        <v>0</v>
      </c>
      <c r="H387" s="9">
        <f t="shared" si="23"/>
        <v>0</v>
      </c>
      <c r="I387" s="11">
        <f t="shared" ca="1" si="24"/>
        <v>46120</v>
      </c>
      <c r="J387" s="11">
        <f t="shared" ca="1" si="19"/>
        <v>46118</v>
      </c>
      <c r="K387" s="13"/>
    </row>
    <row r="388" spans="1:11" ht="18" x14ac:dyDescent="0.4">
      <c r="A388" s="7" t="s">
        <v>719</v>
      </c>
      <c r="B388" s="7" t="s">
        <v>368</v>
      </c>
      <c r="C388" s="8">
        <v>32059</v>
      </c>
      <c r="D388" s="9">
        <v>552677450</v>
      </c>
      <c r="E388" s="57">
        <v>4500</v>
      </c>
      <c r="F388" s="10" t="s">
        <v>230</v>
      </c>
      <c r="G388" s="9">
        <v>0</v>
      </c>
      <c r="H388" s="9">
        <f t="shared" si="23"/>
        <v>0</v>
      </c>
      <c r="I388" s="11">
        <f t="shared" ca="1" si="24"/>
        <v>46120</v>
      </c>
      <c r="J388" s="11">
        <f t="shared" ca="1" si="19"/>
        <v>46118</v>
      </c>
      <c r="K388" s="13"/>
    </row>
    <row r="389" spans="1:11" ht="18" x14ac:dyDescent="0.4">
      <c r="A389" s="7" t="s">
        <v>719</v>
      </c>
      <c r="B389" s="7" t="s">
        <v>369</v>
      </c>
      <c r="C389" s="8">
        <v>14928</v>
      </c>
      <c r="D389" s="9">
        <v>463404710</v>
      </c>
      <c r="E389" s="57">
        <v>100</v>
      </c>
      <c r="F389" s="10" t="s">
        <v>370</v>
      </c>
      <c r="G389" s="9">
        <v>0</v>
      </c>
      <c r="H389" s="9">
        <f>G389/E389</f>
        <v>0</v>
      </c>
      <c r="I389" s="11">
        <f ca="1">I388</f>
        <v>46120</v>
      </c>
      <c r="J389" s="11">
        <f t="shared" ca="1" si="19"/>
        <v>46118</v>
      </c>
      <c r="K389" s="13"/>
    </row>
    <row r="390" spans="1:11" ht="18" x14ac:dyDescent="0.4">
      <c r="A390" s="7" t="s">
        <v>719</v>
      </c>
      <c r="B390" s="7" t="s">
        <v>371</v>
      </c>
      <c r="C390" s="8">
        <v>78605</v>
      </c>
      <c r="D390" s="9">
        <v>552679850</v>
      </c>
      <c r="E390" s="57">
        <v>300</v>
      </c>
      <c r="F390" s="10" t="s">
        <v>281</v>
      </c>
      <c r="G390" s="9">
        <v>0</v>
      </c>
      <c r="H390" s="9">
        <f>G390/E390</f>
        <v>0</v>
      </c>
      <c r="I390" s="11">
        <f ca="1">I389</f>
        <v>46120</v>
      </c>
      <c r="J390" s="11">
        <f t="shared" ca="1" si="19"/>
        <v>46118</v>
      </c>
      <c r="K390" s="13"/>
    </row>
    <row r="391" spans="1:11" ht="18" x14ac:dyDescent="0.4">
      <c r="A391" s="7" t="s">
        <v>719</v>
      </c>
      <c r="B391" s="7" t="s">
        <v>372</v>
      </c>
      <c r="C391" s="8">
        <v>27951</v>
      </c>
      <c r="D391" s="9">
        <v>463411550</v>
      </c>
      <c r="E391" s="57">
        <v>1100</v>
      </c>
      <c r="F391" s="10" t="s">
        <v>373</v>
      </c>
      <c r="G391" s="9">
        <v>0</v>
      </c>
      <c r="H391" s="9">
        <f t="shared" si="23"/>
        <v>0</v>
      </c>
      <c r="I391" s="11">
        <f ca="1">I390</f>
        <v>46120</v>
      </c>
      <c r="J391" s="11">
        <f t="shared" ca="1" si="19"/>
        <v>46118</v>
      </c>
      <c r="K391" s="13"/>
    </row>
    <row r="392" spans="1:11" ht="18" x14ac:dyDescent="0.4">
      <c r="A392" s="7" t="s">
        <v>719</v>
      </c>
      <c r="B392" s="7" t="s">
        <v>372</v>
      </c>
      <c r="C392" s="8">
        <v>27951</v>
      </c>
      <c r="D392" s="9">
        <v>463415550</v>
      </c>
      <c r="E392" s="57">
        <v>800</v>
      </c>
      <c r="F392" s="10" t="s">
        <v>374</v>
      </c>
      <c r="G392" s="9">
        <v>0</v>
      </c>
      <c r="H392" s="9">
        <f t="shared" si="23"/>
        <v>0</v>
      </c>
      <c r="I392" s="11">
        <f t="shared" ca="1" si="24"/>
        <v>46120</v>
      </c>
      <c r="J392" s="11">
        <f t="shared" ca="1" si="19"/>
        <v>46118</v>
      </c>
      <c r="K392" s="13"/>
    </row>
    <row r="393" spans="1:11" ht="18" x14ac:dyDescent="0.4">
      <c r="A393" s="7" t="s">
        <v>719</v>
      </c>
      <c r="B393" s="7" t="s">
        <v>375</v>
      </c>
      <c r="C393" s="8">
        <v>24229</v>
      </c>
      <c r="D393" s="9">
        <v>463471630</v>
      </c>
      <c r="E393" s="57">
        <v>200</v>
      </c>
      <c r="F393" s="10" t="s">
        <v>376</v>
      </c>
      <c r="G393" s="9">
        <v>0</v>
      </c>
      <c r="H393" s="9">
        <f t="shared" si="23"/>
        <v>0</v>
      </c>
      <c r="I393" s="11">
        <f t="shared" ca="1" si="24"/>
        <v>46120</v>
      </c>
      <c r="J393" s="11">
        <f t="shared" ca="1" si="19"/>
        <v>46118</v>
      </c>
      <c r="K393" s="13"/>
    </row>
    <row r="394" spans="1:11" ht="18" x14ac:dyDescent="0.4">
      <c r="A394" s="7" t="s">
        <v>719</v>
      </c>
      <c r="B394" s="7" t="s">
        <v>375</v>
      </c>
      <c r="C394" s="8">
        <v>24229</v>
      </c>
      <c r="D394" s="9">
        <v>463508000</v>
      </c>
      <c r="E394" s="57">
        <v>120</v>
      </c>
      <c r="F394" s="10" t="s">
        <v>271</v>
      </c>
      <c r="G394" s="9">
        <v>0</v>
      </c>
      <c r="H394" s="9">
        <f t="shared" si="23"/>
        <v>0</v>
      </c>
      <c r="I394" s="11">
        <f t="shared" ca="1" si="24"/>
        <v>46120</v>
      </c>
      <c r="J394" s="11">
        <f t="shared" ca="1" si="19"/>
        <v>46118</v>
      </c>
      <c r="K394" s="13"/>
    </row>
    <row r="395" spans="1:11" ht="18" x14ac:dyDescent="0.4">
      <c r="A395" s="7" t="s">
        <v>719</v>
      </c>
      <c r="B395" s="7" t="s">
        <v>377</v>
      </c>
      <c r="C395" s="8">
        <v>36019</v>
      </c>
      <c r="D395" s="9">
        <v>552768830</v>
      </c>
      <c r="E395" s="57">
        <v>2200</v>
      </c>
      <c r="F395" s="10" t="s">
        <v>378</v>
      </c>
      <c r="G395" s="9">
        <v>0</v>
      </c>
      <c r="H395" s="9">
        <f t="shared" si="23"/>
        <v>0</v>
      </c>
      <c r="I395" s="11">
        <f t="shared" ca="1" si="24"/>
        <v>46120</v>
      </c>
      <c r="J395" s="11">
        <f t="shared" ca="1" si="19"/>
        <v>46118</v>
      </c>
      <c r="K395" s="13"/>
    </row>
    <row r="396" spans="1:11" ht="18" x14ac:dyDescent="0.4">
      <c r="A396" s="7" t="s">
        <v>719</v>
      </c>
      <c r="B396" s="7" t="s">
        <v>377</v>
      </c>
      <c r="C396" s="8">
        <v>36019</v>
      </c>
      <c r="D396" s="9">
        <v>552686720</v>
      </c>
      <c r="E396" s="57">
        <v>250</v>
      </c>
      <c r="F396" s="10" t="s">
        <v>379</v>
      </c>
      <c r="G396" s="9">
        <v>0</v>
      </c>
      <c r="H396" s="9">
        <f t="shared" si="23"/>
        <v>0</v>
      </c>
      <c r="I396" s="11">
        <f t="shared" ca="1" si="24"/>
        <v>46120</v>
      </c>
      <c r="J396" s="11">
        <f t="shared" ca="1" si="19"/>
        <v>46118</v>
      </c>
      <c r="K396" s="13"/>
    </row>
    <row r="397" spans="1:11" ht="18" x14ac:dyDescent="0.4">
      <c r="A397" s="7" t="s">
        <v>719</v>
      </c>
      <c r="B397" s="7" t="s">
        <v>377</v>
      </c>
      <c r="C397" s="8">
        <v>36019</v>
      </c>
      <c r="D397" s="9">
        <v>552693200</v>
      </c>
      <c r="E397" s="57">
        <v>1000</v>
      </c>
      <c r="F397" s="10" t="s">
        <v>380</v>
      </c>
      <c r="G397" s="9">
        <v>0</v>
      </c>
      <c r="H397" s="9">
        <f t="shared" si="23"/>
        <v>0</v>
      </c>
      <c r="I397" s="11">
        <f t="shared" ca="1" si="24"/>
        <v>46120</v>
      </c>
      <c r="J397" s="11">
        <f t="shared" ca="1" si="19"/>
        <v>46118</v>
      </c>
      <c r="K397" s="13"/>
    </row>
    <row r="398" spans="1:11" ht="18" x14ac:dyDescent="0.4">
      <c r="A398" s="7" t="s">
        <v>719</v>
      </c>
      <c r="B398" s="7" t="s">
        <v>377</v>
      </c>
      <c r="C398" s="8">
        <v>36019</v>
      </c>
      <c r="D398" s="9">
        <v>552728620</v>
      </c>
      <c r="E398" s="57">
        <v>1500</v>
      </c>
      <c r="F398" s="10" t="s">
        <v>381</v>
      </c>
      <c r="G398" s="9">
        <v>0</v>
      </c>
      <c r="H398" s="9">
        <f t="shared" si="23"/>
        <v>0</v>
      </c>
      <c r="I398" s="11">
        <f t="shared" ca="1" si="24"/>
        <v>46120</v>
      </c>
      <c r="J398" s="11">
        <f t="shared" ca="1" si="19"/>
        <v>46118</v>
      </c>
      <c r="K398" s="13"/>
    </row>
    <row r="399" spans="1:11" ht="18" x14ac:dyDescent="0.4">
      <c r="A399" s="7" t="s">
        <v>719</v>
      </c>
      <c r="B399" s="7" t="s">
        <v>377</v>
      </c>
      <c r="C399" s="8">
        <v>36019</v>
      </c>
      <c r="D399" s="9">
        <v>552679970</v>
      </c>
      <c r="E399" s="57">
        <v>1200</v>
      </c>
      <c r="F399" s="10" t="s">
        <v>382</v>
      </c>
      <c r="G399" s="9">
        <v>0</v>
      </c>
      <c r="H399" s="9">
        <f t="shared" si="23"/>
        <v>0</v>
      </c>
      <c r="I399" s="11">
        <f t="shared" ca="1" si="24"/>
        <v>46120</v>
      </c>
      <c r="J399" s="11">
        <f t="shared" ca="1" si="19"/>
        <v>46118</v>
      </c>
      <c r="K399" s="13"/>
    </row>
    <row r="400" spans="1:11" ht="18" x14ac:dyDescent="0.4">
      <c r="A400" s="7" t="s">
        <v>719</v>
      </c>
      <c r="B400" s="7" t="s">
        <v>377</v>
      </c>
      <c r="C400" s="8">
        <v>36019</v>
      </c>
      <c r="D400" s="9">
        <v>552677410</v>
      </c>
      <c r="E400" s="57">
        <v>200</v>
      </c>
      <c r="F400" s="10" t="s">
        <v>383</v>
      </c>
      <c r="G400" s="9">
        <v>0</v>
      </c>
      <c r="H400" s="9">
        <f t="shared" si="23"/>
        <v>0</v>
      </c>
      <c r="I400" s="11">
        <f t="shared" ca="1" si="24"/>
        <v>46120</v>
      </c>
      <c r="J400" s="11">
        <f t="shared" ca="1" si="19"/>
        <v>46118</v>
      </c>
      <c r="K400" s="13"/>
    </row>
    <row r="401" spans="1:11" ht="18" x14ac:dyDescent="0.4">
      <c r="A401" s="7" t="s">
        <v>719</v>
      </c>
      <c r="B401" s="7" t="s">
        <v>377</v>
      </c>
      <c r="C401" s="8">
        <v>36019</v>
      </c>
      <c r="D401" s="9">
        <v>463535790</v>
      </c>
      <c r="E401" s="57">
        <v>700</v>
      </c>
      <c r="F401" s="10" t="s">
        <v>384</v>
      </c>
      <c r="G401" s="9">
        <v>0</v>
      </c>
      <c r="H401" s="9">
        <f t="shared" si="23"/>
        <v>0</v>
      </c>
      <c r="I401" s="11">
        <f t="shared" ca="1" si="24"/>
        <v>46120</v>
      </c>
      <c r="J401" s="11">
        <f t="shared" ca="1" si="19"/>
        <v>46118</v>
      </c>
      <c r="K401" s="13"/>
    </row>
    <row r="402" spans="1:11" ht="18" x14ac:dyDescent="0.4">
      <c r="A402" s="7" t="s">
        <v>719</v>
      </c>
      <c r="B402" s="7" t="s">
        <v>377</v>
      </c>
      <c r="C402" s="8">
        <v>36019</v>
      </c>
      <c r="D402" s="9">
        <v>463589540</v>
      </c>
      <c r="E402" s="57">
        <v>150</v>
      </c>
      <c r="F402" s="10" t="s">
        <v>385</v>
      </c>
      <c r="G402" s="9">
        <v>0</v>
      </c>
      <c r="H402" s="9">
        <f t="shared" si="23"/>
        <v>0</v>
      </c>
      <c r="I402" s="11">
        <f t="shared" ca="1" si="24"/>
        <v>46120</v>
      </c>
      <c r="J402" s="11">
        <f t="shared" ca="1" si="19"/>
        <v>46118</v>
      </c>
      <c r="K402" s="13"/>
    </row>
    <row r="403" spans="1:11" ht="18" x14ac:dyDescent="0.4">
      <c r="A403" s="7" t="s">
        <v>719</v>
      </c>
      <c r="B403" s="7" t="s">
        <v>377</v>
      </c>
      <c r="C403" s="8">
        <v>36019</v>
      </c>
      <c r="D403" s="9">
        <v>463586380</v>
      </c>
      <c r="E403" s="57">
        <v>3000</v>
      </c>
      <c r="F403" s="10" t="s">
        <v>386</v>
      </c>
      <c r="G403" s="9">
        <v>0</v>
      </c>
      <c r="H403" s="9">
        <f t="shared" si="23"/>
        <v>0</v>
      </c>
      <c r="I403" s="11">
        <f ca="1">I401</f>
        <v>46120</v>
      </c>
      <c r="J403" s="11">
        <f t="shared" ca="1" si="19"/>
        <v>46118</v>
      </c>
      <c r="K403" s="13"/>
    </row>
    <row r="404" spans="1:11" ht="18" x14ac:dyDescent="0.4">
      <c r="A404" s="7" t="s">
        <v>719</v>
      </c>
      <c r="B404" s="7" t="s">
        <v>377</v>
      </c>
      <c r="C404" s="8">
        <v>36019</v>
      </c>
      <c r="D404" s="9">
        <v>552636100</v>
      </c>
      <c r="E404" s="57">
        <v>200</v>
      </c>
      <c r="F404" s="10" t="s">
        <v>387</v>
      </c>
      <c r="G404" s="9">
        <v>0</v>
      </c>
      <c r="H404" s="9">
        <f t="shared" si="23"/>
        <v>0</v>
      </c>
      <c r="I404" s="11">
        <f t="shared" ca="1" si="24"/>
        <v>46120</v>
      </c>
      <c r="J404" s="11">
        <f t="shared" ca="1" si="19"/>
        <v>46118</v>
      </c>
      <c r="K404" s="13"/>
    </row>
    <row r="405" spans="1:11" ht="18" x14ac:dyDescent="0.4">
      <c r="A405" s="7" t="s">
        <v>719</v>
      </c>
      <c r="B405" s="7" t="s">
        <v>377</v>
      </c>
      <c r="C405" s="8">
        <v>36019</v>
      </c>
      <c r="D405" s="9">
        <v>135435340</v>
      </c>
      <c r="E405" s="57">
        <v>900</v>
      </c>
      <c r="F405" s="10" t="s">
        <v>388</v>
      </c>
      <c r="G405" s="9">
        <v>0</v>
      </c>
      <c r="H405" s="9">
        <f t="shared" si="23"/>
        <v>0</v>
      </c>
      <c r="I405" s="11">
        <f t="shared" ca="1" si="24"/>
        <v>46120</v>
      </c>
      <c r="J405" s="11">
        <f t="shared" ca="1" si="19"/>
        <v>46118</v>
      </c>
      <c r="K405" s="13"/>
    </row>
    <row r="406" spans="1:11" ht="18" x14ac:dyDescent="0.4">
      <c r="A406" s="7" t="s">
        <v>719</v>
      </c>
      <c r="B406" s="7" t="s">
        <v>377</v>
      </c>
      <c r="C406" s="8">
        <v>36019</v>
      </c>
      <c r="D406" s="9">
        <v>552739160</v>
      </c>
      <c r="E406" s="57">
        <v>500</v>
      </c>
      <c r="F406" s="10" t="s">
        <v>389</v>
      </c>
      <c r="G406" s="9">
        <v>0</v>
      </c>
      <c r="H406" s="9">
        <f t="shared" si="23"/>
        <v>0</v>
      </c>
      <c r="I406" s="11">
        <f t="shared" ca="1" si="24"/>
        <v>46120</v>
      </c>
      <c r="J406" s="11">
        <f t="shared" ca="1" si="19"/>
        <v>46118</v>
      </c>
      <c r="K406" s="13"/>
    </row>
    <row r="407" spans="1:11" ht="18" x14ac:dyDescent="0.4">
      <c r="A407" s="7" t="s">
        <v>719</v>
      </c>
      <c r="B407" s="7" t="s">
        <v>377</v>
      </c>
      <c r="C407" s="8">
        <v>36019</v>
      </c>
      <c r="D407" s="9">
        <v>187502240</v>
      </c>
      <c r="E407" s="57">
        <v>1400</v>
      </c>
      <c r="F407" s="10" t="s">
        <v>348</v>
      </c>
      <c r="G407" s="9">
        <v>0</v>
      </c>
      <c r="H407" s="9">
        <f t="shared" si="23"/>
        <v>0</v>
      </c>
      <c r="I407" s="11">
        <f t="shared" ca="1" si="24"/>
        <v>46120</v>
      </c>
      <c r="J407" s="11">
        <f t="shared" ca="1" si="19"/>
        <v>46118</v>
      </c>
      <c r="K407" s="13"/>
    </row>
    <row r="408" spans="1:11" ht="18" x14ac:dyDescent="0.4">
      <c r="A408" s="7" t="s">
        <v>719</v>
      </c>
      <c r="B408" s="7" t="s">
        <v>377</v>
      </c>
      <c r="C408" s="8">
        <v>36019</v>
      </c>
      <c r="D408" s="9">
        <v>463622410</v>
      </c>
      <c r="E408" s="57">
        <v>350</v>
      </c>
      <c r="F408" s="10" t="s">
        <v>724</v>
      </c>
      <c r="G408" s="9">
        <v>0</v>
      </c>
      <c r="H408" s="9">
        <f t="shared" si="23"/>
        <v>0</v>
      </c>
      <c r="I408" s="11">
        <f t="shared" ca="1" si="24"/>
        <v>46120</v>
      </c>
      <c r="J408" s="11">
        <f t="shared" ca="1" si="19"/>
        <v>46118</v>
      </c>
      <c r="K408" s="13"/>
    </row>
    <row r="409" spans="1:11" ht="18" x14ac:dyDescent="0.4">
      <c r="A409" s="7" t="s">
        <v>719</v>
      </c>
      <c r="B409" s="7" t="s">
        <v>391</v>
      </c>
      <c r="C409" s="8">
        <v>43416</v>
      </c>
      <c r="D409" s="9">
        <v>463361830</v>
      </c>
      <c r="E409" s="57">
        <v>240</v>
      </c>
      <c r="F409" s="10" t="s">
        <v>23</v>
      </c>
      <c r="G409" s="9">
        <v>0</v>
      </c>
      <c r="H409" s="9">
        <f t="shared" si="23"/>
        <v>0</v>
      </c>
      <c r="I409" s="11">
        <f t="shared" ca="1" si="24"/>
        <v>46120</v>
      </c>
      <c r="J409" s="11">
        <f t="shared" ca="1" si="19"/>
        <v>46118</v>
      </c>
      <c r="K409" s="13"/>
    </row>
    <row r="410" spans="1:11" ht="18" x14ac:dyDescent="0.4">
      <c r="A410" s="7" t="s">
        <v>719</v>
      </c>
      <c r="B410" s="7" t="s">
        <v>391</v>
      </c>
      <c r="C410" s="8">
        <v>43416</v>
      </c>
      <c r="D410" s="9">
        <v>463361840</v>
      </c>
      <c r="E410" s="57">
        <v>240</v>
      </c>
      <c r="F410" s="10" t="s">
        <v>23</v>
      </c>
      <c r="G410" s="9">
        <v>0</v>
      </c>
      <c r="H410" s="9">
        <f t="shared" si="23"/>
        <v>0</v>
      </c>
      <c r="I410" s="11">
        <f t="shared" ca="1" si="24"/>
        <v>46120</v>
      </c>
      <c r="J410" s="11">
        <f t="shared" ca="1" si="19"/>
        <v>46118</v>
      </c>
      <c r="K410" s="13"/>
    </row>
    <row r="411" spans="1:11" ht="18" x14ac:dyDescent="0.4">
      <c r="A411" s="7" t="s">
        <v>719</v>
      </c>
      <c r="B411" s="7" t="s">
        <v>250</v>
      </c>
      <c r="C411" s="8">
        <v>37866</v>
      </c>
      <c r="D411" s="9">
        <v>463550740</v>
      </c>
      <c r="E411" s="57">
        <v>120</v>
      </c>
      <c r="F411" s="10" t="s">
        <v>392</v>
      </c>
      <c r="G411" s="9">
        <v>0</v>
      </c>
      <c r="H411" s="9">
        <f t="shared" si="23"/>
        <v>0</v>
      </c>
      <c r="I411" s="11">
        <f t="shared" ca="1" si="24"/>
        <v>46120</v>
      </c>
      <c r="J411" s="11">
        <f t="shared" ca="1" si="19"/>
        <v>46118</v>
      </c>
      <c r="K411" s="13"/>
    </row>
    <row r="412" spans="1:11" ht="18" x14ac:dyDescent="0.4">
      <c r="A412" s="7" t="s">
        <v>719</v>
      </c>
      <c r="B412" s="7" t="s">
        <v>250</v>
      </c>
      <c r="C412" s="8">
        <v>37866</v>
      </c>
      <c r="D412" s="9">
        <v>463584840</v>
      </c>
      <c r="E412" s="57">
        <v>120</v>
      </c>
      <c r="F412" s="10" t="s">
        <v>392</v>
      </c>
      <c r="G412" s="9">
        <v>0</v>
      </c>
      <c r="H412" s="9">
        <f t="shared" si="23"/>
        <v>0</v>
      </c>
      <c r="I412" s="11">
        <f t="shared" ca="1" si="24"/>
        <v>46120</v>
      </c>
      <c r="J412" s="11">
        <f t="shared" ca="1" si="19"/>
        <v>46118</v>
      </c>
      <c r="K412" s="13"/>
    </row>
    <row r="413" spans="1:11" ht="18" x14ac:dyDescent="0.4">
      <c r="A413" s="7" t="s">
        <v>719</v>
      </c>
      <c r="B413" s="7" t="s">
        <v>250</v>
      </c>
      <c r="C413" s="8">
        <v>37866</v>
      </c>
      <c r="D413" s="9">
        <v>463584880</v>
      </c>
      <c r="E413" s="57">
        <v>120</v>
      </c>
      <c r="F413" s="10" t="s">
        <v>393</v>
      </c>
      <c r="G413" s="9">
        <v>0</v>
      </c>
      <c r="H413" s="9">
        <f t="shared" si="23"/>
        <v>0</v>
      </c>
      <c r="I413" s="11">
        <f t="shared" ca="1" si="24"/>
        <v>46120</v>
      </c>
      <c r="J413" s="11">
        <f t="shared" ca="1" si="19"/>
        <v>46118</v>
      </c>
      <c r="K413" s="13"/>
    </row>
    <row r="414" spans="1:11" ht="18" x14ac:dyDescent="0.4">
      <c r="A414" s="7" t="s">
        <v>719</v>
      </c>
      <c r="B414" s="7" t="s">
        <v>250</v>
      </c>
      <c r="C414" s="8">
        <v>37866</v>
      </c>
      <c r="D414" s="9">
        <v>463584870</v>
      </c>
      <c r="E414" s="57">
        <v>120</v>
      </c>
      <c r="F414" s="10" t="s">
        <v>394</v>
      </c>
      <c r="G414" s="9">
        <v>0</v>
      </c>
      <c r="H414" s="9">
        <f t="shared" si="23"/>
        <v>0</v>
      </c>
      <c r="I414" s="11">
        <f t="shared" ca="1" si="24"/>
        <v>46120</v>
      </c>
      <c r="J414" s="11">
        <f t="shared" ca="1" si="19"/>
        <v>46118</v>
      </c>
      <c r="K414" s="13"/>
    </row>
    <row r="415" spans="1:11" ht="18" x14ac:dyDescent="0.4">
      <c r="A415" s="7" t="s">
        <v>719</v>
      </c>
      <c r="B415" s="7" t="s">
        <v>250</v>
      </c>
      <c r="C415" s="8">
        <v>37866</v>
      </c>
      <c r="D415" s="9">
        <v>463604240</v>
      </c>
      <c r="E415" s="57">
        <v>120</v>
      </c>
      <c r="F415" s="10" t="s">
        <v>394</v>
      </c>
      <c r="G415" s="9">
        <v>0</v>
      </c>
      <c r="H415" s="9">
        <f t="shared" si="23"/>
        <v>0</v>
      </c>
      <c r="I415" s="11">
        <f t="shared" ca="1" si="24"/>
        <v>46120</v>
      </c>
      <c r="J415" s="11">
        <f t="shared" ca="1" si="19"/>
        <v>46118</v>
      </c>
      <c r="K415" s="13"/>
    </row>
    <row r="416" spans="1:11" ht="18" x14ac:dyDescent="0.4">
      <c r="A416" s="7" t="s">
        <v>719</v>
      </c>
      <c r="B416" s="7" t="s">
        <v>250</v>
      </c>
      <c r="C416" s="8">
        <v>37866</v>
      </c>
      <c r="D416" s="9">
        <v>463579240</v>
      </c>
      <c r="E416" s="57">
        <v>120</v>
      </c>
      <c r="F416" s="10" t="s">
        <v>394</v>
      </c>
      <c r="G416" s="9">
        <v>0</v>
      </c>
      <c r="H416" s="9">
        <f t="shared" si="23"/>
        <v>0</v>
      </c>
      <c r="I416" s="11">
        <f t="shared" ca="1" si="24"/>
        <v>46120</v>
      </c>
      <c r="J416" s="11">
        <f t="shared" ca="1" si="19"/>
        <v>46118</v>
      </c>
      <c r="K416" s="13"/>
    </row>
    <row r="417" spans="1:11" ht="18" x14ac:dyDescent="0.4">
      <c r="A417" s="7" t="s">
        <v>719</v>
      </c>
      <c r="B417" s="7" t="s">
        <v>250</v>
      </c>
      <c r="C417" s="8">
        <v>37866</v>
      </c>
      <c r="D417" s="9">
        <v>463579360</v>
      </c>
      <c r="E417" s="57">
        <v>120</v>
      </c>
      <c r="F417" s="10" t="s">
        <v>394</v>
      </c>
      <c r="G417" s="9">
        <v>0</v>
      </c>
      <c r="H417" s="9">
        <f t="shared" si="23"/>
        <v>0</v>
      </c>
      <c r="I417" s="11">
        <f t="shared" ca="1" si="24"/>
        <v>46120</v>
      </c>
      <c r="J417" s="11">
        <f t="shared" ca="1" si="19"/>
        <v>46118</v>
      </c>
      <c r="K417" s="13"/>
    </row>
    <row r="418" spans="1:11" ht="18" x14ac:dyDescent="0.4">
      <c r="A418" s="7" t="s">
        <v>719</v>
      </c>
      <c r="B418" s="7" t="s">
        <v>250</v>
      </c>
      <c r="C418" s="8">
        <v>37866</v>
      </c>
      <c r="D418" s="9">
        <v>463579680</v>
      </c>
      <c r="E418" s="57">
        <v>120</v>
      </c>
      <c r="F418" s="10" t="s">
        <v>394</v>
      </c>
      <c r="G418" s="9">
        <v>0</v>
      </c>
      <c r="H418" s="9">
        <f t="shared" si="23"/>
        <v>0</v>
      </c>
      <c r="I418" s="11">
        <f t="shared" ca="1" si="24"/>
        <v>46120</v>
      </c>
      <c r="J418" s="11">
        <f t="shared" ca="1" si="19"/>
        <v>46118</v>
      </c>
      <c r="K418" s="13"/>
    </row>
    <row r="419" spans="1:11" ht="18" x14ac:dyDescent="0.4">
      <c r="A419" s="7" t="s">
        <v>719</v>
      </c>
      <c r="B419" s="7" t="s">
        <v>250</v>
      </c>
      <c r="C419" s="8">
        <v>37866</v>
      </c>
      <c r="D419" s="9">
        <v>463579760</v>
      </c>
      <c r="E419" s="57">
        <v>120</v>
      </c>
      <c r="F419" s="37" t="s">
        <v>394</v>
      </c>
      <c r="G419" s="9">
        <v>0</v>
      </c>
      <c r="H419" s="9">
        <f t="shared" si="23"/>
        <v>0</v>
      </c>
      <c r="I419" s="11">
        <f t="shared" ca="1" si="24"/>
        <v>46120</v>
      </c>
      <c r="J419" s="11">
        <f t="shared" ca="1" si="19"/>
        <v>46118</v>
      </c>
      <c r="K419" s="13"/>
    </row>
    <row r="420" spans="1:11" ht="18" x14ac:dyDescent="0.4">
      <c r="A420" s="7" t="s">
        <v>719</v>
      </c>
      <c r="B420" s="7" t="s">
        <v>250</v>
      </c>
      <c r="C420" s="8">
        <v>37866</v>
      </c>
      <c r="D420" s="9">
        <v>463579900</v>
      </c>
      <c r="E420" s="57">
        <v>120</v>
      </c>
      <c r="F420" s="10" t="s">
        <v>394</v>
      </c>
      <c r="G420" s="9">
        <v>0</v>
      </c>
      <c r="H420" s="9">
        <f t="shared" si="23"/>
        <v>0</v>
      </c>
      <c r="I420" s="11">
        <f t="shared" ca="1" si="24"/>
        <v>46120</v>
      </c>
      <c r="J420" s="11">
        <f t="shared" ca="1" si="19"/>
        <v>46118</v>
      </c>
      <c r="K420" s="13"/>
    </row>
    <row r="421" spans="1:11" ht="18" x14ac:dyDescent="0.4">
      <c r="A421" s="7" t="s">
        <v>719</v>
      </c>
      <c r="B421" s="7" t="s">
        <v>250</v>
      </c>
      <c r="C421" s="8">
        <v>37866</v>
      </c>
      <c r="D421" s="9">
        <v>463580810</v>
      </c>
      <c r="E421" s="57">
        <v>120</v>
      </c>
      <c r="F421" s="37" t="s">
        <v>394</v>
      </c>
      <c r="G421" s="9">
        <v>0</v>
      </c>
      <c r="H421" s="9">
        <f t="shared" si="23"/>
        <v>0</v>
      </c>
      <c r="I421" s="11">
        <f t="shared" ca="1" si="24"/>
        <v>46120</v>
      </c>
      <c r="J421" s="11">
        <f t="shared" ca="1" si="19"/>
        <v>46118</v>
      </c>
      <c r="K421" s="13"/>
    </row>
    <row r="422" spans="1:11" ht="18" x14ac:dyDescent="0.4">
      <c r="A422" s="7" t="s">
        <v>719</v>
      </c>
      <c r="B422" s="7" t="s">
        <v>250</v>
      </c>
      <c r="C422" s="8">
        <v>37866</v>
      </c>
      <c r="D422" s="9">
        <v>463607250</v>
      </c>
      <c r="E422" s="57">
        <v>120</v>
      </c>
      <c r="F422" s="10" t="s">
        <v>394</v>
      </c>
      <c r="G422" s="9">
        <v>0</v>
      </c>
      <c r="H422" s="9">
        <f t="shared" si="23"/>
        <v>0</v>
      </c>
      <c r="I422" s="11">
        <f t="shared" ca="1" si="24"/>
        <v>46120</v>
      </c>
      <c r="J422" s="11">
        <f t="shared" ca="1" si="19"/>
        <v>46118</v>
      </c>
      <c r="K422" s="13"/>
    </row>
    <row r="423" spans="1:11" ht="18" x14ac:dyDescent="0.4">
      <c r="A423" s="7" t="s">
        <v>719</v>
      </c>
      <c r="B423" s="7" t="s">
        <v>250</v>
      </c>
      <c r="C423" s="8">
        <v>37866</v>
      </c>
      <c r="D423" s="9">
        <v>463609500</v>
      </c>
      <c r="E423" s="57">
        <v>120</v>
      </c>
      <c r="F423" s="10" t="s">
        <v>394</v>
      </c>
      <c r="G423" s="9">
        <v>0</v>
      </c>
      <c r="H423" s="9">
        <f t="shared" si="23"/>
        <v>0</v>
      </c>
      <c r="I423" s="11">
        <f t="shared" ca="1" si="24"/>
        <v>46120</v>
      </c>
      <c r="J423" s="11">
        <f t="shared" ca="1" si="19"/>
        <v>46118</v>
      </c>
      <c r="K423" s="13"/>
    </row>
    <row r="424" spans="1:11" ht="18" x14ac:dyDescent="0.4">
      <c r="A424" s="7" t="s">
        <v>719</v>
      </c>
      <c r="B424" s="7" t="s">
        <v>396</v>
      </c>
      <c r="C424" s="8">
        <v>10675</v>
      </c>
      <c r="D424" s="9">
        <v>552678530</v>
      </c>
      <c r="E424" s="57">
        <v>3600</v>
      </c>
      <c r="F424" s="10" t="s">
        <v>397</v>
      </c>
      <c r="G424" s="9">
        <v>0</v>
      </c>
      <c r="H424" s="9">
        <f t="shared" si="23"/>
        <v>0</v>
      </c>
      <c r="I424" s="11">
        <f t="shared" ca="1" si="24"/>
        <v>46120</v>
      </c>
      <c r="J424" s="11">
        <f t="shared" ca="1" si="19"/>
        <v>46118</v>
      </c>
      <c r="K424" s="13"/>
    </row>
    <row r="425" spans="1:11" ht="18" x14ac:dyDescent="0.4">
      <c r="A425" s="7" t="s">
        <v>719</v>
      </c>
      <c r="B425" s="7" t="s">
        <v>396</v>
      </c>
      <c r="C425" s="8">
        <v>10675</v>
      </c>
      <c r="D425" s="9">
        <v>552755990</v>
      </c>
      <c r="E425" s="57">
        <v>7200</v>
      </c>
      <c r="F425" s="10" t="s">
        <v>398</v>
      </c>
      <c r="G425" s="9">
        <v>0</v>
      </c>
      <c r="H425" s="9">
        <f t="shared" si="23"/>
        <v>0</v>
      </c>
      <c r="I425" s="11">
        <f t="shared" ca="1" si="24"/>
        <v>46120</v>
      </c>
      <c r="J425" s="11">
        <f t="shared" ca="1" si="19"/>
        <v>46118</v>
      </c>
      <c r="K425" s="13"/>
    </row>
    <row r="426" spans="1:11" ht="18" x14ac:dyDescent="0.4">
      <c r="A426" s="7" t="s">
        <v>719</v>
      </c>
      <c r="B426" s="7" t="s">
        <v>399</v>
      </c>
      <c r="C426" s="8">
        <v>32572</v>
      </c>
      <c r="D426" s="9">
        <v>552679980</v>
      </c>
      <c r="E426" s="57">
        <v>720</v>
      </c>
      <c r="F426" s="10" t="s">
        <v>400</v>
      </c>
      <c r="G426" s="9">
        <v>0</v>
      </c>
      <c r="H426" s="9">
        <f t="shared" si="23"/>
        <v>0</v>
      </c>
      <c r="I426" s="11">
        <f t="shared" ca="1" si="24"/>
        <v>46120</v>
      </c>
      <c r="J426" s="11">
        <f t="shared" ca="1" si="19"/>
        <v>46118</v>
      </c>
      <c r="K426" s="13"/>
    </row>
    <row r="427" spans="1:11" ht="18" x14ac:dyDescent="0.4">
      <c r="A427" s="7" t="s">
        <v>719</v>
      </c>
      <c r="B427" s="7" t="s">
        <v>401</v>
      </c>
      <c r="C427" s="8">
        <v>31610</v>
      </c>
      <c r="D427" s="9">
        <v>552681700</v>
      </c>
      <c r="E427" s="57">
        <v>420</v>
      </c>
      <c r="F427" s="10" t="s">
        <v>402</v>
      </c>
      <c r="G427" s="9">
        <v>0</v>
      </c>
      <c r="H427" s="9">
        <f t="shared" si="23"/>
        <v>0</v>
      </c>
      <c r="I427" s="11">
        <f t="shared" ca="1" si="24"/>
        <v>46120</v>
      </c>
      <c r="J427" s="11">
        <f t="shared" ca="1" si="19"/>
        <v>46118</v>
      </c>
      <c r="K427" s="13"/>
    </row>
    <row r="428" spans="1:11" ht="18" x14ac:dyDescent="0.4">
      <c r="A428" s="7" t="s">
        <v>719</v>
      </c>
      <c r="B428" s="7" t="s">
        <v>401</v>
      </c>
      <c r="C428" s="8">
        <v>31610</v>
      </c>
      <c r="D428" s="9">
        <v>552678490</v>
      </c>
      <c r="E428" s="57">
        <v>520</v>
      </c>
      <c r="F428" s="10" t="s">
        <v>402</v>
      </c>
      <c r="G428" s="9">
        <v>0</v>
      </c>
      <c r="H428" s="9">
        <f t="shared" si="23"/>
        <v>0</v>
      </c>
      <c r="I428" s="11">
        <f t="shared" ca="1" si="24"/>
        <v>46120</v>
      </c>
      <c r="J428" s="11">
        <f t="shared" ca="1" si="19"/>
        <v>46118</v>
      </c>
      <c r="K428" s="13"/>
    </row>
    <row r="429" spans="1:11" ht="18" x14ac:dyDescent="0.4">
      <c r="A429" s="7" t="s">
        <v>719</v>
      </c>
      <c r="B429" s="7" t="s">
        <v>403</v>
      </c>
      <c r="C429" s="8">
        <v>34836</v>
      </c>
      <c r="D429" s="9">
        <v>552793140</v>
      </c>
      <c r="E429" s="57">
        <v>720</v>
      </c>
      <c r="F429" s="10" t="s">
        <v>404</v>
      </c>
      <c r="G429" s="9">
        <v>0</v>
      </c>
      <c r="H429" s="9">
        <f t="shared" si="23"/>
        <v>0</v>
      </c>
      <c r="I429" s="11">
        <f t="shared" ca="1" si="24"/>
        <v>46120</v>
      </c>
      <c r="J429" s="11">
        <f t="shared" ca="1" si="19"/>
        <v>46118</v>
      </c>
      <c r="K429" s="13"/>
    </row>
    <row r="430" spans="1:11" ht="18" x14ac:dyDescent="0.4">
      <c r="A430" s="7" t="s">
        <v>719</v>
      </c>
      <c r="B430" s="7" t="s">
        <v>403</v>
      </c>
      <c r="C430" s="8">
        <v>34836</v>
      </c>
      <c r="D430" s="9">
        <v>552793150</v>
      </c>
      <c r="E430" s="57">
        <v>720</v>
      </c>
      <c r="F430" s="10" t="s">
        <v>405</v>
      </c>
      <c r="G430" s="9">
        <v>0</v>
      </c>
      <c r="H430" s="9">
        <f t="shared" si="23"/>
        <v>0</v>
      </c>
      <c r="I430" s="11">
        <f t="shared" ca="1" si="24"/>
        <v>46120</v>
      </c>
      <c r="J430" s="11">
        <f t="shared" ca="1" si="19"/>
        <v>46118</v>
      </c>
      <c r="K430" s="13"/>
    </row>
    <row r="431" spans="1:11" ht="18" x14ac:dyDescent="0.4">
      <c r="A431" s="7" t="s">
        <v>719</v>
      </c>
      <c r="B431" s="7" t="s">
        <v>403</v>
      </c>
      <c r="C431" s="8">
        <v>34836</v>
      </c>
      <c r="D431" s="9">
        <v>552793160</v>
      </c>
      <c r="E431" s="57">
        <v>720</v>
      </c>
      <c r="F431" s="10" t="s">
        <v>406</v>
      </c>
      <c r="G431" s="9">
        <v>0</v>
      </c>
      <c r="H431" s="9">
        <f t="shared" si="23"/>
        <v>0</v>
      </c>
      <c r="I431" s="11">
        <f t="shared" ca="1" si="24"/>
        <v>46120</v>
      </c>
      <c r="J431" s="11">
        <f t="shared" ca="1" si="19"/>
        <v>46118</v>
      </c>
      <c r="K431" s="13"/>
    </row>
    <row r="432" spans="1:11" ht="18" x14ac:dyDescent="0.4">
      <c r="A432" s="7" t="s">
        <v>719</v>
      </c>
      <c r="B432" s="7" t="s">
        <v>403</v>
      </c>
      <c r="C432" s="8">
        <v>34836</v>
      </c>
      <c r="D432" s="9">
        <v>552677750</v>
      </c>
      <c r="E432" s="57">
        <v>480</v>
      </c>
      <c r="F432" s="10" t="s">
        <v>144</v>
      </c>
      <c r="G432" s="9">
        <v>0</v>
      </c>
      <c r="H432" s="9">
        <f t="shared" si="23"/>
        <v>0</v>
      </c>
      <c r="I432" s="11">
        <f t="shared" ca="1" si="24"/>
        <v>46120</v>
      </c>
      <c r="J432" s="11">
        <f t="shared" ca="1" si="19"/>
        <v>46118</v>
      </c>
      <c r="K432" s="13"/>
    </row>
    <row r="433" spans="1:11" ht="18" x14ac:dyDescent="0.4">
      <c r="A433" s="7" t="s">
        <v>719</v>
      </c>
      <c r="B433" s="7" t="s">
        <v>403</v>
      </c>
      <c r="C433" s="8">
        <v>34836</v>
      </c>
      <c r="D433" s="9">
        <v>552677760</v>
      </c>
      <c r="E433" s="57">
        <v>480</v>
      </c>
      <c r="F433" s="10" t="s">
        <v>145</v>
      </c>
      <c r="G433" s="9">
        <v>0</v>
      </c>
      <c r="H433" s="9">
        <f t="shared" ref="H433:H494" si="25">G433/E433</f>
        <v>0</v>
      </c>
      <c r="I433" s="11">
        <f t="shared" ca="1" si="24"/>
        <v>46120</v>
      </c>
      <c r="J433" s="11">
        <f t="shared" ca="1" si="19"/>
        <v>46118</v>
      </c>
      <c r="K433" s="13"/>
    </row>
    <row r="434" spans="1:11" ht="18" x14ac:dyDescent="0.4">
      <c r="A434" s="7" t="s">
        <v>719</v>
      </c>
      <c r="B434" s="7" t="s">
        <v>403</v>
      </c>
      <c r="C434" s="8">
        <v>34836</v>
      </c>
      <c r="D434" s="9">
        <v>552677770</v>
      </c>
      <c r="E434" s="57">
        <v>480</v>
      </c>
      <c r="F434" s="10" t="s">
        <v>146</v>
      </c>
      <c r="G434" s="9">
        <v>0</v>
      </c>
      <c r="H434" s="9">
        <f t="shared" si="25"/>
        <v>0</v>
      </c>
      <c r="I434" s="11">
        <f t="shared" ca="1" si="24"/>
        <v>46120</v>
      </c>
      <c r="J434" s="11">
        <f t="shared" ca="1" si="19"/>
        <v>46118</v>
      </c>
      <c r="K434" s="13"/>
    </row>
    <row r="435" spans="1:11" ht="18" x14ac:dyDescent="0.4">
      <c r="A435" s="7" t="s">
        <v>719</v>
      </c>
      <c r="B435" s="7" t="s">
        <v>403</v>
      </c>
      <c r="C435" s="8">
        <v>34836</v>
      </c>
      <c r="D435" s="9">
        <v>552677810</v>
      </c>
      <c r="E435" s="57">
        <v>480</v>
      </c>
      <c r="F435" s="10" t="s">
        <v>147</v>
      </c>
      <c r="G435" s="9">
        <v>0</v>
      </c>
      <c r="H435" s="9">
        <f t="shared" si="25"/>
        <v>0</v>
      </c>
      <c r="I435" s="11">
        <f t="shared" ca="1" si="24"/>
        <v>46120</v>
      </c>
      <c r="J435" s="11">
        <f t="shared" ca="1" si="19"/>
        <v>46118</v>
      </c>
      <c r="K435" s="13"/>
    </row>
    <row r="436" spans="1:11" ht="18" x14ac:dyDescent="0.4">
      <c r="A436" s="7" t="s">
        <v>719</v>
      </c>
      <c r="B436" s="7" t="s">
        <v>403</v>
      </c>
      <c r="C436" s="8">
        <v>34836</v>
      </c>
      <c r="D436" s="9">
        <v>552677820</v>
      </c>
      <c r="E436" s="57">
        <v>480</v>
      </c>
      <c r="F436" s="10" t="s">
        <v>148</v>
      </c>
      <c r="G436" s="9">
        <v>0</v>
      </c>
      <c r="H436" s="9">
        <f t="shared" si="25"/>
        <v>0</v>
      </c>
      <c r="I436" s="11">
        <f t="shared" ca="1" si="24"/>
        <v>46120</v>
      </c>
      <c r="J436" s="11">
        <f t="shared" ca="1" si="19"/>
        <v>46118</v>
      </c>
      <c r="K436" s="13"/>
    </row>
    <row r="437" spans="1:11" ht="18" x14ac:dyDescent="0.4">
      <c r="A437" s="7" t="s">
        <v>719</v>
      </c>
      <c r="B437" s="7" t="s">
        <v>403</v>
      </c>
      <c r="C437" s="8">
        <v>34836</v>
      </c>
      <c r="D437" s="9">
        <v>552677830</v>
      </c>
      <c r="E437" s="57">
        <v>480</v>
      </c>
      <c r="F437" s="10" t="s">
        <v>149</v>
      </c>
      <c r="G437" s="9">
        <v>0</v>
      </c>
      <c r="H437" s="9">
        <f t="shared" si="25"/>
        <v>0</v>
      </c>
      <c r="I437" s="11">
        <f t="shared" ca="1" si="24"/>
        <v>46120</v>
      </c>
      <c r="J437" s="11">
        <f t="shared" ca="1" si="19"/>
        <v>46118</v>
      </c>
      <c r="K437" s="13"/>
    </row>
    <row r="438" spans="1:11" ht="18" x14ac:dyDescent="0.4">
      <c r="A438" s="7" t="s">
        <v>719</v>
      </c>
      <c r="B438" s="7" t="s">
        <v>403</v>
      </c>
      <c r="C438" s="8">
        <v>34836</v>
      </c>
      <c r="D438" s="9">
        <v>552679480</v>
      </c>
      <c r="E438" s="57">
        <v>600</v>
      </c>
      <c r="F438" s="10" t="s">
        <v>407</v>
      </c>
      <c r="G438" s="9">
        <v>0</v>
      </c>
      <c r="H438" s="9">
        <f t="shared" si="25"/>
        <v>0</v>
      </c>
      <c r="I438" s="11">
        <f t="shared" ca="1" si="24"/>
        <v>46120</v>
      </c>
      <c r="J438" s="11">
        <f t="shared" ca="1" si="19"/>
        <v>46118</v>
      </c>
      <c r="K438" s="13"/>
    </row>
    <row r="439" spans="1:11" ht="18" x14ac:dyDescent="0.4">
      <c r="A439" s="7" t="s">
        <v>719</v>
      </c>
      <c r="B439" s="7" t="s">
        <v>403</v>
      </c>
      <c r="C439" s="8">
        <v>34836</v>
      </c>
      <c r="D439" s="9">
        <v>552679440</v>
      </c>
      <c r="E439" s="57">
        <v>550</v>
      </c>
      <c r="F439" s="10" t="s">
        <v>408</v>
      </c>
      <c r="G439" s="9">
        <v>0</v>
      </c>
      <c r="H439" s="9">
        <f t="shared" si="25"/>
        <v>0</v>
      </c>
      <c r="I439" s="11">
        <f t="shared" ref="I439:I499" ca="1" si="26">I438</f>
        <v>46120</v>
      </c>
      <c r="J439" s="11">
        <f t="shared" ca="1" si="19"/>
        <v>46118</v>
      </c>
      <c r="K439" s="13"/>
    </row>
    <row r="440" spans="1:11" ht="18" x14ac:dyDescent="0.4">
      <c r="A440" s="7" t="s">
        <v>719</v>
      </c>
      <c r="B440" s="7" t="s">
        <v>403</v>
      </c>
      <c r="C440" s="8">
        <v>34836</v>
      </c>
      <c r="D440" s="9">
        <v>552786650</v>
      </c>
      <c r="E440" s="57">
        <v>180</v>
      </c>
      <c r="F440" s="10" t="s">
        <v>409</v>
      </c>
      <c r="G440" s="9">
        <v>0</v>
      </c>
      <c r="H440" s="9">
        <f t="shared" si="25"/>
        <v>0</v>
      </c>
      <c r="I440" s="11">
        <f t="shared" ca="1" si="26"/>
        <v>46120</v>
      </c>
      <c r="J440" s="11">
        <f t="shared" ca="1" si="19"/>
        <v>46118</v>
      </c>
      <c r="K440" s="13"/>
    </row>
    <row r="441" spans="1:11" ht="18" x14ac:dyDescent="0.4">
      <c r="A441" s="7" t="s">
        <v>719</v>
      </c>
      <c r="B441" s="7" t="s">
        <v>410</v>
      </c>
      <c r="C441" s="8">
        <v>28824</v>
      </c>
      <c r="D441" s="9">
        <v>552681400</v>
      </c>
      <c r="E441" s="57">
        <v>336</v>
      </c>
      <c r="F441" s="10" t="s">
        <v>411</v>
      </c>
      <c r="G441" s="9">
        <v>0</v>
      </c>
      <c r="H441" s="9">
        <f t="shared" si="25"/>
        <v>0</v>
      </c>
      <c r="I441" s="11">
        <f t="shared" ca="1" si="26"/>
        <v>46120</v>
      </c>
      <c r="J441" s="11">
        <f t="shared" ca="1" si="19"/>
        <v>46118</v>
      </c>
      <c r="K441" s="13"/>
    </row>
    <row r="442" spans="1:11" ht="18" x14ac:dyDescent="0.4">
      <c r="A442" s="7" t="s">
        <v>719</v>
      </c>
      <c r="B442" s="7" t="s">
        <v>410</v>
      </c>
      <c r="C442" s="8">
        <v>28824</v>
      </c>
      <c r="D442" s="9">
        <v>552679510</v>
      </c>
      <c r="E442" s="57">
        <v>336</v>
      </c>
      <c r="F442" s="10" t="s">
        <v>411</v>
      </c>
      <c r="G442" s="9">
        <v>0</v>
      </c>
      <c r="H442" s="9">
        <f t="shared" si="25"/>
        <v>0</v>
      </c>
      <c r="I442" s="11">
        <f t="shared" ca="1" si="26"/>
        <v>46120</v>
      </c>
      <c r="J442" s="11">
        <f t="shared" ca="1" si="19"/>
        <v>46118</v>
      </c>
      <c r="K442" s="13"/>
    </row>
    <row r="443" spans="1:11" ht="18" x14ac:dyDescent="0.4">
      <c r="A443" s="7" t="s">
        <v>719</v>
      </c>
      <c r="B443" s="7" t="s">
        <v>412</v>
      </c>
      <c r="C443" s="8">
        <v>11431</v>
      </c>
      <c r="D443" s="9">
        <v>463365360</v>
      </c>
      <c r="E443" s="57">
        <v>1000</v>
      </c>
      <c r="F443" s="10" t="s">
        <v>413</v>
      </c>
      <c r="G443" s="9">
        <v>0</v>
      </c>
      <c r="H443" s="9">
        <f t="shared" si="25"/>
        <v>0</v>
      </c>
      <c r="I443" s="11">
        <f t="shared" ca="1" si="26"/>
        <v>46120</v>
      </c>
      <c r="J443" s="11">
        <f t="shared" ca="1" si="19"/>
        <v>46118</v>
      </c>
      <c r="K443" s="13"/>
    </row>
    <row r="444" spans="1:11" ht="18" x14ac:dyDescent="0.4">
      <c r="A444" s="7" t="s">
        <v>719</v>
      </c>
      <c r="B444" s="7" t="s">
        <v>412</v>
      </c>
      <c r="C444" s="8">
        <v>11431</v>
      </c>
      <c r="D444" s="9">
        <v>463411530</v>
      </c>
      <c r="E444" s="57">
        <v>500</v>
      </c>
      <c r="F444" s="10" t="s">
        <v>413</v>
      </c>
      <c r="G444" s="9">
        <v>0</v>
      </c>
      <c r="H444" s="9">
        <f t="shared" si="25"/>
        <v>0</v>
      </c>
      <c r="I444" s="11">
        <f t="shared" ca="1" si="26"/>
        <v>46120</v>
      </c>
      <c r="J444" s="11">
        <f t="shared" ca="1" si="19"/>
        <v>46118</v>
      </c>
      <c r="K444" s="13"/>
    </row>
    <row r="445" spans="1:11" ht="18" x14ac:dyDescent="0.4">
      <c r="A445" s="7" t="s">
        <v>719</v>
      </c>
      <c r="B445" s="7" t="s">
        <v>414</v>
      </c>
      <c r="C445" s="8">
        <v>21570</v>
      </c>
      <c r="D445" s="9">
        <v>552754290</v>
      </c>
      <c r="E445" s="57">
        <v>800</v>
      </c>
      <c r="F445" s="10" t="s">
        <v>415</v>
      </c>
      <c r="G445" s="9">
        <v>0</v>
      </c>
      <c r="H445" s="9">
        <f t="shared" si="25"/>
        <v>0</v>
      </c>
      <c r="I445" s="11">
        <f t="shared" ca="1" si="26"/>
        <v>46120</v>
      </c>
      <c r="J445" s="11">
        <f t="shared" ca="1" si="19"/>
        <v>46118</v>
      </c>
      <c r="K445" s="13"/>
    </row>
    <row r="446" spans="1:11" ht="18" x14ac:dyDescent="0.4">
      <c r="A446" s="7" t="s">
        <v>719</v>
      </c>
      <c r="B446" s="7" t="s">
        <v>414</v>
      </c>
      <c r="C446" s="8">
        <v>21570</v>
      </c>
      <c r="D446" s="9">
        <v>552682660</v>
      </c>
      <c r="E446" s="57">
        <v>1800</v>
      </c>
      <c r="F446" s="10" t="s">
        <v>416</v>
      </c>
      <c r="G446" s="9">
        <v>0</v>
      </c>
      <c r="H446" s="9">
        <f t="shared" si="25"/>
        <v>0</v>
      </c>
      <c r="I446" s="11">
        <f t="shared" ca="1" si="26"/>
        <v>46120</v>
      </c>
      <c r="J446" s="11">
        <f t="shared" ca="1" si="19"/>
        <v>46118</v>
      </c>
      <c r="K446" s="13"/>
    </row>
    <row r="447" spans="1:11" ht="18" x14ac:dyDescent="0.4">
      <c r="A447" s="7" t="s">
        <v>719</v>
      </c>
      <c r="B447" s="7" t="s">
        <v>417</v>
      </c>
      <c r="C447" s="8">
        <v>23480</v>
      </c>
      <c r="D447" s="9">
        <v>552677420</v>
      </c>
      <c r="E447" s="57">
        <v>2475</v>
      </c>
      <c r="F447" s="10" t="s">
        <v>418</v>
      </c>
      <c r="G447" s="9">
        <v>0</v>
      </c>
      <c r="H447" s="9">
        <f t="shared" si="25"/>
        <v>0</v>
      </c>
      <c r="I447" s="11">
        <f t="shared" ca="1" si="26"/>
        <v>46120</v>
      </c>
      <c r="J447" s="11">
        <f t="shared" ca="1" si="19"/>
        <v>46118</v>
      </c>
      <c r="K447" s="13"/>
    </row>
    <row r="448" spans="1:11" ht="18" x14ac:dyDescent="0.4">
      <c r="A448" s="7" t="s">
        <v>719</v>
      </c>
      <c r="B448" s="7" t="s">
        <v>417</v>
      </c>
      <c r="C448" s="8">
        <v>23480</v>
      </c>
      <c r="D448" s="9">
        <v>144576800</v>
      </c>
      <c r="E448" s="57">
        <v>1000</v>
      </c>
      <c r="F448" s="10" t="s">
        <v>419</v>
      </c>
      <c r="G448" s="9">
        <v>0</v>
      </c>
      <c r="H448" s="9">
        <f t="shared" si="25"/>
        <v>0</v>
      </c>
      <c r="I448" s="11">
        <f t="shared" ca="1" si="26"/>
        <v>46120</v>
      </c>
      <c r="J448" s="11">
        <f t="shared" ca="1" si="19"/>
        <v>46118</v>
      </c>
      <c r="K448" s="13"/>
    </row>
    <row r="449" spans="1:11" ht="18" x14ac:dyDescent="0.4">
      <c r="A449" s="7" t="s">
        <v>719</v>
      </c>
      <c r="B449" s="7" t="s">
        <v>417</v>
      </c>
      <c r="C449" s="8">
        <v>23480</v>
      </c>
      <c r="D449" s="9">
        <v>144534810</v>
      </c>
      <c r="E449" s="57">
        <v>4000</v>
      </c>
      <c r="F449" s="10" t="s">
        <v>420</v>
      </c>
      <c r="G449" s="9">
        <v>0</v>
      </c>
      <c r="H449" s="9">
        <f t="shared" si="25"/>
        <v>0</v>
      </c>
      <c r="I449" s="11">
        <f t="shared" ca="1" si="26"/>
        <v>46120</v>
      </c>
      <c r="J449" s="11">
        <f t="shared" ca="1" si="19"/>
        <v>46118</v>
      </c>
      <c r="K449" s="13"/>
    </row>
    <row r="450" spans="1:11" ht="18" x14ac:dyDescent="0.4">
      <c r="A450" s="7" t="s">
        <v>719</v>
      </c>
      <c r="B450" s="7" t="s">
        <v>421</v>
      </c>
      <c r="C450" s="8">
        <v>23481</v>
      </c>
      <c r="D450" s="9">
        <v>463411500</v>
      </c>
      <c r="E450" s="57">
        <v>1200</v>
      </c>
      <c r="F450" s="10" t="s">
        <v>224</v>
      </c>
      <c r="G450" s="9">
        <v>0</v>
      </c>
      <c r="H450" s="9">
        <f t="shared" si="25"/>
        <v>0</v>
      </c>
      <c r="I450" s="11">
        <f t="shared" ca="1" si="26"/>
        <v>46120</v>
      </c>
      <c r="J450" s="11">
        <f t="shared" ca="1" si="19"/>
        <v>46118</v>
      </c>
      <c r="K450" s="13"/>
    </row>
    <row r="451" spans="1:11" ht="18" x14ac:dyDescent="0.4">
      <c r="A451" s="7" t="s">
        <v>719</v>
      </c>
      <c r="B451" s="7" t="s">
        <v>422</v>
      </c>
      <c r="C451" s="8">
        <v>21342</v>
      </c>
      <c r="D451" s="9">
        <v>463509950</v>
      </c>
      <c r="E451" s="57">
        <v>30</v>
      </c>
      <c r="F451" s="10" t="s">
        <v>423</v>
      </c>
      <c r="G451" s="9">
        <v>0</v>
      </c>
      <c r="H451" s="9">
        <f t="shared" si="25"/>
        <v>0</v>
      </c>
      <c r="I451" s="11">
        <f t="shared" ca="1" si="26"/>
        <v>46120</v>
      </c>
      <c r="J451" s="11">
        <f t="shared" ca="1" si="19"/>
        <v>46118</v>
      </c>
      <c r="K451" s="13"/>
    </row>
    <row r="452" spans="1:11" ht="18" x14ac:dyDescent="0.4">
      <c r="A452" s="7" t="s">
        <v>719</v>
      </c>
      <c r="B452" s="7" t="s">
        <v>422</v>
      </c>
      <c r="C452" s="8">
        <v>21342</v>
      </c>
      <c r="D452" s="9">
        <v>463509960</v>
      </c>
      <c r="E452" s="57">
        <v>300</v>
      </c>
      <c r="F452" s="10" t="s">
        <v>424</v>
      </c>
      <c r="G452" s="9">
        <v>0</v>
      </c>
      <c r="H452" s="9">
        <f t="shared" si="25"/>
        <v>0</v>
      </c>
      <c r="I452" s="11">
        <f t="shared" ca="1" si="26"/>
        <v>46120</v>
      </c>
      <c r="J452" s="11">
        <f t="shared" ca="1" si="19"/>
        <v>46118</v>
      </c>
      <c r="K452" s="13"/>
    </row>
    <row r="453" spans="1:11" ht="18" x14ac:dyDescent="0.4">
      <c r="A453" s="7" t="s">
        <v>719</v>
      </c>
      <c r="B453" s="7" t="s">
        <v>422</v>
      </c>
      <c r="C453" s="8">
        <v>21342</v>
      </c>
      <c r="D453" s="9">
        <v>463462820</v>
      </c>
      <c r="E453" s="57">
        <v>480</v>
      </c>
      <c r="F453" s="10" t="s">
        <v>425</v>
      </c>
      <c r="G453" s="9">
        <v>0</v>
      </c>
      <c r="H453" s="9">
        <f t="shared" si="25"/>
        <v>0</v>
      </c>
      <c r="I453" s="11">
        <f t="shared" ca="1" si="26"/>
        <v>46120</v>
      </c>
      <c r="J453" s="11">
        <f t="shared" ca="1" si="19"/>
        <v>46118</v>
      </c>
      <c r="K453" s="13"/>
    </row>
    <row r="454" spans="1:11" ht="18" x14ac:dyDescent="0.4">
      <c r="A454" s="7" t="s">
        <v>719</v>
      </c>
      <c r="B454" s="7" t="s">
        <v>422</v>
      </c>
      <c r="C454" s="8">
        <v>21342</v>
      </c>
      <c r="D454" s="9">
        <v>463462910</v>
      </c>
      <c r="E454" s="57">
        <v>420</v>
      </c>
      <c r="F454" s="10" t="s">
        <v>426</v>
      </c>
      <c r="G454" s="9">
        <v>0</v>
      </c>
      <c r="H454" s="9">
        <f t="shared" si="25"/>
        <v>0</v>
      </c>
      <c r="I454" s="11">
        <f t="shared" ca="1" si="26"/>
        <v>46120</v>
      </c>
      <c r="J454" s="11">
        <f t="shared" ca="1" si="19"/>
        <v>46118</v>
      </c>
      <c r="K454" s="13"/>
    </row>
    <row r="455" spans="1:11" ht="18" x14ac:dyDescent="0.4">
      <c r="A455" s="7" t="s">
        <v>719</v>
      </c>
      <c r="B455" s="7" t="s">
        <v>427</v>
      </c>
      <c r="C455" s="8">
        <v>14837</v>
      </c>
      <c r="D455" s="9">
        <v>552796450</v>
      </c>
      <c r="E455" s="57">
        <v>30</v>
      </c>
      <c r="F455" s="10" t="s">
        <v>428</v>
      </c>
      <c r="G455" s="9">
        <v>0</v>
      </c>
      <c r="H455" s="9">
        <f t="shared" si="25"/>
        <v>0</v>
      </c>
      <c r="I455" s="11">
        <f t="shared" ca="1" si="26"/>
        <v>46120</v>
      </c>
      <c r="J455" s="11">
        <f t="shared" ca="1" si="19"/>
        <v>46118</v>
      </c>
      <c r="K455" s="13"/>
    </row>
    <row r="456" spans="1:11" ht="18" x14ac:dyDescent="0.4">
      <c r="A456" s="7" t="s">
        <v>719</v>
      </c>
      <c r="B456" s="7" t="s">
        <v>427</v>
      </c>
      <c r="C456" s="8">
        <v>14837</v>
      </c>
      <c r="D456" s="9">
        <v>463508220</v>
      </c>
      <c r="E456" s="57">
        <v>30</v>
      </c>
      <c r="F456" s="10" t="s">
        <v>428</v>
      </c>
      <c r="G456" s="9">
        <v>0</v>
      </c>
      <c r="H456" s="9">
        <f t="shared" si="25"/>
        <v>0</v>
      </c>
      <c r="I456" s="11">
        <f t="shared" ca="1" si="26"/>
        <v>46120</v>
      </c>
      <c r="J456" s="11">
        <f t="shared" ca="1" si="19"/>
        <v>46118</v>
      </c>
      <c r="K456" s="13"/>
    </row>
    <row r="457" spans="1:11" ht="18" x14ac:dyDescent="0.4">
      <c r="A457" s="7" t="s">
        <v>719</v>
      </c>
      <c r="B457" s="7" t="s">
        <v>429</v>
      </c>
      <c r="C457" s="8">
        <v>1097</v>
      </c>
      <c r="D457" s="9">
        <v>463550730</v>
      </c>
      <c r="E457" s="57">
        <v>24</v>
      </c>
      <c r="F457" s="10" t="s">
        <v>430</v>
      </c>
      <c r="G457" s="9">
        <v>0</v>
      </c>
      <c r="H457" s="9">
        <f t="shared" si="25"/>
        <v>0</v>
      </c>
      <c r="I457" s="11">
        <f t="shared" ca="1" si="26"/>
        <v>46120</v>
      </c>
      <c r="J457" s="11">
        <f t="shared" ca="1" si="19"/>
        <v>46118</v>
      </c>
      <c r="K457" s="13"/>
    </row>
    <row r="458" spans="1:11" ht="18" x14ac:dyDescent="0.4">
      <c r="A458" s="7" t="s">
        <v>719</v>
      </c>
      <c r="B458" s="7" t="s">
        <v>429</v>
      </c>
      <c r="C458" s="8">
        <v>1097</v>
      </c>
      <c r="D458" s="9">
        <v>463443560</v>
      </c>
      <c r="E458" s="57">
        <v>24</v>
      </c>
      <c r="F458" s="10" t="s">
        <v>431</v>
      </c>
      <c r="G458" s="9">
        <v>0</v>
      </c>
      <c r="H458" s="9">
        <f t="shared" si="25"/>
        <v>0</v>
      </c>
      <c r="I458" s="11">
        <f t="shared" ca="1" si="26"/>
        <v>46120</v>
      </c>
      <c r="J458" s="11">
        <f t="shared" ca="1" si="19"/>
        <v>46118</v>
      </c>
      <c r="K458" s="13"/>
    </row>
    <row r="459" spans="1:11" ht="18" x14ac:dyDescent="0.4">
      <c r="A459" s="7" t="s">
        <v>719</v>
      </c>
      <c r="B459" s="7" t="s">
        <v>429</v>
      </c>
      <c r="C459" s="8">
        <v>1097</v>
      </c>
      <c r="D459" s="9">
        <v>463555740</v>
      </c>
      <c r="E459" s="57">
        <v>24</v>
      </c>
      <c r="F459" s="10" t="s">
        <v>432</v>
      </c>
      <c r="G459" s="9">
        <v>0</v>
      </c>
      <c r="H459" s="9">
        <f t="shared" si="25"/>
        <v>0</v>
      </c>
      <c r="I459" s="11">
        <f t="shared" ca="1" si="26"/>
        <v>46120</v>
      </c>
      <c r="J459" s="11">
        <f t="shared" ca="1" si="19"/>
        <v>46118</v>
      </c>
      <c r="K459" s="13"/>
    </row>
    <row r="460" spans="1:11" ht="18" x14ac:dyDescent="0.4">
      <c r="A460" s="7" t="s">
        <v>719</v>
      </c>
      <c r="B460" s="7" t="s">
        <v>429</v>
      </c>
      <c r="C460" s="8">
        <v>1097</v>
      </c>
      <c r="D460" s="9">
        <v>463526980</v>
      </c>
      <c r="E460" s="57">
        <v>24</v>
      </c>
      <c r="F460" s="10" t="s">
        <v>433</v>
      </c>
      <c r="G460" s="9">
        <v>0</v>
      </c>
      <c r="H460" s="9">
        <f t="shared" si="25"/>
        <v>0</v>
      </c>
      <c r="I460" s="11">
        <f t="shared" ca="1" si="26"/>
        <v>46120</v>
      </c>
      <c r="J460" s="11">
        <f t="shared" ca="1" si="19"/>
        <v>46118</v>
      </c>
      <c r="K460" s="13"/>
    </row>
    <row r="461" spans="1:11" ht="18" x14ac:dyDescent="0.4">
      <c r="A461" s="7" t="s">
        <v>719</v>
      </c>
      <c r="B461" s="7" t="s">
        <v>434</v>
      </c>
      <c r="C461" s="8">
        <v>51620</v>
      </c>
      <c r="D461" s="9">
        <v>552685780</v>
      </c>
      <c r="E461" s="57">
        <v>840</v>
      </c>
      <c r="F461" s="10" t="s">
        <v>435</v>
      </c>
      <c r="G461" s="9">
        <v>0</v>
      </c>
      <c r="H461" s="9">
        <f t="shared" si="25"/>
        <v>0</v>
      </c>
      <c r="I461" s="11">
        <f t="shared" ca="1" si="26"/>
        <v>46120</v>
      </c>
      <c r="J461" s="11">
        <f t="shared" ca="1" si="19"/>
        <v>46118</v>
      </c>
      <c r="K461" s="13"/>
    </row>
    <row r="462" spans="1:11" ht="18" x14ac:dyDescent="0.4">
      <c r="A462" s="7" t="s">
        <v>719</v>
      </c>
      <c r="B462" s="7" t="s">
        <v>434</v>
      </c>
      <c r="C462" s="8">
        <v>51620</v>
      </c>
      <c r="D462" s="9">
        <v>552685800</v>
      </c>
      <c r="E462" s="57">
        <v>1440</v>
      </c>
      <c r="F462" s="10" t="s">
        <v>436</v>
      </c>
      <c r="G462" s="9">
        <v>7200</v>
      </c>
      <c r="H462" s="9">
        <f t="shared" si="25"/>
        <v>5</v>
      </c>
      <c r="I462" s="11">
        <f t="shared" ca="1" si="26"/>
        <v>46120</v>
      </c>
      <c r="J462" s="11">
        <f t="shared" ca="1" si="19"/>
        <v>46118</v>
      </c>
      <c r="K462" s="13"/>
    </row>
    <row r="463" spans="1:11" ht="18" x14ac:dyDescent="0.4">
      <c r="A463" s="7" t="s">
        <v>719</v>
      </c>
      <c r="B463" s="7" t="s">
        <v>434</v>
      </c>
      <c r="C463" s="8">
        <v>51620</v>
      </c>
      <c r="D463" s="9">
        <v>552685820</v>
      </c>
      <c r="E463" s="57">
        <v>840</v>
      </c>
      <c r="F463" s="10" t="s">
        <v>437</v>
      </c>
      <c r="G463" s="9">
        <v>0</v>
      </c>
      <c r="H463" s="9">
        <f t="shared" si="25"/>
        <v>0</v>
      </c>
      <c r="I463" s="11">
        <f t="shared" ca="1" si="26"/>
        <v>46120</v>
      </c>
      <c r="J463" s="11">
        <f t="shared" ca="1" si="19"/>
        <v>46118</v>
      </c>
      <c r="K463" s="13"/>
    </row>
    <row r="464" spans="1:11" ht="18" x14ac:dyDescent="0.4">
      <c r="A464" s="7" t="s">
        <v>719</v>
      </c>
      <c r="B464" s="7" t="s">
        <v>434</v>
      </c>
      <c r="C464" s="8">
        <v>51620</v>
      </c>
      <c r="D464" s="9">
        <v>552820620</v>
      </c>
      <c r="E464" s="57">
        <v>840</v>
      </c>
      <c r="F464" s="10" t="s">
        <v>435</v>
      </c>
      <c r="G464" s="9">
        <v>0</v>
      </c>
      <c r="H464" s="9">
        <f t="shared" si="25"/>
        <v>0</v>
      </c>
      <c r="I464" s="11">
        <f t="shared" ca="1" si="26"/>
        <v>46120</v>
      </c>
      <c r="J464" s="11">
        <f t="shared" ca="1" si="19"/>
        <v>46118</v>
      </c>
      <c r="K464" s="13"/>
    </row>
    <row r="465" spans="1:11" ht="18" x14ac:dyDescent="0.4">
      <c r="A465" s="7" t="s">
        <v>719</v>
      </c>
      <c r="B465" s="7" t="s">
        <v>434</v>
      </c>
      <c r="C465" s="8">
        <v>51620</v>
      </c>
      <c r="D465" s="9">
        <v>552820640</v>
      </c>
      <c r="E465" s="57">
        <v>1440</v>
      </c>
      <c r="F465" s="10" t="s">
        <v>436</v>
      </c>
      <c r="G465" s="9">
        <v>1440</v>
      </c>
      <c r="H465" s="9">
        <f t="shared" si="25"/>
        <v>1</v>
      </c>
      <c r="I465" s="11">
        <f t="shared" ca="1" si="26"/>
        <v>46120</v>
      </c>
      <c r="J465" s="11">
        <f t="shared" ca="1" si="19"/>
        <v>46118</v>
      </c>
      <c r="K465" s="13"/>
    </row>
    <row r="466" spans="1:11" ht="18" x14ac:dyDescent="0.4">
      <c r="A466" s="7" t="s">
        <v>719</v>
      </c>
      <c r="B466" s="7" t="s">
        <v>434</v>
      </c>
      <c r="C466" s="8">
        <v>51620</v>
      </c>
      <c r="D466" s="9">
        <v>552820660</v>
      </c>
      <c r="E466" s="57">
        <v>840</v>
      </c>
      <c r="F466" s="10" t="s">
        <v>437</v>
      </c>
      <c r="G466" s="9">
        <v>0</v>
      </c>
      <c r="H466" s="9">
        <f t="shared" si="25"/>
        <v>0</v>
      </c>
      <c r="I466" s="11">
        <f t="shared" ca="1" si="26"/>
        <v>46120</v>
      </c>
      <c r="J466" s="11">
        <f t="shared" ca="1" si="19"/>
        <v>46118</v>
      </c>
      <c r="K466" s="13"/>
    </row>
    <row r="467" spans="1:11" ht="18" x14ac:dyDescent="0.4">
      <c r="A467" s="7" t="s">
        <v>719</v>
      </c>
      <c r="B467" s="7" t="s">
        <v>434</v>
      </c>
      <c r="C467" s="8">
        <v>51620</v>
      </c>
      <c r="D467" s="9">
        <v>552685720</v>
      </c>
      <c r="E467" s="57">
        <v>4000</v>
      </c>
      <c r="F467" s="10" t="s">
        <v>438</v>
      </c>
      <c r="G467" s="9">
        <v>0</v>
      </c>
      <c r="H467" s="9">
        <f t="shared" si="25"/>
        <v>0</v>
      </c>
      <c r="I467" s="11">
        <f t="shared" ca="1" si="26"/>
        <v>46120</v>
      </c>
      <c r="J467" s="11">
        <f t="shared" ca="1" si="19"/>
        <v>46118</v>
      </c>
      <c r="K467" s="13"/>
    </row>
    <row r="468" spans="1:11" ht="36" x14ac:dyDescent="0.4">
      <c r="A468" s="7" t="s">
        <v>719</v>
      </c>
      <c r="B468" s="7" t="s">
        <v>439</v>
      </c>
      <c r="C468" s="8">
        <v>40840</v>
      </c>
      <c r="D468" s="9">
        <v>552731550</v>
      </c>
      <c r="E468" s="57">
        <v>1000</v>
      </c>
      <c r="F468" s="37" t="s">
        <v>440</v>
      </c>
      <c r="G468" s="9">
        <v>0</v>
      </c>
      <c r="H468" s="9">
        <f t="shared" si="25"/>
        <v>0</v>
      </c>
      <c r="I468" s="11">
        <f ca="1">I466</f>
        <v>46120</v>
      </c>
      <c r="J468" s="11">
        <f t="shared" ca="1" si="19"/>
        <v>46118</v>
      </c>
      <c r="K468" s="13"/>
    </row>
    <row r="469" spans="1:11" ht="18" x14ac:dyDescent="0.4">
      <c r="A469" s="7" t="s">
        <v>719</v>
      </c>
      <c r="B469" s="7" t="s">
        <v>439</v>
      </c>
      <c r="C469" s="8">
        <v>40840</v>
      </c>
      <c r="D469" s="9">
        <v>552716380</v>
      </c>
      <c r="E469" s="57">
        <v>500</v>
      </c>
      <c r="F469" s="10" t="s">
        <v>441</v>
      </c>
      <c r="G469" s="9">
        <v>0</v>
      </c>
      <c r="H469" s="9">
        <f t="shared" si="25"/>
        <v>0</v>
      </c>
      <c r="I469" s="11">
        <f t="shared" ca="1" si="26"/>
        <v>46120</v>
      </c>
      <c r="J469" s="11">
        <f t="shared" ca="1" si="19"/>
        <v>46118</v>
      </c>
      <c r="K469" s="13"/>
    </row>
    <row r="470" spans="1:11" ht="18" x14ac:dyDescent="0.4">
      <c r="A470" s="7" t="s">
        <v>719</v>
      </c>
      <c r="B470" s="7" t="s">
        <v>439</v>
      </c>
      <c r="C470" s="8">
        <v>40840</v>
      </c>
      <c r="D470" s="9">
        <v>552679610</v>
      </c>
      <c r="E470" s="57">
        <v>100</v>
      </c>
      <c r="F470" s="10" t="s">
        <v>442</v>
      </c>
      <c r="G470" s="9">
        <v>0</v>
      </c>
      <c r="H470" s="9">
        <f t="shared" si="25"/>
        <v>0</v>
      </c>
      <c r="I470" s="11">
        <f t="shared" ca="1" si="26"/>
        <v>46120</v>
      </c>
      <c r="J470" s="11">
        <f t="shared" ca="1" si="19"/>
        <v>46118</v>
      </c>
      <c r="K470" s="13"/>
    </row>
    <row r="471" spans="1:11" ht="18" x14ac:dyDescent="0.4">
      <c r="A471" s="7" t="s">
        <v>719</v>
      </c>
      <c r="B471" s="7" t="s">
        <v>439</v>
      </c>
      <c r="C471" s="8">
        <v>40840</v>
      </c>
      <c r="D471" s="9">
        <v>187503240</v>
      </c>
      <c r="E471" s="57">
        <v>1000</v>
      </c>
      <c r="F471" s="10" t="s">
        <v>443</v>
      </c>
      <c r="G471" s="9">
        <v>0</v>
      </c>
      <c r="H471" s="9">
        <f t="shared" si="25"/>
        <v>0</v>
      </c>
      <c r="I471" s="11">
        <f t="shared" ca="1" si="26"/>
        <v>46120</v>
      </c>
      <c r="J471" s="11">
        <f t="shared" ca="1" si="19"/>
        <v>46118</v>
      </c>
      <c r="K471" s="13"/>
    </row>
    <row r="472" spans="1:11" ht="18" x14ac:dyDescent="0.4">
      <c r="A472" s="7" t="s">
        <v>719</v>
      </c>
      <c r="B472" s="7" t="s">
        <v>439</v>
      </c>
      <c r="C472" s="8">
        <v>40840</v>
      </c>
      <c r="D472" s="9">
        <v>162859210</v>
      </c>
      <c r="E472" s="57">
        <v>1000</v>
      </c>
      <c r="F472" s="10" t="s">
        <v>444</v>
      </c>
      <c r="G472" s="9">
        <v>0</v>
      </c>
      <c r="H472" s="9">
        <f t="shared" si="25"/>
        <v>0</v>
      </c>
      <c r="I472" s="11">
        <f t="shared" ca="1" si="26"/>
        <v>46120</v>
      </c>
      <c r="J472" s="11">
        <f t="shared" ca="1" si="19"/>
        <v>46118</v>
      </c>
      <c r="K472" s="13"/>
    </row>
    <row r="473" spans="1:11" ht="18" x14ac:dyDescent="0.4">
      <c r="A473" s="7" t="s">
        <v>719</v>
      </c>
      <c r="B473" s="7" t="s">
        <v>439</v>
      </c>
      <c r="C473" s="8">
        <v>40840</v>
      </c>
      <c r="D473" s="9">
        <v>114843240</v>
      </c>
      <c r="E473" s="57">
        <v>1000</v>
      </c>
      <c r="F473" s="10" t="s">
        <v>445</v>
      </c>
      <c r="G473" s="9">
        <v>0</v>
      </c>
      <c r="H473" s="9">
        <f t="shared" si="25"/>
        <v>0</v>
      </c>
      <c r="I473" s="11">
        <f t="shared" ca="1" si="26"/>
        <v>46120</v>
      </c>
      <c r="J473" s="11">
        <f t="shared" ca="1" si="19"/>
        <v>46118</v>
      </c>
      <c r="K473" s="13"/>
    </row>
    <row r="474" spans="1:11" ht="18" x14ac:dyDescent="0.4">
      <c r="A474" s="7" t="s">
        <v>719</v>
      </c>
      <c r="B474" s="7" t="s">
        <v>446</v>
      </c>
      <c r="C474" s="8">
        <v>50111</v>
      </c>
      <c r="D474" s="9">
        <v>552679380</v>
      </c>
      <c r="E474" s="57">
        <v>5600</v>
      </c>
      <c r="F474" s="10" t="s">
        <v>447</v>
      </c>
      <c r="G474" s="9">
        <v>0</v>
      </c>
      <c r="H474" s="9">
        <f t="shared" si="25"/>
        <v>0</v>
      </c>
      <c r="I474" s="11">
        <f t="shared" ca="1" si="26"/>
        <v>46120</v>
      </c>
      <c r="J474" s="11">
        <f t="shared" ca="1" si="19"/>
        <v>46118</v>
      </c>
      <c r="K474" s="13"/>
    </row>
    <row r="475" spans="1:11" ht="18" x14ac:dyDescent="0.4">
      <c r="A475" s="7" t="s">
        <v>719</v>
      </c>
      <c r="B475" s="7" t="s">
        <v>448</v>
      </c>
      <c r="C475" s="8">
        <v>33518</v>
      </c>
      <c r="D475" s="9">
        <v>552681850</v>
      </c>
      <c r="E475" s="57">
        <v>64</v>
      </c>
      <c r="F475" s="10" t="s">
        <v>449</v>
      </c>
      <c r="G475" s="9">
        <v>0</v>
      </c>
      <c r="H475" s="9">
        <f t="shared" si="25"/>
        <v>0</v>
      </c>
      <c r="I475" s="11">
        <f t="shared" ca="1" si="26"/>
        <v>46120</v>
      </c>
      <c r="J475" s="11">
        <f t="shared" ca="1" si="19"/>
        <v>46118</v>
      </c>
      <c r="K475" s="13"/>
    </row>
    <row r="476" spans="1:11" ht="18" x14ac:dyDescent="0.4">
      <c r="A476" s="7" t="s">
        <v>719</v>
      </c>
      <c r="B476" s="7" t="s">
        <v>448</v>
      </c>
      <c r="C476" s="8">
        <v>33518</v>
      </c>
      <c r="D476" s="9">
        <v>552667970</v>
      </c>
      <c r="E476" s="57">
        <v>96</v>
      </c>
      <c r="F476" s="10" t="s">
        <v>450</v>
      </c>
      <c r="G476" s="9">
        <v>0</v>
      </c>
      <c r="H476" s="9">
        <f t="shared" si="25"/>
        <v>0</v>
      </c>
      <c r="I476" s="11">
        <f t="shared" ca="1" si="26"/>
        <v>46120</v>
      </c>
      <c r="J476" s="11">
        <f t="shared" ca="1" si="19"/>
        <v>46118</v>
      </c>
      <c r="K476" s="13"/>
    </row>
    <row r="477" spans="1:11" ht="18" x14ac:dyDescent="0.4">
      <c r="A477" s="7" t="s">
        <v>719</v>
      </c>
      <c r="B477" s="7" t="s">
        <v>448</v>
      </c>
      <c r="C477" s="8">
        <v>33518</v>
      </c>
      <c r="D477" s="9">
        <v>463411480</v>
      </c>
      <c r="E477" s="57">
        <v>96</v>
      </c>
      <c r="F477" s="10" t="s">
        <v>450</v>
      </c>
      <c r="G477" s="9">
        <v>0</v>
      </c>
      <c r="H477" s="9">
        <f t="shared" si="25"/>
        <v>0</v>
      </c>
      <c r="I477" s="11">
        <f t="shared" ca="1" si="26"/>
        <v>46120</v>
      </c>
      <c r="J477" s="11">
        <f t="shared" ca="1" si="19"/>
        <v>46118</v>
      </c>
      <c r="K477" s="13"/>
    </row>
    <row r="478" spans="1:11" ht="18" x14ac:dyDescent="0.4">
      <c r="A478" s="7" t="s">
        <v>719</v>
      </c>
      <c r="B478" s="7" t="s">
        <v>451</v>
      </c>
      <c r="C478" s="8">
        <v>30467</v>
      </c>
      <c r="D478" s="9">
        <v>552703690</v>
      </c>
      <c r="E478" s="57">
        <v>2000</v>
      </c>
      <c r="F478" s="10" t="s">
        <v>184</v>
      </c>
      <c r="G478" s="9">
        <v>0</v>
      </c>
      <c r="H478" s="9">
        <f t="shared" si="25"/>
        <v>0</v>
      </c>
      <c r="I478" s="11">
        <f t="shared" ca="1" si="26"/>
        <v>46120</v>
      </c>
      <c r="J478" s="11">
        <f t="shared" ca="1" si="19"/>
        <v>46118</v>
      </c>
      <c r="K478" s="13"/>
    </row>
    <row r="479" spans="1:11" ht="18" x14ac:dyDescent="0.4">
      <c r="A479" s="7" t="s">
        <v>719</v>
      </c>
      <c r="B479" s="7" t="s">
        <v>452</v>
      </c>
      <c r="C479" s="8">
        <v>56589</v>
      </c>
      <c r="D479" s="9">
        <v>552681677</v>
      </c>
      <c r="E479" s="57">
        <v>48</v>
      </c>
      <c r="F479" s="10" t="s">
        <v>453</v>
      </c>
      <c r="G479" s="9">
        <v>1920</v>
      </c>
      <c r="H479" s="9">
        <f t="shared" si="25"/>
        <v>40</v>
      </c>
      <c r="I479" s="11">
        <f t="shared" ca="1" si="26"/>
        <v>46120</v>
      </c>
      <c r="J479" s="11">
        <f t="shared" ca="1" si="19"/>
        <v>46118</v>
      </c>
      <c r="K479" s="13"/>
    </row>
    <row r="480" spans="1:11" ht="18" x14ac:dyDescent="0.4">
      <c r="A480" s="7" t="s">
        <v>719</v>
      </c>
      <c r="B480" s="7" t="s">
        <v>452</v>
      </c>
      <c r="C480" s="8">
        <v>56589</v>
      </c>
      <c r="D480" s="9">
        <v>552657037</v>
      </c>
      <c r="E480" s="57">
        <v>48</v>
      </c>
      <c r="F480" s="10" t="s">
        <v>454</v>
      </c>
      <c r="G480" s="9">
        <v>240</v>
      </c>
      <c r="H480" s="9">
        <f t="shared" si="25"/>
        <v>5</v>
      </c>
      <c r="I480" s="11">
        <f t="shared" ca="1" si="26"/>
        <v>46120</v>
      </c>
      <c r="J480" s="11">
        <f t="shared" ca="1" si="19"/>
        <v>46118</v>
      </c>
      <c r="K480" s="13"/>
    </row>
    <row r="481" spans="1:11" ht="18" x14ac:dyDescent="0.4">
      <c r="A481" s="7" t="s">
        <v>719</v>
      </c>
      <c r="B481" s="7" t="s">
        <v>452</v>
      </c>
      <c r="C481" s="8">
        <v>56589</v>
      </c>
      <c r="D481" s="9">
        <v>552681750</v>
      </c>
      <c r="E481" s="57">
        <v>120</v>
      </c>
      <c r="F481" s="10" t="s">
        <v>455</v>
      </c>
      <c r="G481" s="9">
        <v>960</v>
      </c>
      <c r="H481" s="9">
        <f t="shared" si="25"/>
        <v>8</v>
      </c>
      <c r="I481" s="11">
        <f t="shared" ca="1" si="26"/>
        <v>46120</v>
      </c>
      <c r="J481" s="11">
        <f t="shared" ca="1" si="19"/>
        <v>46118</v>
      </c>
      <c r="K481" s="13"/>
    </row>
    <row r="482" spans="1:11" ht="18" x14ac:dyDescent="0.4">
      <c r="A482" s="7" t="s">
        <v>719</v>
      </c>
      <c r="B482" s="7" t="s">
        <v>452</v>
      </c>
      <c r="C482" s="8">
        <v>56589</v>
      </c>
      <c r="D482" s="9">
        <v>552680020</v>
      </c>
      <c r="E482" s="57">
        <v>120</v>
      </c>
      <c r="F482" s="10" t="s">
        <v>456</v>
      </c>
      <c r="G482" s="9">
        <v>240</v>
      </c>
      <c r="H482" s="9">
        <f t="shared" si="25"/>
        <v>2</v>
      </c>
      <c r="I482" s="11">
        <f t="shared" ca="1" si="26"/>
        <v>46120</v>
      </c>
      <c r="J482" s="11">
        <f t="shared" ca="1" si="19"/>
        <v>46118</v>
      </c>
      <c r="K482" s="13"/>
    </row>
    <row r="483" spans="1:11" ht="18" x14ac:dyDescent="0.4">
      <c r="A483" s="7" t="s">
        <v>719</v>
      </c>
      <c r="B483" s="7" t="s">
        <v>457</v>
      </c>
      <c r="C483" s="8">
        <v>35657</v>
      </c>
      <c r="D483" s="9">
        <v>552677430</v>
      </c>
      <c r="E483" s="57">
        <v>6000</v>
      </c>
      <c r="F483" s="10" t="s">
        <v>243</v>
      </c>
      <c r="G483" s="9">
        <v>0</v>
      </c>
      <c r="H483" s="9">
        <f t="shared" si="25"/>
        <v>0</v>
      </c>
      <c r="I483" s="11">
        <f t="shared" ca="1" si="26"/>
        <v>46120</v>
      </c>
      <c r="J483" s="11">
        <f t="shared" ca="1" si="19"/>
        <v>46118</v>
      </c>
      <c r="K483" s="13"/>
    </row>
    <row r="484" spans="1:11" ht="18" x14ac:dyDescent="0.4">
      <c r="A484" s="7" t="s">
        <v>719</v>
      </c>
      <c r="B484" s="7" t="s">
        <v>458</v>
      </c>
      <c r="C484" s="8">
        <v>68265</v>
      </c>
      <c r="D484" s="9">
        <v>463375350</v>
      </c>
      <c r="E484" s="57">
        <v>7200</v>
      </c>
      <c r="F484" s="10" t="s">
        <v>459</v>
      </c>
      <c r="G484" s="9">
        <v>0</v>
      </c>
      <c r="H484" s="9">
        <f t="shared" si="25"/>
        <v>0</v>
      </c>
      <c r="I484" s="11">
        <f t="shared" ca="1" si="26"/>
        <v>46120</v>
      </c>
      <c r="J484" s="11">
        <f t="shared" ca="1" si="19"/>
        <v>46118</v>
      </c>
      <c r="K484" s="13"/>
    </row>
    <row r="485" spans="1:11" ht="18" x14ac:dyDescent="0.4">
      <c r="A485" s="7" t="s">
        <v>719</v>
      </c>
      <c r="B485" s="7" t="s">
        <v>458</v>
      </c>
      <c r="C485" s="8">
        <v>68265</v>
      </c>
      <c r="D485" s="9">
        <v>552679420</v>
      </c>
      <c r="E485" s="57">
        <v>3360</v>
      </c>
      <c r="F485" s="10" t="s">
        <v>460</v>
      </c>
      <c r="G485" s="9">
        <v>0</v>
      </c>
      <c r="H485" s="9">
        <f t="shared" si="25"/>
        <v>0</v>
      </c>
      <c r="I485" s="11">
        <f t="shared" ca="1" si="26"/>
        <v>46120</v>
      </c>
      <c r="J485" s="11">
        <f t="shared" ca="1" si="19"/>
        <v>46118</v>
      </c>
      <c r="K485" s="13"/>
    </row>
    <row r="486" spans="1:11" ht="18" x14ac:dyDescent="0.4">
      <c r="A486" s="7" t="s">
        <v>719</v>
      </c>
      <c r="B486" s="7" t="s">
        <v>458</v>
      </c>
      <c r="C486" s="8">
        <v>68265</v>
      </c>
      <c r="D486" s="9">
        <v>463541260</v>
      </c>
      <c r="E486" s="57">
        <v>120</v>
      </c>
      <c r="F486" s="10" t="s">
        <v>461</v>
      </c>
      <c r="G486" s="9">
        <v>0</v>
      </c>
      <c r="H486" s="9">
        <f t="shared" si="25"/>
        <v>0</v>
      </c>
      <c r="I486" s="11">
        <f t="shared" ca="1" si="26"/>
        <v>46120</v>
      </c>
      <c r="J486" s="11">
        <f t="shared" ca="1" si="19"/>
        <v>46118</v>
      </c>
      <c r="K486" s="13"/>
    </row>
    <row r="487" spans="1:11" ht="18" x14ac:dyDescent="0.4">
      <c r="A487" s="7" t="s">
        <v>719</v>
      </c>
      <c r="B487" s="7" t="s">
        <v>458</v>
      </c>
      <c r="C487" s="8">
        <v>68265</v>
      </c>
      <c r="D487" s="9">
        <v>463541240</v>
      </c>
      <c r="E487" s="57">
        <v>120</v>
      </c>
      <c r="F487" s="10" t="s">
        <v>462</v>
      </c>
      <c r="G487" s="9">
        <v>0</v>
      </c>
      <c r="H487" s="9">
        <f t="shared" si="25"/>
        <v>0</v>
      </c>
      <c r="I487" s="11">
        <f t="shared" ca="1" si="26"/>
        <v>46120</v>
      </c>
      <c r="J487" s="11">
        <f t="shared" ca="1" si="19"/>
        <v>46118</v>
      </c>
      <c r="K487" s="13"/>
    </row>
    <row r="488" spans="1:11" ht="21" customHeight="1" x14ac:dyDescent="0.4">
      <c r="A488" s="7" t="s">
        <v>719</v>
      </c>
      <c r="B488" s="7" t="s">
        <v>463</v>
      </c>
      <c r="C488" s="8">
        <v>1020</v>
      </c>
      <c r="D488" s="9">
        <v>552732717</v>
      </c>
      <c r="E488" s="57">
        <v>30</v>
      </c>
      <c r="F488" s="10" t="s">
        <v>464</v>
      </c>
      <c r="G488" s="9">
        <v>600</v>
      </c>
      <c r="H488" s="9">
        <f t="shared" si="25"/>
        <v>20</v>
      </c>
      <c r="I488" s="11">
        <f t="shared" ca="1" si="26"/>
        <v>46120</v>
      </c>
      <c r="J488" s="11">
        <f t="shared" ca="1" si="19"/>
        <v>46118</v>
      </c>
      <c r="K488" s="13"/>
    </row>
    <row r="489" spans="1:11" ht="18" x14ac:dyDescent="0.4">
      <c r="A489" s="7" t="s">
        <v>719</v>
      </c>
      <c r="B489" s="7" t="s">
        <v>463</v>
      </c>
      <c r="C489" s="8">
        <v>1020</v>
      </c>
      <c r="D489" s="9">
        <v>552732747</v>
      </c>
      <c r="E489" s="57">
        <v>30</v>
      </c>
      <c r="F489" s="10" t="s">
        <v>465</v>
      </c>
      <c r="G489" s="9">
        <v>1800</v>
      </c>
      <c r="H489" s="9">
        <f t="shared" si="25"/>
        <v>60</v>
      </c>
      <c r="I489" s="11">
        <f t="shared" ca="1" si="26"/>
        <v>46120</v>
      </c>
      <c r="J489" s="11">
        <f t="shared" ca="1" si="19"/>
        <v>46118</v>
      </c>
      <c r="K489" s="13"/>
    </row>
    <row r="490" spans="1:11" ht="18" x14ac:dyDescent="0.4">
      <c r="A490" s="7" t="s">
        <v>719</v>
      </c>
      <c r="B490" s="7" t="s">
        <v>463</v>
      </c>
      <c r="C490" s="8">
        <v>1020</v>
      </c>
      <c r="D490" s="9">
        <v>552821208</v>
      </c>
      <c r="E490" s="57">
        <v>24</v>
      </c>
      <c r="F490" s="10" t="s">
        <v>466</v>
      </c>
      <c r="G490" s="9">
        <v>0</v>
      </c>
      <c r="H490" s="9">
        <f t="shared" si="25"/>
        <v>0</v>
      </c>
      <c r="I490" s="11">
        <f t="shared" ca="1" si="26"/>
        <v>46120</v>
      </c>
      <c r="J490" s="11">
        <f t="shared" ca="1" si="19"/>
        <v>46118</v>
      </c>
      <c r="K490" s="13"/>
    </row>
    <row r="491" spans="1:11" ht="18" x14ac:dyDescent="0.4">
      <c r="A491" s="7" t="s">
        <v>719</v>
      </c>
      <c r="B491" s="7" t="s">
        <v>463</v>
      </c>
      <c r="C491" s="8">
        <v>1020</v>
      </c>
      <c r="D491" s="9">
        <v>463404768</v>
      </c>
      <c r="E491" s="57">
        <v>24</v>
      </c>
      <c r="F491" s="10" t="s">
        <v>466</v>
      </c>
      <c r="G491" s="9">
        <v>1800</v>
      </c>
      <c r="H491" s="9">
        <f t="shared" si="25"/>
        <v>75</v>
      </c>
      <c r="I491" s="11">
        <f t="shared" ca="1" si="26"/>
        <v>46120</v>
      </c>
      <c r="J491" s="11">
        <f t="shared" ca="1" si="19"/>
        <v>46118</v>
      </c>
      <c r="K491" s="13"/>
    </row>
    <row r="492" spans="1:11" ht="23.25" customHeight="1" x14ac:dyDescent="0.4">
      <c r="A492" s="7" t="s">
        <v>719</v>
      </c>
      <c r="B492" s="7" t="s">
        <v>463</v>
      </c>
      <c r="C492" s="8">
        <v>1020</v>
      </c>
      <c r="D492" s="9">
        <v>552821178</v>
      </c>
      <c r="E492" s="57">
        <v>24</v>
      </c>
      <c r="F492" s="10" t="s">
        <v>467</v>
      </c>
      <c r="G492" s="9">
        <v>624</v>
      </c>
      <c r="H492" s="9">
        <f t="shared" si="25"/>
        <v>26</v>
      </c>
      <c r="I492" s="11">
        <f t="shared" ca="1" si="26"/>
        <v>46120</v>
      </c>
      <c r="J492" s="11">
        <f t="shared" ca="1" si="19"/>
        <v>46118</v>
      </c>
      <c r="K492" s="13"/>
    </row>
    <row r="493" spans="1:11" ht="25.5" customHeight="1" x14ac:dyDescent="0.4">
      <c r="A493" s="7" t="s">
        <v>719</v>
      </c>
      <c r="B493" s="7" t="s">
        <v>95</v>
      </c>
      <c r="C493" s="8">
        <v>45150</v>
      </c>
      <c r="D493" s="9">
        <v>552681821</v>
      </c>
      <c r="E493" s="57">
        <v>40</v>
      </c>
      <c r="F493" s="37" t="s">
        <v>468</v>
      </c>
      <c r="G493" s="9">
        <v>0</v>
      </c>
      <c r="H493" s="9">
        <f t="shared" si="25"/>
        <v>0</v>
      </c>
      <c r="I493" s="11">
        <f t="shared" ca="1" si="26"/>
        <v>46120</v>
      </c>
      <c r="J493" s="11">
        <f t="shared" ca="1" si="19"/>
        <v>46118</v>
      </c>
      <c r="K493" s="13"/>
    </row>
    <row r="494" spans="1:11" ht="18" x14ac:dyDescent="0.4">
      <c r="A494" s="7" t="s">
        <v>719</v>
      </c>
      <c r="B494" s="7" t="s">
        <v>95</v>
      </c>
      <c r="C494" s="8">
        <v>45150</v>
      </c>
      <c r="D494" s="9">
        <v>552677041</v>
      </c>
      <c r="E494" s="57">
        <v>40</v>
      </c>
      <c r="F494" s="10" t="s">
        <v>469</v>
      </c>
      <c r="G494" s="9">
        <v>0</v>
      </c>
      <c r="H494" s="9">
        <f t="shared" si="25"/>
        <v>0</v>
      </c>
      <c r="I494" s="11">
        <f t="shared" ca="1" si="26"/>
        <v>46120</v>
      </c>
      <c r="J494" s="11">
        <f t="shared" ca="1" si="19"/>
        <v>46118</v>
      </c>
      <c r="K494" s="13"/>
    </row>
    <row r="495" spans="1:11" ht="18" x14ac:dyDescent="0.4">
      <c r="A495" s="7" t="s">
        <v>719</v>
      </c>
      <c r="B495" s="7" t="s">
        <v>470</v>
      </c>
      <c r="C495" s="8">
        <v>21796</v>
      </c>
      <c r="D495" s="9">
        <v>552808040</v>
      </c>
      <c r="E495" s="57">
        <v>1920</v>
      </c>
      <c r="F495" s="10" t="s">
        <v>154</v>
      </c>
      <c r="G495" s="9">
        <v>0</v>
      </c>
      <c r="H495" s="9">
        <f t="shared" ref="H495:H558" si="27">G495/E495</f>
        <v>0</v>
      </c>
      <c r="I495" s="11">
        <f t="shared" ca="1" si="26"/>
        <v>46120</v>
      </c>
      <c r="J495" s="11">
        <f t="shared" ca="1" si="19"/>
        <v>46118</v>
      </c>
      <c r="K495" s="13"/>
    </row>
    <row r="496" spans="1:11" ht="18" x14ac:dyDescent="0.4">
      <c r="A496" s="7" t="s">
        <v>719</v>
      </c>
      <c r="B496" s="7" t="s">
        <v>726</v>
      </c>
      <c r="C496" s="8">
        <v>42932</v>
      </c>
      <c r="D496" s="9">
        <v>463404510</v>
      </c>
      <c r="E496" s="57">
        <v>60</v>
      </c>
      <c r="F496" s="10" t="s">
        <v>155</v>
      </c>
      <c r="G496" s="9">
        <v>0</v>
      </c>
      <c r="H496" s="9">
        <f t="shared" si="27"/>
        <v>0</v>
      </c>
      <c r="I496" s="11">
        <f t="shared" ca="1" si="26"/>
        <v>46120</v>
      </c>
      <c r="J496" s="11">
        <f t="shared" ca="1" si="19"/>
        <v>46118</v>
      </c>
      <c r="K496" s="13"/>
    </row>
    <row r="497" spans="1:11" ht="18" x14ac:dyDescent="0.4">
      <c r="A497" s="7" t="s">
        <v>719</v>
      </c>
      <c r="B497" s="7" t="s">
        <v>726</v>
      </c>
      <c r="C497" s="8">
        <v>42932</v>
      </c>
      <c r="D497" s="9">
        <v>463404780</v>
      </c>
      <c r="E497" s="57">
        <v>60</v>
      </c>
      <c r="F497" s="10" t="s">
        <v>155</v>
      </c>
      <c r="G497" s="9">
        <v>0</v>
      </c>
      <c r="H497" s="9">
        <f t="shared" si="27"/>
        <v>0</v>
      </c>
      <c r="I497" s="11">
        <f t="shared" ca="1" si="26"/>
        <v>46120</v>
      </c>
      <c r="J497" s="11">
        <f t="shared" ca="1" si="19"/>
        <v>46118</v>
      </c>
      <c r="K497" s="13"/>
    </row>
    <row r="498" spans="1:11" ht="18" x14ac:dyDescent="0.4">
      <c r="A498" s="7" t="s">
        <v>719</v>
      </c>
      <c r="B498" s="7" t="s">
        <v>472</v>
      </c>
      <c r="C498" s="8">
        <v>41469</v>
      </c>
      <c r="D498" s="9">
        <v>463462830</v>
      </c>
      <c r="E498" s="57">
        <v>30</v>
      </c>
      <c r="F498" s="10" t="s">
        <v>428</v>
      </c>
      <c r="G498" s="9">
        <v>0</v>
      </c>
      <c r="H498" s="9">
        <f t="shared" si="27"/>
        <v>0</v>
      </c>
      <c r="I498" s="11">
        <f t="shared" ca="1" si="26"/>
        <v>46120</v>
      </c>
      <c r="J498" s="11">
        <f t="shared" ca="1" si="19"/>
        <v>46118</v>
      </c>
      <c r="K498" s="12"/>
    </row>
    <row r="499" spans="1:11" ht="18" x14ac:dyDescent="0.4">
      <c r="A499" s="43" t="s">
        <v>719</v>
      </c>
      <c r="B499" s="43" t="s">
        <v>473</v>
      </c>
      <c r="C499" s="44">
        <v>31775</v>
      </c>
      <c r="D499" s="45">
        <v>463530880</v>
      </c>
      <c r="E499" s="65">
        <v>30</v>
      </c>
      <c r="F499" s="46" t="s">
        <v>474</v>
      </c>
      <c r="G499" s="45">
        <v>0</v>
      </c>
      <c r="H499" s="45">
        <f t="shared" si="27"/>
        <v>0</v>
      </c>
      <c r="I499" s="11">
        <f t="shared" ca="1" si="26"/>
        <v>46120</v>
      </c>
      <c r="J499" s="47">
        <f t="shared" ca="1" si="19"/>
        <v>46118</v>
      </c>
      <c r="K499" s="48"/>
    </row>
    <row r="500" spans="1:11" ht="18" x14ac:dyDescent="0.4">
      <c r="A500" s="7" t="s">
        <v>475</v>
      </c>
      <c r="B500" s="16" t="s">
        <v>451</v>
      </c>
      <c r="C500" s="8">
        <v>30460</v>
      </c>
      <c r="D500" s="9">
        <v>463557158</v>
      </c>
      <c r="E500" s="57">
        <v>672</v>
      </c>
      <c r="F500" s="10" t="s">
        <v>476</v>
      </c>
      <c r="G500" s="9">
        <v>0</v>
      </c>
      <c r="H500" s="9">
        <f t="shared" si="27"/>
        <v>0</v>
      </c>
      <c r="I500" s="11">
        <f ca="1">I499</f>
        <v>46120</v>
      </c>
      <c r="J500" s="11">
        <f t="shared" ca="1" si="19"/>
        <v>46118</v>
      </c>
      <c r="K500" s="8"/>
    </row>
    <row r="501" spans="1:11" ht="18" x14ac:dyDescent="0.4">
      <c r="A501" s="7" t="s">
        <v>475</v>
      </c>
      <c r="B501" s="16" t="s">
        <v>451</v>
      </c>
      <c r="C501" s="8">
        <v>30460</v>
      </c>
      <c r="D501" s="9">
        <v>463557148</v>
      </c>
      <c r="E501" s="57">
        <v>672</v>
      </c>
      <c r="F501" s="10" t="s">
        <v>477</v>
      </c>
      <c r="G501" s="9">
        <v>0</v>
      </c>
      <c r="H501" s="9">
        <f t="shared" si="27"/>
        <v>0</v>
      </c>
      <c r="I501" s="11">
        <f t="shared" ref="I501:I564" ca="1" si="28">I500</f>
        <v>46120</v>
      </c>
      <c r="J501" s="11">
        <f t="shared" ca="1" si="19"/>
        <v>46118</v>
      </c>
      <c r="K501" s="8"/>
    </row>
    <row r="502" spans="1:11" ht="18" x14ac:dyDescent="0.4">
      <c r="A502" s="7" t="s">
        <v>475</v>
      </c>
      <c r="B502" s="16" t="s">
        <v>451</v>
      </c>
      <c r="C502" s="8">
        <v>30460</v>
      </c>
      <c r="D502" s="9">
        <v>552664537</v>
      </c>
      <c r="E502" s="57">
        <v>792</v>
      </c>
      <c r="F502" s="10" t="s">
        <v>478</v>
      </c>
      <c r="G502" s="9">
        <v>0</v>
      </c>
      <c r="H502" s="9">
        <f t="shared" si="27"/>
        <v>0</v>
      </c>
      <c r="I502" s="11">
        <f t="shared" ca="1" si="28"/>
        <v>46120</v>
      </c>
      <c r="J502" s="11">
        <f t="shared" ca="1" si="19"/>
        <v>46118</v>
      </c>
      <c r="K502" s="8"/>
    </row>
    <row r="503" spans="1:11" ht="18" x14ac:dyDescent="0.4">
      <c r="A503" s="7" t="s">
        <v>475</v>
      </c>
      <c r="B503" s="16" t="s">
        <v>451</v>
      </c>
      <c r="C503" s="8">
        <v>30460</v>
      </c>
      <c r="D503" s="9">
        <v>552664527</v>
      </c>
      <c r="E503" s="57">
        <v>792</v>
      </c>
      <c r="F503" s="10" t="s">
        <v>479</v>
      </c>
      <c r="G503" s="9">
        <v>0</v>
      </c>
      <c r="H503" s="9">
        <f t="shared" si="27"/>
        <v>0</v>
      </c>
      <c r="I503" s="11">
        <f t="shared" ca="1" si="28"/>
        <v>46120</v>
      </c>
      <c r="J503" s="11">
        <f t="shared" ca="1" si="19"/>
        <v>46118</v>
      </c>
      <c r="K503" s="8"/>
    </row>
    <row r="504" spans="1:11" ht="18" x14ac:dyDescent="0.4">
      <c r="A504" s="7" t="s">
        <v>475</v>
      </c>
      <c r="B504" s="16" t="s">
        <v>451</v>
      </c>
      <c r="C504" s="8">
        <v>30460</v>
      </c>
      <c r="D504" s="9">
        <v>552664547</v>
      </c>
      <c r="E504" s="57">
        <v>672</v>
      </c>
      <c r="F504" s="10" t="s">
        <v>480</v>
      </c>
      <c r="G504" s="9">
        <v>0</v>
      </c>
      <c r="H504" s="9">
        <f t="shared" si="27"/>
        <v>0</v>
      </c>
      <c r="I504" s="11">
        <f t="shared" ca="1" si="28"/>
        <v>46120</v>
      </c>
      <c r="J504" s="11">
        <f t="shared" ca="1" si="19"/>
        <v>46118</v>
      </c>
      <c r="K504" s="8"/>
    </row>
    <row r="505" spans="1:11" ht="18" x14ac:dyDescent="0.4">
      <c r="A505" s="7" t="s">
        <v>475</v>
      </c>
      <c r="B505" s="16" t="s">
        <v>451</v>
      </c>
      <c r="C505" s="8">
        <v>30460</v>
      </c>
      <c r="D505" s="9">
        <v>552664557</v>
      </c>
      <c r="E505" s="57">
        <v>672</v>
      </c>
      <c r="F505" s="10" t="s">
        <v>481</v>
      </c>
      <c r="G505" s="9">
        <v>0</v>
      </c>
      <c r="H505" s="9">
        <f t="shared" si="27"/>
        <v>0</v>
      </c>
      <c r="I505" s="11">
        <f t="shared" ca="1" si="28"/>
        <v>46120</v>
      </c>
      <c r="J505" s="11">
        <f t="shared" ca="1" si="19"/>
        <v>46118</v>
      </c>
      <c r="K505" s="8"/>
    </row>
    <row r="506" spans="1:11" ht="18" x14ac:dyDescent="0.4">
      <c r="A506" s="7" t="s">
        <v>475</v>
      </c>
      <c r="B506" s="16" t="s">
        <v>451</v>
      </c>
      <c r="C506" s="8">
        <v>30460</v>
      </c>
      <c r="D506" s="9">
        <v>552664567</v>
      </c>
      <c r="E506" s="57">
        <v>756</v>
      </c>
      <c r="F506" s="10" t="s">
        <v>482</v>
      </c>
      <c r="G506" s="9">
        <v>0</v>
      </c>
      <c r="H506" s="9">
        <f t="shared" si="27"/>
        <v>0</v>
      </c>
      <c r="I506" s="11">
        <f t="shared" ca="1" si="28"/>
        <v>46120</v>
      </c>
      <c r="J506" s="11">
        <f t="shared" ca="1" si="19"/>
        <v>46118</v>
      </c>
      <c r="K506" s="8"/>
    </row>
    <row r="507" spans="1:11" ht="18" x14ac:dyDescent="0.4">
      <c r="A507" s="7" t="s">
        <v>475</v>
      </c>
      <c r="B507" s="16" t="s">
        <v>451</v>
      </c>
      <c r="C507" s="8">
        <v>30460</v>
      </c>
      <c r="D507" s="9">
        <v>552664577</v>
      </c>
      <c r="E507" s="57">
        <v>756</v>
      </c>
      <c r="F507" s="10" t="s">
        <v>483</v>
      </c>
      <c r="G507" s="9">
        <v>0</v>
      </c>
      <c r="H507" s="9">
        <f t="shared" si="27"/>
        <v>0</v>
      </c>
      <c r="I507" s="11">
        <f t="shared" ca="1" si="28"/>
        <v>46120</v>
      </c>
      <c r="J507" s="11">
        <f t="shared" ca="1" si="19"/>
        <v>46118</v>
      </c>
      <c r="K507" s="8"/>
    </row>
    <row r="508" spans="1:11" ht="18" x14ac:dyDescent="0.4">
      <c r="A508" s="7" t="s">
        <v>475</v>
      </c>
      <c r="B508" s="16" t="s">
        <v>451</v>
      </c>
      <c r="C508" s="8">
        <v>30460</v>
      </c>
      <c r="D508" s="9">
        <v>463555108</v>
      </c>
      <c r="E508" s="57">
        <v>588</v>
      </c>
      <c r="F508" s="10" t="s">
        <v>484</v>
      </c>
      <c r="G508" s="9">
        <v>0</v>
      </c>
      <c r="H508" s="9">
        <f t="shared" si="27"/>
        <v>0</v>
      </c>
      <c r="I508" s="11">
        <f t="shared" ca="1" si="28"/>
        <v>46120</v>
      </c>
      <c r="J508" s="11">
        <f t="shared" ca="1" si="19"/>
        <v>46118</v>
      </c>
      <c r="K508" s="8"/>
    </row>
    <row r="509" spans="1:11" ht="18" x14ac:dyDescent="0.4">
      <c r="A509" s="7" t="s">
        <v>475</v>
      </c>
      <c r="B509" s="16" t="s">
        <v>451</v>
      </c>
      <c r="C509" s="8">
        <v>30460</v>
      </c>
      <c r="D509" s="9">
        <v>552086937</v>
      </c>
      <c r="E509" s="57">
        <v>588</v>
      </c>
      <c r="F509" s="10" t="s">
        <v>485</v>
      </c>
      <c r="G509" s="9">
        <v>0</v>
      </c>
      <c r="H509" s="9">
        <f t="shared" si="27"/>
        <v>0</v>
      </c>
      <c r="I509" s="11">
        <f t="shared" ca="1" si="28"/>
        <v>46120</v>
      </c>
      <c r="J509" s="11">
        <f t="shared" ca="1" si="19"/>
        <v>46118</v>
      </c>
      <c r="K509" s="8"/>
    </row>
    <row r="510" spans="1:11" ht="18" x14ac:dyDescent="0.4">
      <c r="A510" s="7" t="s">
        <v>475</v>
      </c>
      <c r="B510" s="16" t="s">
        <v>451</v>
      </c>
      <c r="C510" s="8">
        <v>30460</v>
      </c>
      <c r="D510" s="9">
        <v>463555088</v>
      </c>
      <c r="E510" s="57">
        <v>588</v>
      </c>
      <c r="F510" s="10" t="s">
        <v>486</v>
      </c>
      <c r="G510" s="9">
        <v>0</v>
      </c>
      <c r="H510" s="9">
        <f t="shared" si="27"/>
        <v>0</v>
      </c>
      <c r="I510" s="11">
        <f t="shared" ca="1" si="28"/>
        <v>46120</v>
      </c>
      <c r="J510" s="11">
        <f t="shared" ca="1" si="19"/>
        <v>46118</v>
      </c>
      <c r="K510" s="8"/>
    </row>
    <row r="511" spans="1:11" ht="18" x14ac:dyDescent="0.4">
      <c r="A511" s="7" t="s">
        <v>475</v>
      </c>
      <c r="B511" s="16" t="s">
        <v>451</v>
      </c>
      <c r="C511" s="8">
        <v>30460</v>
      </c>
      <c r="D511" s="9">
        <v>552086957</v>
      </c>
      <c r="E511" s="57">
        <v>588</v>
      </c>
      <c r="F511" s="10" t="s">
        <v>487</v>
      </c>
      <c r="G511" s="9">
        <v>0</v>
      </c>
      <c r="H511" s="9">
        <f t="shared" si="27"/>
        <v>0</v>
      </c>
      <c r="I511" s="11">
        <f t="shared" ca="1" si="28"/>
        <v>46120</v>
      </c>
      <c r="J511" s="11">
        <f t="shared" ca="1" si="19"/>
        <v>46118</v>
      </c>
      <c r="K511" s="8"/>
    </row>
    <row r="512" spans="1:11" ht="18" x14ac:dyDescent="0.4">
      <c r="A512" s="7" t="s">
        <v>475</v>
      </c>
      <c r="B512" s="16" t="s">
        <v>451</v>
      </c>
      <c r="C512" s="8">
        <v>30460</v>
      </c>
      <c r="D512" s="9">
        <v>552724278</v>
      </c>
      <c r="E512" s="57">
        <v>588</v>
      </c>
      <c r="F512" s="10" t="s">
        <v>488</v>
      </c>
      <c r="G512" s="9">
        <v>0</v>
      </c>
      <c r="H512" s="9">
        <f t="shared" si="27"/>
        <v>0</v>
      </c>
      <c r="I512" s="11">
        <f t="shared" ca="1" si="28"/>
        <v>46120</v>
      </c>
      <c r="J512" s="11">
        <f t="shared" ref="J512:J579" ca="1" si="29">TODAY()</f>
        <v>46118</v>
      </c>
      <c r="K512" s="8"/>
    </row>
    <row r="513" spans="1:11" ht="18" x14ac:dyDescent="0.4">
      <c r="A513" s="7" t="s">
        <v>475</v>
      </c>
      <c r="B513" s="16" t="s">
        <v>451</v>
      </c>
      <c r="C513" s="8">
        <v>30460</v>
      </c>
      <c r="D513" s="9">
        <v>552086967</v>
      </c>
      <c r="E513" s="57">
        <v>294</v>
      </c>
      <c r="F513" s="10" t="s">
        <v>489</v>
      </c>
      <c r="G513" s="9">
        <v>0</v>
      </c>
      <c r="H513" s="9">
        <f t="shared" si="27"/>
        <v>0</v>
      </c>
      <c r="I513" s="11">
        <f t="shared" ca="1" si="28"/>
        <v>46120</v>
      </c>
      <c r="J513" s="11">
        <f t="shared" ca="1" si="29"/>
        <v>46118</v>
      </c>
      <c r="K513" s="8"/>
    </row>
    <row r="514" spans="1:11" ht="18" x14ac:dyDescent="0.4">
      <c r="A514" s="7" t="s">
        <v>475</v>
      </c>
      <c r="B514" s="16" t="s">
        <v>451</v>
      </c>
      <c r="C514" s="8">
        <v>30460</v>
      </c>
      <c r="D514" s="9">
        <v>552086977</v>
      </c>
      <c r="E514" s="57">
        <v>294</v>
      </c>
      <c r="F514" s="10" t="s">
        <v>490</v>
      </c>
      <c r="G514" s="9">
        <v>0</v>
      </c>
      <c r="H514" s="9">
        <f t="shared" si="27"/>
        <v>0</v>
      </c>
      <c r="I514" s="11">
        <f t="shared" ca="1" si="28"/>
        <v>46120</v>
      </c>
      <c r="J514" s="11">
        <f t="shared" ca="1" si="29"/>
        <v>46118</v>
      </c>
      <c r="K514" s="8"/>
    </row>
    <row r="515" spans="1:11" ht="18" x14ac:dyDescent="0.4">
      <c r="A515" s="7" t="s">
        <v>475</v>
      </c>
      <c r="B515" s="16" t="s">
        <v>451</v>
      </c>
      <c r="C515" s="8">
        <v>30460</v>
      </c>
      <c r="D515" s="9">
        <v>77579477</v>
      </c>
      <c r="E515" s="57">
        <v>294</v>
      </c>
      <c r="F515" s="10" t="s">
        <v>491</v>
      </c>
      <c r="G515" s="9">
        <v>0</v>
      </c>
      <c r="H515" s="9">
        <f t="shared" si="27"/>
        <v>0</v>
      </c>
      <c r="I515" s="11">
        <f t="shared" ca="1" si="28"/>
        <v>46120</v>
      </c>
      <c r="J515" s="11">
        <f t="shared" ca="1" si="29"/>
        <v>46118</v>
      </c>
      <c r="K515" s="8"/>
    </row>
    <row r="516" spans="1:11" ht="18" x14ac:dyDescent="0.4">
      <c r="A516" s="7" t="s">
        <v>475</v>
      </c>
      <c r="B516" s="16" t="s">
        <v>451</v>
      </c>
      <c r="C516" s="8">
        <v>30460</v>
      </c>
      <c r="D516" s="9">
        <v>552698778</v>
      </c>
      <c r="E516" s="57">
        <v>672</v>
      </c>
      <c r="F516" s="10" t="s">
        <v>492</v>
      </c>
      <c r="G516" s="9">
        <v>0</v>
      </c>
      <c r="H516" s="9">
        <f t="shared" si="27"/>
        <v>0</v>
      </c>
      <c r="I516" s="11">
        <f t="shared" ca="1" si="28"/>
        <v>46120</v>
      </c>
      <c r="J516" s="11">
        <f t="shared" ca="1" si="29"/>
        <v>46118</v>
      </c>
      <c r="K516" s="8"/>
    </row>
    <row r="517" spans="1:11" ht="18" x14ac:dyDescent="0.4">
      <c r="A517" s="7" t="s">
        <v>475</v>
      </c>
      <c r="B517" s="16" t="s">
        <v>451</v>
      </c>
      <c r="C517" s="8">
        <v>30460</v>
      </c>
      <c r="D517" s="9">
        <v>552698768</v>
      </c>
      <c r="E517" s="57">
        <v>672</v>
      </c>
      <c r="F517" s="10" t="s">
        <v>493</v>
      </c>
      <c r="G517" s="9">
        <v>0</v>
      </c>
      <c r="H517" s="9">
        <f t="shared" si="27"/>
        <v>0</v>
      </c>
      <c r="I517" s="11">
        <f t="shared" ca="1" si="28"/>
        <v>46120</v>
      </c>
      <c r="J517" s="11">
        <f t="shared" ca="1" si="29"/>
        <v>46118</v>
      </c>
      <c r="K517" s="8"/>
    </row>
    <row r="518" spans="1:11" ht="18" x14ac:dyDescent="0.4">
      <c r="A518" s="7" t="s">
        <v>475</v>
      </c>
      <c r="B518" s="16" t="s">
        <v>451</v>
      </c>
      <c r="C518" s="8">
        <v>30460</v>
      </c>
      <c r="D518" s="9">
        <v>552698758</v>
      </c>
      <c r="E518" s="57">
        <v>672</v>
      </c>
      <c r="F518" s="10" t="s">
        <v>494</v>
      </c>
      <c r="G518" s="9">
        <v>0</v>
      </c>
      <c r="H518" s="9">
        <f t="shared" si="27"/>
        <v>0</v>
      </c>
      <c r="I518" s="11">
        <f t="shared" ca="1" si="28"/>
        <v>46120</v>
      </c>
      <c r="J518" s="11">
        <f t="shared" ca="1" si="29"/>
        <v>46118</v>
      </c>
      <c r="K518" s="8"/>
    </row>
    <row r="519" spans="1:11" ht="18" x14ac:dyDescent="0.4">
      <c r="A519" s="7" t="s">
        <v>475</v>
      </c>
      <c r="B519" s="16" t="s">
        <v>451</v>
      </c>
      <c r="C519" s="8">
        <v>30460</v>
      </c>
      <c r="D519" s="9">
        <v>552698748</v>
      </c>
      <c r="E519" s="57">
        <v>672</v>
      </c>
      <c r="F519" s="10" t="s">
        <v>495</v>
      </c>
      <c r="G519" s="9">
        <v>0</v>
      </c>
      <c r="H519" s="9">
        <f t="shared" si="27"/>
        <v>0</v>
      </c>
      <c r="I519" s="11">
        <f t="shared" ca="1" si="28"/>
        <v>46120</v>
      </c>
      <c r="J519" s="11">
        <f t="shared" ca="1" si="29"/>
        <v>46118</v>
      </c>
      <c r="K519" s="8"/>
    </row>
    <row r="520" spans="1:11" ht="18" x14ac:dyDescent="0.4">
      <c r="A520" s="7" t="s">
        <v>475</v>
      </c>
      <c r="B520" s="16" t="s">
        <v>451</v>
      </c>
      <c r="C520" s="8">
        <v>30460</v>
      </c>
      <c r="D520" s="9">
        <v>552724288</v>
      </c>
      <c r="E520" s="57">
        <v>672</v>
      </c>
      <c r="F520" s="10" t="s">
        <v>496</v>
      </c>
      <c r="G520" s="9">
        <v>0</v>
      </c>
      <c r="H520" s="9">
        <f t="shared" si="27"/>
        <v>0</v>
      </c>
      <c r="I520" s="11">
        <f t="shared" ca="1" si="28"/>
        <v>46120</v>
      </c>
      <c r="J520" s="11">
        <f t="shared" ca="1" si="29"/>
        <v>46118</v>
      </c>
      <c r="K520" s="8"/>
    </row>
    <row r="521" spans="1:11" ht="18" x14ac:dyDescent="0.4">
      <c r="A521" s="7" t="s">
        <v>475</v>
      </c>
      <c r="B521" s="16" t="s">
        <v>451</v>
      </c>
      <c r="C521" s="8">
        <v>30460</v>
      </c>
      <c r="D521" s="9">
        <v>467670637</v>
      </c>
      <c r="E521" s="57">
        <v>792</v>
      </c>
      <c r="F521" s="10" t="s">
        <v>497</v>
      </c>
      <c r="G521" s="9">
        <v>0</v>
      </c>
      <c r="H521" s="9">
        <f t="shared" si="27"/>
        <v>0</v>
      </c>
      <c r="I521" s="11">
        <f t="shared" ca="1" si="28"/>
        <v>46120</v>
      </c>
      <c r="J521" s="11">
        <f t="shared" ca="1" si="29"/>
        <v>46118</v>
      </c>
      <c r="K521" s="8"/>
    </row>
    <row r="522" spans="1:11" ht="18" x14ac:dyDescent="0.4">
      <c r="A522" s="7" t="s">
        <v>475</v>
      </c>
      <c r="B522" s="16" t="s">
        <v>451</v>
      </c>
      <c r="C522" s="8">
        <v>30460</v>
      </c>
      <c r="D522" s="9">
        <v>552030228</v>
      </c>
      <c r="E522" s="57">
        <v>392</v>
      </c>
      <c r="F522" s="10" t="s">
        <v>498</v>
      </c>
      <c r="G522" s="9">
        <v>0</v>
      </c>
      <c r="H522" s="9">
        <f t="shared" si="27"/>
        <v>0</v>
      </c>
      <c r="I522" s="11">
        <f t="shared" ca="1" si="28"/>
        <v>46120</v>
      </c>
      <c r="J522" s="11">
        <f t="shared" ca="1" si="29"/>
        <v>46118</v>
      </c>
      <c r="K522" s="8"/>
    </row>
    <row r="523" spans="1:11" ht="18" x14ac:dyDescent="0.4">
      <c r="A523" s="7" t="s">
        <v>475</v>
      </c>
      <c r="B523" s="16" t="s">
        <v>451</v>
      </c>
      <c r="C523" s="8">
        <v>30460</v>
      </c>
      <c r="D523" s="9">
        <v>467784288</v>
      </c>
      <c r="E523" s="57">
        <v>392</v>
      </c>
      <c r="F523" s="10" t="s">
        <v>499</v>
      </c>
      <c r="G523" s="9">
        <v>0</v>
      </c>
      <c r="H523" s="9">
        <f t="shared" si="27"/>
        <v>0</v>
      </c>
      <c r="I523" s="11">
        <f t="shared" ca="1" si="28"/>
        <v>46120</v>
      </c>
      <c r="J523" s="11">
        <f t="shared" ca="1" si="29"/>
        <v>46118</v>
      </c>
      <c r="K523" s="8"/>
    </row>
    <row r="524" spans="1:11" ht="18" x14ac:dyDescent="0.4">
      <c r="A524" s="7" t="s">
        <v>475</v>
      </c>
      <c r="B524" s="16" t="s">
        <v>451</v>
      </c>
      <c r="C524" s="8">
        <v>30460</v>
      </c>
      <c r="D524" s="9">
        <v>467784297</v>
      </c>
      <c r="E524" s="57">
        <v>392</v>
      </c>
      <c r="F524" s="10" t="s">
        <v>500</v>
      </c>
      <c r="G524" s="9">
        <v>0</v>
      </c>
      <c r="H524" s="9">
        <f t="shared" si="27"/>
        <v>0</v>
      </c>
      <c r="I524" s="11">
        <f t="shared" ca="1" si="28"/>
        <v>46120</v>
      </c>
      <c r="J524" s="11">
        <f t="shared" ca="1" si="29"/>
        <v>46118</v>
      </c>
      <c r="K524" s="8"/>
    </row>
    <row r="525" spans="1:11" ht="18" x14ac:dyDescent="0.4">
      <c r="A525" s="7" t="s">
        <v>475</v>
      </c>
      <c r="B525" s="16" t="s">
        <v>451</v>
      </c>
      <c r="C525" s="8">
        <v>30460</v>
      </c>
      <c r="D525" s="9">
        <v>551824567</v>
      </c>
      <c r="E525" s="57">
        <v>392</v>
      </c>
      <c r="F525" s="10" t="s">
        <v>501</v>
      </c>
      <c r="G525" s="9">
        <v>0</v>
      </c>
      <c r="H525" s="9">
        <f t="shared" si="27"/>
        <v>0</v>
      </c>
      <c r="I525" s="11">
        <f t="shared" ca="1" si="28"/>
        <v>46120</v>
      </c>
      <c r="J525" s="11">
        <f t="shared" ca="1" si="29"/>
        <v>46118</v>
      </c>
      <c r="K525" s="8"/>
    </row>
    <row r="526" spans="1:11" ht="18" x14ac:dyDescent="0.4">
      <c r="A526" s="7" t="s">
        <v>475</v>
      </c>
      <c r="B526" s="16" t="s">
        <v>451</v>
      </c>
      <c r="C526" s="8">
        <v>30460</v>
      </c>
      <c r="D526" s="9">
        <v>552433468</v>
      </c>
      <c r="E526" s="57">
        <v>392</v>
      </c>
      <c r="F526" s="10" t="s">
        <v>502</v>
      </c>
      <c r="G526" s="9">
        <v>0</v>
      </c>
      <c r="H526" s="9">
        <f t="shared" si="27"/>
        <v>0</v>
      </c>
      <c r="I526" s="11">
        <f t="shared" ca="1" si="28"/>
        <v>46120</v>
      </c>
      <c r="J526" s="11">
        <f t="shared" ca="1" si="29"/>
        <v>46118</v>
      </c>
      <c r="K526" s="8"/>
    </row>
    <row r="527" spans="1:11" ht="18" x14ac:dyDescent="0.4">
      <c r="A527" s="7" t="s">
        <v>475</v>
      </c>
      <c r="B527" s="16" t="s">
        <v>451</v>
      </c>
      <c r="C527" s="8">
        <v>30460</v>
      </c>
      <c r="D527" s="9">
        <v>463503958</v>
      </c>
      <c r="E527" s="57">
        <v>392</v>
      </c>
      <c r="F527" s="10" t="s">
        <v>503</v>
      </c>
      <c r="G527" s="9">
        <v>0</v>
      </c>
      <c r="H527" s="9">
        <f t="shared" si="27"/>
        <v>0</v>
      </c>
      <c r="I527" s="11">
        <f t="shared" ca="1" si="28"/>
        <v>46120</v>
      </c>
      <c r="J527" s="11">
        <f t="shared" ca="1" si="29"/>
        <v>46118</v>
      </c>
      <c r="K527" s="8"/>
    </row>
    <row r="528" spans="1:11" ht="18" x14ac:dyDescent="0.4">
      <c r="A528" s="7" t="s">
        <v>475</v>
      </c>
      <c r="B528" s="16" t="s">
        <v>451</v>
      </c>
      <c r="C528" s="8">
        <v>30460</v>
      </c>
      <c r="D528" s="9">
        <v>552486498</v>
      </c>
      <c r="E528" s="57">
        <v>392</v>
      </c>
      <c r="F528" s="10" t="s">
        <v>504</v>
      </c>
      <c r="G528" s="9">
        <v>0</v>
      </c>
      <c r="H528" s="9">
        <f t="shared" si="27"/>
        <v>0</v>
      </c>
      <c r="I528" s="11">
        <f t="shared" ca="1" si="28"/>
        <v>46120</v>
      </c>
      <c r="J528" s="11">
        <f t="shared" ca="1" si="29"/>
        <v>46118</v>
      </c>
      <c r="K528" s="8"/>
    </row>
    <row r="529" spans="1:11" ht="18" x14ac:dyDescent="0.4">
      <c r="A529" s="7" t="s">
        <v>475</v>
      </c>
      <c r="B529" s="16" t="s">
        <v>451</v>
      </c>
      <c r="C529" s="8">
        <v>30460</v>
      </c>
      <c r="D529" s="9">
        <v>468076307</v>
      </c>
      <c r="E529" s="57">
        <v>546</v>
      </c>
      <c r="F529" s="10" t="s">
        <v>505</v>
      </c>
      <c r="G529" s="9">
        <v>0</v>
      </c>
      <c r="H529" s="9">
        <f t="shared" si="27"/>
        <v>0</v>
      </c>
      <c r="I529" s="11">
        <f t="shared" ca="1" si="28"/>
        <v>46120</v>
      </c>
      <c r="J529" s="11">
        <f t="shared" ca="1" si="29"/>
        <v>46118</v>
      </c>
      <c r="K529" s="8"/>
    </row>
    <row r="530" spans="1:11" ht="18" x14ac:dyDescent="0.4">
      <c r="A530" s="7" t="s">
        <v>475</v>
      </c>
      <c r="B530" s="16" t="s">
        <v>451</v>
      </c>
      <c r="C530" s="8">
        <v>30460</v>
      </c>
      <c r="D530" s="9">
        <v>468084487</v>
      </c>
      <c r="E530" s="57">
        <v>546</v>
      </c>
      <c r="F530" s="10" t="s">
        <v>506</v>
      </c>
      <c r="G530" s="9">
        <v>0</v>
      </c>
      <c r="H530" s="9">
        <f t="shared" si="27"/>
        <v>0</v>
      </c>
      <c r="I530" s="11">
        <f t="shared" ca="1" si="28"/>
        <v>46120</v>
      </c>
      <c r="J530" s="11">
        <f t="shared" ca="1" si="29"/>
        <v>46118</v>
      </c>
      <c r="K530" s="8"/>
    </row>
    <row r="531" spans="1:11" ht="18" x14ac:dyDescent="0.4">
      <c r="A531" s="7" t="s">
        <v>475</v>
      </c>
      <c r="B531" s="16" t="s">
        <v>451</v>
      </c>
      <c r="C531" s="8">
        <v>30460</v>
      </c>
      <c r="D531" s="9">
        <v>552727098</v>
      </c>
      <c r="E531" s="57">
        <v>546</v>
      </c>
      <c r="F531" s="10" t="s">
        <v>507</v>
      </c>
      <c r="G531" s="9">
        <v>0</v>
      </c>
      <c r="H531" s="9">
        <f t="shared" si="27"/>
        <v>0</v>
      </c>
      <c r="I531" s="11">
        <f t="shared" ca="1" si="28"/>
        <v>46120</v>
      </c>
      <c r="J531" s="11">
        <f t="shared" ca="1" si="29"/>
        <v>46118</v>
      </c>
      <c r="K531" s="8"/>
    </row>
    <row r="532" spans="1:11" ht="18" x14ac:dyDescent="0.4">
      <c r="A532" s="7" t="s">
        <v>475</v>
      </c>
      <c r="B532" s="16" t="s">
        <v>451</v>
      </c>
      <c r="C532" s="8">
        <v>30460</v>
      </c>
      <c r="D532" s="9">
        <v>552792228</v>
      </c>
      <c r="E532" s="57">
        <v>546</v>
      </c>
      <c r="F532" s="10" t="s">
        <v>508</v>
      </c>
      <c r="G532" s="9">
        <v>0</v>
      </c>
      <c r="H532" s="9">
        <f t="shared" si="27"/>
        <v>0</v>
      </c>
      <c r="I532" s="11">
        <f t="shared" ca="1" si="28"/>
        <v>46120</v>
      </c>
      <c r="J532" s="11">
        <f t="shared" ca="1" si="29"/>
        <v>46118</v>
      </c>
      <c r="K532" s="8"/>
    </row>
    <row r="533" spans="1:11" ht="18" x14ac:dyDescent="0.4">
      <c r="A533" s="7" t="s">
        <v>475</v>
      </c>
      <c r="B533" s="16" t="s">
        <v>451</v>
      </c>
      <c r="C533" s="8">
        <v>30460</v>
      </c>
      <c r="D533" s="9">
        <v>59507209</v>
      </c>
      <c r="E533" s="57">
        <v>450</v>
      </c>
      <c r="F533" s="10" t="s">
        <v>509</v>
      </c>
      <c r="G533" s="9">
        <v>0</v>
      </c>
      <c r="H533" s="9">
        <f t="shared" si="27"/>
        <v>0</v>
      </c>
      <c r="I533" s="11">
        <f t="shared" ca="1" si="28"/>
        <v>46120</v>
      </c>
      <c r="J533" s="11">
        <f t="shared" ca="1" si="29"/>
        <v>46118</v>
      </c>
      <c r="K533" s="8"/>
    </row>
    <row r="534" spans="1:11" ht="18" x14ac:dyDescent="0.4">
      <c r="A534" s="7" t="s">
        <v>475</v>
      </c>
      <c r="B534" s="16" t="s">
        <v>451</v>
      </c>
      <c r="C534" s="8">
        <v>30460</v>
      </c>
      <c r="D534" s="9">
        <v>77894039</v>
      </c>
      <c r="E534" s="57">
        <v>2880</v>
      </c>
      <c r="F534" s="10" t="s">
        <v>510</v>
      </c>
      <c r="G534" s="9">
        <v>0</v>
      </c>
      <c r="H534" s="9">
        <f t="shared" si="27"/>
        <v>0</v>
      </c>
      <c r="I534" s="11">
        <f t="shared" ca="1" si="28"/>
        <v>46120</v>
      </c>
      <c r="J534" s="11">
        <f t="shared" ca="1" si="29"/>
        <v>46118</v>
      </c>
      <c r="K534" s="8"/>
    </row>
    <row r="535" spans="1:11" ht="18" x14ac:dyDescent="0.4">
      <c r="A535" s="7" t="s">
        <v>475</v>
      </c>
      <c r="B535" s="16" t="s">
        <v>451</v>
      </c>
      <c r="C535" s="8">
        <v>30460</v>
      </c>
      <c r="D535" s="9">
        <v>551955737</v>
      </c>
      <c r="E535" s="57">
        <v>700</v>
      </c>
      <c r="F535" s="10" t="s">
        <v>511</v>
      </c>
      <c r="G535" s="9">
        <v>0</v>
      </c>
      <c r="H535" s="9">
        <f t="shared" si="27"/>
        <v>0</v>
      </c>
      <c r="I535" s="11">
        <f t="shared" ca="1" si="28"/>
        <v>46120</v>
      </c>
      <c r="J535" s="11">
        <f t="shared" ca="1" si="29"/>
        <v>46118</v>
      </c>
      <c r="K535" s="8"/>
    </row>
    <row r="536" spans="1:11" ht="18" x14ac:dyDescent="0.4">
      <c r="A536" s="7" t="s">
        <v>475</v>
      </c>
      <c r="B536" s="16" t="s">
        <v>451</v>
      </c>
      <c r="C536" s="8">
        <v>30460</v>
      </c>
      <c r="D536" s="9">
        <v>551955748</v>
      </c>
      <c r="E536" s="57">
        <v>700</v>
      </c>
      <c r="F536" s="10" t="s">
        <v>512</v>
      </c>
      <c r="G536" s="9">
        <v>0</v>
      </c>
      <c r="H536" s="9">
        <f t="shared" si="27"/>
        <v>0</v>
      </c>
      <c r="I536" s="11">
        <f t="shared" ca="1" si="28"/>
        <v>46120</v>
      </c>
      <c r="J536" s="11">
        <f t="shared" ca="1" si="29"/>
        <v>46118</v>
      </c>
      <c r="K536" s="8"/>
    </row>
    <row r="537" spans="1:11" ht="18" x14ac:dyDescent="0.4">
      <c r="A537" s="7" t="s">
        <v>475</v>
      </c>
      <c r="B537" s="16" t="s">
        <v>451</v>
      </c>
      <c r="C537" s="8">
        <v>30460</v>
      </c>
      <c r="D537" s="9">
        <v>552792238</v>
      </c>
      <c r="E537" s="57">
        <v>700</v>
      </c>
      <c r="F537" s="10" t="s">
        <v>513</v>
      </c>
      <c r="G537" s="9">
        <v>0</v>
      </c>
      <c r="H537" s="9">
        <f t="shared" si="27"/>
        <v>0</v>
      </c>
      <c r="I537" s="11">
        <f t="shared" ca="1" si="28"/>
        <v>46120</v>
      </c>
      <c r="J537" s="11">
        <f t="shared" ca="1" si="29"/>
        <v>46118</v>
      </c>
      <c r="K537" s="8"/>
    </row>
    <row r="538" spans="1:11" ht="18" x14ac:dyDescent="0.4">
      <c r="A538" s="60" t="s">
        <v>475</v>
      </c>
      <c r="B538" s="81" t="s">
        <v>451</v>
      </c>
      <c r="C538" s="60">
        <v>30460</v>
      </c>
      <c r="D538" s="61">
        <v>463458098</v>
      </c>
      <c r="E538" s="57">
        <v>1650</v>
      </c>
      <c r="F538" s="10" t="s">
        <v>514</v>
      </c>
      <c r="G538" s="9">
        <v>0</v>
      </c>
      <c r="H538" s="9">
        <f t="shared" si="27"/>
        <v>0</v>
      </c>
      <c r="I538" s="11">
        <f t="shared" ca="1" si="28"/>
        <v>46120</v>
      </c>
      <c r="J538" s="11">
        <f t="shared" ca="1" si="29"/>
        <v>46118</v>
      </c>
      <c r="K538" s="8"/>
    </row>
    <row r="539" spans="1:11" ht="18" x14ac:dyDescent="0.4">
      <c r="A539" s="7" t="s">
        <v>475</v>
      </c>
      <c r="B539" s="7" t="s">
        <v>95</v>
      </c>
      <c r="C539" s="8">
        <v>45150</v>
      </c>
      <c r="D539" s="9">
        <v>77894011</v>
      </c>
      <c r="E539" s="57">
        <v>300</v>
      </c>
      <c r="F539" s="10" t="s">
        <v>515</v>
      </c>
      <c r="G539" s="9">
        <v>0</v>
      </c>
      <c r="H539" s="9">
        <f t="shared" si="27"/>
        <v>0</v>
      </c>
      <c r="I539" s="11">
        <f ca="1">I537</f>
        <v>46120</v>
      </c>
      <c r="J539" s="11">
        <f t="shared" ca="1" si="29"/>
        <v>46118</v>
      </c>
      <c r="K539" s="8"/>
    </row>
    <row r="540" spans="1:11" ht="18" x14ac:dyDescent="0.4">
      <c r="A540" s="7" t="s">
        <v>475</v>
      </c>
      <c r="B540" s="7" t="s">
        <v>95</v>
      </c>
      <c r="C540" s="8">
        <v>45150</v>
      </c>
      <c r="D540" s="9">
        <v>467721611</v>
      </c>
      <c r="E540" s="57">
        <v>240</v>
      </c>
      <c r="F540" s="10" t="s">
        <v>516</v>
      </c>
      <c r="G540" s="9">
        <v>0</v>
      </c>
      <c r="H540" s="9">
        <f t="shared" si="27"/>
        <v>0</v>
      </c>
      <c r="I540" s="11">
        <f t="shared" ca="1" si="28"/>
        <v>46120</v>
      </c>
      <c r="J540" s="11">
        <f t="shared" ca="1" si="29"/>
        <v>46118</v>
      </c>
      <c r="K540" s="8"/>
    </row>
    <row r="541" spans="1:11" ht="18" x14ac:dyDescent="0.4">
      <c r="A541" s="60" t="s">
        <v>475</v>
      </c>
      <c r="B541" s="60" t="s">
        <v>517</v>
      </c>
      <c r="C541" s="60">
        <v>46051</v>
      </c>
      <c r="D541" s="61">
        <v>463559961</v>
      </c>
      <c r="E541" s="57">
        <v>270</v>
      </c>
      <c r="F541" s="10" t="s">
        <v>518</v>
      </c>
      <c r="G541" s="9">
        <v>0</v>
      </c>
      <c r="H541" s="9">
        <f t="shared" si="27"/>
        <v>0</v>
      </c>
      <c r="I541" s="11">
        <f t="shared" ca="1" si="28"/>
        <v>46120</v>
      </c>
      <c r="J541" s="11">
        <f t="shared" ca="1" si="29"/>
        <v>46118</v>
      </c>
      <c r="K541" s="8"/>
    </row>
    <row r="542" spans="1:11" ht="18" x14ac:dyDescent="0.4">
      <c r="A542" s="7" t="s">
        <v>475</v>
      </c>
      <c r="B542" s="7" t="s">
        <v>517</v>
      </c>
      <c r="C542" s="8">
        <v>46051</v>
      </c>
      <c r="D542" s="9">
        <v>75821121</v>
      </c>
      <c r="E542" s="57">
        <v>270</v>
      </c>
      <c r="F542" s="10" t="s">
        <v>519</v>
      </c>
      <c r="G542" s="9">
        <v>0</v>
      </c>
      <c r="H542" s="9">
        <f t="shared" si="27"/>
        <v>0</v>
      </c>
      <c r="I542" s="11">
        <f ca="1">I540</f>
        <v>46120</v>
      </c>
      <c r="J542" s="11">
        <f t="shared" ca="1" si="29"/>
        <v>46118</v>
      </c>
      <c r="K542" s="8"/>
    </row>
    <row r="543" spans="1:11" ht="18" x14ac:dyDescent="0.4">
      <c r="A543" s="7" t="s">
        <v>475</v>
      </c>
      <c r="B543" s="7" t="s">
        <v>517</v>
      </c>
      <c r="C543" s="8">
        <v>46051</v>
      </c>
      <c r="D543" s="9">
        <v>463433241</v>
      </c>
      <c r="E543" s="57">
        <v>270</v>
      </c>
      <c r="F543" s="10" t="s">
        <v>520</v>
      </c>
      <c r="G543" s="9">
        <v>0</v>
      </c>
      <c r="H543" s="9">
        <f t="shared" si="27"/>
        <v>0</v>
      </c>
      <c r="I543" s="11">
        <f t="shared" ca="1" si="28"/>
        <v>46120</v>
      </c>
      <c r="J543" s="11">
        <f t="shared" ca="1" si="29"/>
        <v>46118</v>
      </c>
      <c r="K543" s="8"/>
    </row>
    <row r="544" spans="1:11" ht="18" x14ac:dyDescent="0.4">
      <c r="A544" s="7" t="s">
        <v>475</v>
      </c>
      <c r="B544" s="7" t="s">
        <v>517</v>
      </c>
      <c r="C544" s="8">
        <v>46051</v>
      </c>
      <c r="D544" s="9">
        <v>464420321</v>
      </c>
      <c r="E544" s="57">
        <v>270</v>
      </c>
      <c r="F544" s="10" t="s">
        <v>521</v>
      </c>
      <c r="G544" s="9">
        <v>0</v>
      </c>
      <c r="H544" s="9">
        <f t="shared" si="27"/>
        <v>0</v>
      </c>
      <c r="I544" s="11">
        <f t="shared" ca="1" si="28"/>
        <v>46120</v>
      </c>
      <c r="J544" s="11">
        <f t="shared" ca="1" si="29"/>
        <v>46118</v>
      </c>
      <c r="K544" s="8"/>
    </row>
    <row r="545" spans="1:11" ht="18" x14ac:dyDescent="0.4">
      <c r="A545" s="7" t="s">
        <v>475</v>
      </c>
      <c r="B545" s="7" t="s">
        <v>517</v>
      </c>
      <c r="C545" s="8">
        <v>46051</v>
      </c>
      <c r="D545" s="9">
        <v>465555151</v>
      </c>
      <c r="E545" s="57">
        <v>270</v>
      </c>
      <c r="F545" s="10" t="s">
        <v>522</v>
      </c>
      <c r="G545" s="9">
        <v>0</v>
      </c>
      <c r="H545" s="9">
        <f t="shared" si="27"/>
        <v>0</v>
      </c>
      <c r="I545" s="11">
        <f t="shared" ca="1" si="28"/>
        <v>46120</v>
      </c>
      <c r="J545" s="11">
        <f t="shared" ca="1" si="29"/>
        <v>46118</v>
      </c>
      <c r="K545" s="8"/>
    </row>
    <row r="546" spans="1:11" ht="18" x14ac:dyDescent="0.4">
      <c r="A546" s="7" t="s">
        <v>475</v>
      </c>
      <c r="B546" s="7" t="s">
        <v>517</v>
      </c>
      <c r="C546" s="8">
        <v>46051</v>
      </c>
      <c r="D546" s="9">
        <v>552694438</v>
      </c>
      <c r="E546" s="57">
        <v>270</v>
      </c>
      <c r="F546" s="10" t="s">
        <v>523</v>
      </c>
      <c r="G546" s="9">
        <v>0</v>
      </c>
      <c r="H546" s="9">
        <f t="shared" si="27"/>
        <v>0</v>
      </c>
      <c r="I546" s="11">
        <f t="shared" ca="1" si="28"/>
        <v>46120</v>
      </c>
      <c r="J546" s="11">
        <f t="shared" ca="1" si="29"/>
        <v>46118</v>
      </c>
      <c r="K546" s="8"/>
    </row>
    <row r="547" spans="1:11" ht="18" x14ac:dyDescent="0.4">
      <c r="A547" s="7" t="s">
        <v>475</v>
      </c>
      <c r="B547" s="7" t="s">
        <v>517</v>
      </c>
      <c r="C547" s="8">
        <v>46051</v>
      </c>
      <c r="D547" s="9">
        <v>464197038</v>
      </c>
      <c r="E547" s="57">
        <v>270</v>
      </c>
      <c r="F547" s="10" t="s">
        <v>524</v>
      </c>
      <c r="G547" s="9">
        <v>0</v>
      </c>
      <c r="H547" s="9">
        <f t="shared" si="27"/>
        <v>0</v>
      </c>
      <c r="I547" s="11">
        <f t="shared" ca="1" si="28"/>
        <v>46120</v>
      </c>
      <c r="J547" s="11">
        <f t="shared" ca="1" si="29"/>
        <v>46118</v>
      </c>
      <c r="K547" s="8"/>
    </row>
    <row r="548" spans="1:11" ht="18" x14ac:dyDescent="0.4">
      <c r="A548" s="7" t="s">
        <v>475</v>
      </c>
      <c r="B548" s="7" t="s">
        <v>517</v>
      </c>
      <c r="C548" s="8">
        <v>46051</v>
      </c>
      <c r="D548" s="9">
        <v>77603518</v>
      </c>
      <c r="E548" s="57">
        <v>270</v>
      </c>
      <c r="F548" s="10" t="s">
        <v>525</v>
      </c>
      <c r="G548" s="9">
        <v>0</v>
      </c>
      <c r="H548" s="9">
        <f t="shared" si="27"/>
        <v>0</v>
      </c>
      <c r="I548" s="11">
        <f t="shared" ca="1" si="28"/>
        <v>46120</v>
      </c>
      <c r="J548" s="11">
        <f t="shared" ca="1" si="29"/>
        <v>46118</v>
      </c>
      <c r="K548" s="8"/>
    </row>
    <row r="549" spans="1:11" ht="18" x14ac:dyDescent="0.4">
      <c r="A549" s="60" t="s">
        <v>475</v>
      </c>
      <c r="B549" s="60" t="s">
        <v>517</v>
      </c>
      <c r="C549" s="60">
        <v>46051</v>
      </c>
      <c r="D549" s="61">
        <v>463559978</v>
      </c>
      <c r="E549" s="57">
        <v>270</v>
      </c>
      <c r="F549" s="37" t="s">
        <v>526</v>
      </c>
      <c r="G549" s="9">
        <v>0</v>
      </c>
      <c r="H549" s="9">
        <f t="shared" si="27"/>
        <v>0</v>
      </c>
      <c r="I549" s="11">
        <f t="shared" ca="1" si="28"/>
        <v>46120</v>
      </c>
      <c r="J549" s="11">
        <f t="shared" ca="1" si="29"/>
        <v>46118</v>
      </c>
      <c r="K549" s="8"/>
    </row>
    <row r="550" spans="1:11" ht="18" x14ac:dyDescent="0.4">
      <c r="A550" s="7" t="s">
        <v>475</v>
      </c>
      <c r="B550" s="7" t="s">
        <v>517</v>
      </c>
      <c r="C550" s="8">
        <v>46051</v>
      </c>
      <c r="D550" s="9">
        <v>463433238</v>
      </c>
      <c r="E550" s="57">
        <v>270</v>
      </c>
      <c r="F550" s="37" t="s">
        <v>527</v>
      </c>
      <c r="G550" s="9">
        <v>0</v>
      </c>
      <c r="H550" s="9">
        <f t="shared" si="27"/>
        <v>0</v>
      </c>
      <c r="I550" s="11">
        <f ca="1">I548</f>
        <v>46120</v>
      </c>
      <c r="J550" s="11">
        <f t="shared" ca="1" si="29"/>
        <v>46118</v>
      </c>
      <c r="K550" s="8"/>
    </row>
    <row r="551" spans="1:11" ht="18" x14ac:dyDescent="0.4">
      <c r="A551" s="60" t="s">
        <v>475</v>
      </c>
      <c r="B551" s="60" t="s">
        <v>517</v>
      </c>
      <c r="C551" s="60">
        <v>46051</v>
      </c>
      <c r="D551" s="61">
        <v>463585598</v>
      </c>
      <c r="E551" s="57">
        <v>270</v>
      </c>
      <c r="F551" s="37" t="s">
        <v>527</v>
      </c>
      <c r="G551" s="9">
        <v>0</v>
      </c>
      <c r="H551" s="9">
        <f t="shared" si="27"/>
        <v>0</v>
      </c>
      <c r="I551" s="11">
        <f ca="1">I549</f>
        <v>46120</v>
      </c>
      <c r="J551" s="11">
        <f t="shared" ca="1" si="29"/>
        <v>46118</v>
      </c>
      <c r="K551" s="8"/>
    </row>
    <row r="552" spans="1:11" ht="18" x14ac:dyDescent="0.4">
      <c r="A552" s="7" t="s">
        <v>475</v>
      </c>
      <c r="B552" s="7" t="s">
        <v>517</v>
      </c>
      <c r="C552" s="8">
        <v>46051</v>
      </c>
      <c r="D552" s="9">
        <v>465555148</v>
      </c>
      <c r="E552" s="57">
        <v>270</v>
      </c>
      <c r="F552" s="37" t="s">
        <v>528</v>
      </c>
      <c r="G552" s="9">
        <v>0</v>
      </c>
      <c r="H552" s="9">
        <f t="shared" si="27"/>
        <v>0</v>
      </c>
      <c r="I552" s="11">
        <f ca="1">I550</f>
        <v>46120</v>
      </c>
      <c r="J552" s="11">
        <f t="shared" ca="1" si="29"/>
        <v>46118</v>
      </c>
      <c r="K552" s="8"/>
    </row>
    <row r="553" spans="1:11" ht="18" x14ac:dyDescent="0.4">
      <c r="A553" s="7" t="s">
        <v>475</v>
      </c>
      <c r="B553" s="7" t="s">
        <v>517</v>
      </c>
      <c r="C553" s="8">
        <v>46051</v>
      </c>
      <c r="D553" s="9">
        <v>463496858</v>
      </c>
      <c r="E553" s="57">
        <v>270</v>
      </c>
      <c r="F553" s="37" t="s">
        <v>529</v>
      </c>
      <c r="G553" s="9">
        <v>0</v>
      </c>
      <c r="H553" s="9">
        <f t="shared" si="27"/>
        <v>0</v>
      </c>
      <c r="I553" s="11">
        <f t="shared" ca="1" si="28"/>
        <v>46120</v>
      </c>
      <c r="J553" s="11">
        <f t="shared" ca="1" si="29"/>
        <v>46118</v>
      </c>
      <c r="K553" s="8"/>
    </row>
    <row r="554" spans="1:11" ht="18" x14ac:dyDescent="0.4">
      <c r="A554" s="7" t="s">
        <v>475</v>
      </c>
      <c r="B554" s="7" t="s">
        <v>517</v>
      </c>
      <c r="C554" s="8">
        <v>46051</v>
      </c>
      <c r="D554" s="9">
        <v>463535748</v>
      </c>
      <c r="E554" s="57">
        <v>270</v>
      </c>
      <c r="F554" s="37" t="s">
        <v>528</v>
      </c>
      <c r="G554" s="9">
        <v>0</v>
      </c>
      <c r="H554" s="9">
        <f t="shared" si="27"/>
        <v>0</v>
      </c>
      <c r="I554" s="11">
        <f t="shared" ca="1" si="28"/>
        <v>46120</v>
      </c>
      <c r="J554" s="11">
        <f t="shared" ca="1" si="29"/>
        <v>46118</v>
      </c>
      <c r="K554" s="8"/>
    </row>
    <row r="555" spans="1:11" ht="18" x14ac:dyDescent="0.4">
      <c r="A555" s="7" t="s">
        <v>475</v>
      </c>
      <c r="B555" s="7" t="s">
        <v>517</v>
      </c>
      <c r="C555" s="8">
        <v>46051</v>
      </c>
      <c r="D555" s="9">
        <v>552694428</v>
      </c>
      <c r="E555" s="57">
        <v>270</v>
      </c>
      <c r="F555" s="10" t="s">
        <v>530</v>
      </c>
      <c r="G555" s="9">
        <v>0</v>
      </c>
      <c r="H555" s="9">
        <f t="shared" si="27"/>
        <v>0</v>
      </c>
      <c r="I555" s="11">
        <f t="shared" ca="1" si="28"/>
        <v>46120</v>
      </c>
      <c r="J555" s="11">
        <f t="shared" ca="1" si="29"/>
        <v>46118</v>
      </c>
      <c r="K555" s="8"/>
    </row>
    <row r="556" spans="1:11" ht="18" x14ac:dyDescent="0.4">
      <c r="A556" s="7" t="s">
        <v>475</v>
      </c>
      <c r="B556" s="7" t="s">
        <v>517</v>
      </c>
      <c r="C556" s="8">
        <v>46051</v>
      </c>
      <c r="D556" s="9">
        <v>552571388</v>
      </c>
      <c r="E556" s="57">
        <v>270</v>
      </c>
      <c r="F556" s="37" t="s">
        <v>531</v>
      </c>
      <c r="G556" s="9">
        <v>0</v>
      </c>
      <c r="H556" s="9">
        <f t="shared" si="27"/>
        <v>0</v>
      </c>
      <c r="I556" s="11">
        <f t="shared" ca="1" si="28"/>
        <v>46120</v>
      </c>
      <c r="J556" s="11">
        <f t="shared" ca="1" si="29"/>
        <v>46118</v>
      </c>
      <c r="K556" s="8"/>
    </row>
    <row r="557" spans="1:11" ht="18" x14ac:dyDescent="0.4">
      <c r="A557" s="7" t="s">
        <v>475</v>
      </c>
      <c r="B557" s="7" t="s">
        <v>517</v>
      </c>
      <c r="C557" s="8">
        <v>46051</v>
      </c>
      <c r="D557" s="9">
        <v>552774808</v>
      </c>
      <c r="E557" s="57">
        <v>270</v>
      </c>
      <c r="F557" s="37" t="s">
        <v>532</v>
      </c>
      <c r="G557" s="9">
        <v>0</v>
      </c>
      <c r="H557" s="9">
        <f t="shared" si="27"/>
        <v>0</v>
      </c>
      <c r="I557" s="11">
        <f t="shared" ca="1" si="28"/>
        <v>46120</v>
      </c>
      <c r="J557" s="11">
        <f t="shared" ca="1" si="29"/>
        <v>46118</v>
      </c>
      <c r="K557" s="8"/>
    </row>
    <row r="558" spans="1:11" ht="18" x14ac:dyDescent="0.4">
      <c r="A558" s="7" t="s">
        <v>475</v>
      </c>
      <c r="B558" s="7" t="s">
        <v>517</v>
      </c>
      <c r="C558" s="8">
        <v>46051</v>
      </c>
      <c r="D558" s="9">
        <v>463496828</v>
      </c>
      <c r="E558" s="57">
        <v>270</v>
      </c>
      <c r="F558" s="37" t="s">
        <v>533</v>
      </c>
      <c r="G558" s="9">
        <v>0</v>
      </c>
      <c r="H558" s="9">
        <f t="shared" si="27"/>
        <v>0</v>
      </c>
      <c r="I558" s="11">
        <f t="shared" ca="1" si="28"/>
        <v>46120</v>
      </c>
      <c r="J558" s="11">
        <f t="shared" ca="1" si="29"/>
        <v>46118</v>
      </c>
      <c r="K558" s="8"/>
    </row>
    <row r="559" spans="1:11" ht="18" x14ac:dyDescent="0.4">
      <c r="A559" s="7" t="s">
        <v>475</v>
      </c>
      <c r="B559" s="7" t="s">
        <v>517</v>
      </c>
      <c r="C559" s="8">
        <v>46051</v>
      </c>
      <c r="D559" s="9">
        <v>552825828</v>
      </c>
      <c r="E559" s="57">
        <v>270</v>
      </c>
      <c r="F559" s="37" t="s">
        <v>534</v>
      </c>
      <c r="G559" s="9">
        <v>0</v>
      </c>
      <c r="H559" s="9">
        <f t="shared" ref="H559:H622" si="30">G559/E559</f>
        <v>0</v>
      </c>
      <c r="I559" s="11">
        <f t="shared" ca="1" si="28"/>
        <v>46120</v>
      </c>
      <c r="J559" s="11">
        <f t="shared" ca="1" si="29"/>
        <v>46118</v>
      </c>
      <c r="K559" s="8"/>
    </row>
    <row r="560" spans="1:11" ht="18" x14ac:dyDescent="0.4">
      <c r="A560" s="7" t="s">
        <v>475</v>
      </c>
      <c r="B560" s="7" t="s">
        <v>517</v>
      </c>
      <c r="C560" s="8">
        <v>46051</v>
      </c>
      <c r="D560" s="9">
        <v>552835168</v>
      </c>
      <c r="E560" s="57">
        <v>270</v>
      </c>
      <c r="F560" s="37" t="s">
        <v>535</v>
      </c>
      <c r="G560" s="9">
        <v>0</v>
      </c>
      <c r="H560" s="9">
        <f t="shared" si="30"/>
        <v>0</v>
      </c>
      <c r="I560" s="11">
        <f t="shared" ca="1" si="28"/>
        <v>46120</v>
      </c>
      <c r="J560" s="11">
        <f t="shared" ca="1" si="29"/>
        <v>46118</v>
      </c>
      <c r="K560" s="8"/>
    </row>
    <row r="561" spans="1:11" ht="18" x14ac:dyDescent="0.4">
      <c r="A561" s="7" t="s">
        <v>475</v>
      </c>
      <c r="B561" s="7" t="s">
        <v>517</v>
      </c>
      <c r="C561" s="8">
        <v>46051</v>
      </c>
      <c r="D561" s="9">
        <v>551957818</v>
      </c>
      <c r="E561" s="57">
        <v>270</v>
      </c>
      <c r="F561" s="37" t="s">
        <v>536</v>
      </c>
      <c r="G561" s="9">
        <v>0</v>
      </c>
      <c r="H561" s="9">
        <f t="shared" si="30"/>
        <v>0</v>
      </c>
      <c r="I561" s="11">
        <f t="shared" ca="1" si="28"/>
        <v>46120</v>
      </c>
      <c r="J561" s="11">
        <f t="shared" ca="1" si="29"/>
        <v>46118</v>
      </c>
      <c r="K561" s="8"/>
    </row>
    <row r="562" spans="1:11" ht="18" x14ac:dyDescent="0.4">
      <c r="A562" s="7" t="s">
        <v>475</v>
      </c>
      <c r="B562" s="7" t="s">
        <v>517</v>
      </c>
      <c r="C562" s="8">
        <v>46051</v>
      </c>
      <c r="D562" s="9">
        <v>463496838</v>
      </c>
      <c r="E562" s="57">
        <v>270</v>
      </c>
      <c r="F562" s="37" t="s">
        <v>536</v>
      </c>
      <c r="G562" s="9">
        <v>0</v>
      </c>
      <c r="H562" s="9">
        <f t="shared" si="30"/>
        <v>0</v>
      </c>
      <c r="I562" s="11">
        <f t="shared" ca="1" si="28"/>
        <v>46120</v>
      </c>
      <c r="J562" s="11">
        <f t="shared" ca="1" si="29"/>
        <v>46118</v>
      </c>
      <c r="K562" s="8"/>
    </row>
    <row r="563" spans="1:11" ht="18" x14ac:dyDescent="0.4">
      <c r="A563" s="7" t="s">
        <v>475</v>
      </c>
      <c r="B563" s="7" t="s">
        <v>517</v>
      </c>
      <c r="C563" s="8">
        <v>46051</v>
      </c>
      <c r="D563" s="9">
        <v>552284868</v>
      </c>
      <c r="E563" s="57">
        <v>270</v>
      </c>
      <c r="F563" s="37" t="s">
        <v>537</v>
      </c>
      <c r="G563" s="9">
        <v>0</v>
      </c>
      <c r="H563" s="9">
        <f t="shared" si="30"/>
        <v>0</v>
      </c>
      <c r="I563" s="11">
        <f t="shared" ca="1" si="28"/>
        <v>46120</v>
      </c>
      <c r="J563" s="11">
        <f t="shared" ca="1" si="29"/>
        <v>46118</v>
      </c>
      <c r="K563" s="8"/>
    </row>
    <row r="564" spans="1:11" ht="18" x14ac:dyDescent="0.4">
      <c r="A564" s="7" t="s">
        <v>475</v>
      </c>
      <c r="B564" s="7" t="s">
        <v>517</v>
      </c>
      <c r="C564" s="8">
        <v>46051</v>
      </c>
      <c r="D564" s="9">
        <v>463496848</v>
      </c>
      <c r="E564" s="57">
        <v>270</v>
      </c>
      <c r="F564" s="37" t="s">
        <v>538</v>
      </c>
      <c r="G564" s="9">
        <v>0</v>
      </c>
      <c r="H564" s="9">
        <f t="shared" si="30"/>
        <v>0</v>
      </c>
      <c r="I564" s="11">
        <f t="shared" ca="1" si="28"/>
        <v>46120</v>
      </c>
      <c r="J564" s="11">
        <f t="shared" ca="1" si="29"/>
        <v>46118</v>
      </c>
      <c r="K564" s="8"/>
    </row>
    <row r="565" spans="1:11" ht="18" x14ac:dyDescent="0.4">
      <c r="A565" s="7" t="s">
        <v>475</v>
      </c>
      <c r="B565" s="7" t="s">
        <v>517</v>
      </c>
      <c r="C565" s="8">
        <v>46051</v>
      </c>
      <c r="D565" s="9">
        <v>552696328</v>
      </c>
      <c r="E565" s="57">
        <v>180</v>
      </c>
      <c r="F565" s="37" t="s">
        <v>539</v>
      </c>
      <c r="G565" s="9">
        <v>0</v>
      </c>
      <c r="H565" s="9">
        <f t="shared" si="30"/>
        <v>0</v>
      </c>
      <c r="I565" s="11">
        <f t="shared" ref="I565:I628" ca="1" si="31">I564</f>
        <v>46120</v>
      </c>
      <c r="J565" s="11">
        <f t="shared" ca="1" si="29"/>
        <v>46118</v>
      </c>
      <c r="K565" s="8"/>
    </row>
    <row r="566" spans="1:11" ht="18" x14ac:dyDescent="0.4">
      <c r="A566" s="7" t="s">
        <v>475</v>
      </c>
      <c r="B566" s="7" t="s">
        <v>517</v>
      </c>
      <c r="C566" s="8">
        <v>46051</v>
      </c>
      <c r="D566" s="9">
        <v>463496868</v>
      </c>
      <c r="E566" s="57">
        <v>180</v>
      </c>
      <c r="F566" s="38" t="s">
        <v>540</v>
      </c>
      <c r="G566" s="9">
        <v>0</v>
      </c>
      <c r="H566" s="9">
        <f t="shared" si="30"/>
        <v>0</v>
      </c>
      <c r="I566" s="11">
        <f t="shared" ca="1" si="31"/>
        <v>46120</v>
      </c>
      <c r="J566" s="11">
        <f t="shared" ca="1" si="29"/>
        <v>46118</v>
      </c>
      <c r="K566" s="8"/>
    </row>
    <row r="567" spans="1:11" ht="18" x14ac:dyDescent="0.4">
      <c r="A567" s="39" t="s">
        <v>475</v>
      </c>
      <c r="B567" s="39" t="s">
        <v>517</v>
      </c>
      <c r="C567" s="40">
        <v>46051</v>
      </c>
      <c r="D567" s="41">
        <v>552727078</v>
      </c>
      <c r="E567" s="66">
        <v>180</v>
      </c>
      <c r="F567" s="42" t="s">
        <v>541</v>
      </c>
      <c r="G567" s="9">
        <v>0</v>
      </c>
      <c r="H567" s="41">
        <f t="shared" si="30"/>
        <v>0</v>
      </c>
      <c r="I567" s="11">
        <f t="shared" ca="1" si="31"/>
        <v>46120</v>
      </c>
      <c r="J567" s="11">
        <f t="shared" ca="1" si="29"/>
        <v>46118</v>
      </c>
      <c r="K567" s="8"/>
    </row>
    <row r="568" spans="1:11" ht="33" customHeight="1" x14ac:dyDescent="0.4">
      <c r="A568" s="39" t="s">
        <v>475</v>
      </c>
      <c r="B568" s="39" t="s">
        <v>517</v>
      </c>
      <c r="C568" s="40">
        <v>46051</v>
      </c>
      <c r="D568" s="41">
        <v>552770948</v>
      </c>
      <c r="E568" s="66">
        <v>180</v>
      </c>
      <c r="F568" s="42" t="s">
        <v>542</v>
      </c>
      <c r="G568" s="9">
        <v>0</v>
      </c>
      <c r="H568" s="41">
        <f t="shared" si="30"/>
        <v>0</v>
      </c>
      <c r="I568" s="11">
        <f t="shared" ca="1" si="31"/>
        <v>46120</v>
      </c>
      <c r="J568" s="11">
        <f t="shared" ca="1" si="29"/>
        <v>46118</v>
      </c>
      <c r="K568" s="8"/>
    </row>
    <row r="569" spans="1:11" ht="18" x14ac:dyDescent="0.4">
      <c r="A569" s="7" t="s">
        <v>475</v>
      </c>
      <c r="B569" s="7" t="s">
        <v>517</v>
      </c>
      <c r="C569" s="8">
        <v>46051</v>
      </c>
      <c r="D569" s="9">
        <v>468084498</v>
      </c>
      <c r="E569" s="57">
        <v>180</v>
      </c>
      <c r="F569" s="37" t="s">
        <v>543</v>
      </c>
      <c r="G569" s="9">
        <v>0</v>
      </c>
      <c r="H569" s="9">
        <f t="shared" si="30"/>
        <v>0</v>
      </c>
      <c r="I569" s="11">
        <f t="shared" ca="1" si="31"/>
        <v>46120</v>
      </c>
      <c r="J569" s="11">
        <f t="shared" ca="1" si="29"/>
        <v>46118</v>
      </c>
      <c r="K569" s="8"/>
    </row>
    <row r="570" spans="1:11" ht="18" x14ac:dyDescent="0.4">
      <c r="A570" s="7" t="s">
        <v>475</v>
      </c>
      <c r="B570" s="7" t="s">
        <v>517</v>
      </c>
      <c r="C570" s="8">
        <v>46051</v>
      </c>
      <c r="D570" s="9">
        <v>463496808</v>
      </c>
      <c r="E570" s="57">
        <v>180</v>
      </c>
      <c r="F570" s="37" t="s">
        <v>543</v>
      </c>
      <c r="G570" s="9">
        <v>0</v>
      </c>
      <c r="H570" s="9">
        <f t="shared" si="30"/>
        <v>0</v>
      </c>
      <c r="I570" s="11">
        <f t="shared" ca="1" si="31"/>
        <v>46120</v>
      </c>
      <c r="J570" s="11">
        <f t="shared" ca="1" si="29"/>
        <v>46118</v>
      </c>
      <c r="K570" s="8"/>
    </row>
    <row r="571" spans="1:11" ht="18" x14ac:dyDescent="0.4">
      <c r="A571" s="7" t="s">
        <v>475</v>
      </c>
      <c r="B571" s="7" t="s">
        <v>517</v>
      </c>
      <c r="C571" s="8">
        <v>46051</v>
      </c>
      <c r="D571" s="9">
        <v>552792188</v>
      </c>
      <c r="E571" s="57">
        <v>180</v>
      </c>
      <c r="F571" s="37" t="s">
        <v>544</v>
      </c>
      <c r="G571" s="9">
        <v>0</v>
      </c>
      <c r="H571" s="9">
        <f t="shared" si="30"/>
        <v>0</v>
      </c>
      <c r="I571" s="11">
        <f t="shared" ca="1" si="31"/>
        <v>46120</v>
      </c>
      <c r="J571" s="11">
        <f t="shared" ca="1" si="29"/>
        <v>46118</v>
      </c>
      <c r="K571" s="8"/>
    </row>
    <row r="572" spans="1:11" ht="18" x14ac:dyDescent="0.4">
      <c r="A572" s="7" t="s">
        <v>475</v>
      </c>
      <c r="B572" s="7" t="s">
        <v>517</v>
      </c>
      <c r="C572" s="8">
        <v>46051</v>
      </c>
      <c r="D572" s="9">
        <v>463504548</v>
      </c>
      <c r="E572" s="57">
        <v>180</v>
      </c>
      <c r="F572" s="37" t="s">
        <v>545</v>
      </c>
      <c r="G572" s="9">
        <v>0</v>
      </c>
      <c r="H572" s="9">
        <f t="shared" si="30"/>
        <v>0</v>
      </c>
      <c r="I572" s="11">
        <f t="shared" ca="1" si="31"/>
        <v>46120</v>
      </c>
      <c r="J572" s="11">
        <f t="shared" ca="1" si="29"/>
        <v>46118</v>
      </c>
      <c r="K572" s="8"/>
    </row>
    <row r="573" spans="1:11" ht="18" x14ac:dyDescent="0.4">
      <c r="A573" s="7" t="s">
        <v>475</v>
      </c>
      <c r="B573" s="7" t="s">
        <v>517</v>
      </c>
      <c r="C573" s="8">
        <v>46051</v>
      </c>
      <c r="D573" s="9">
        <v>468085168</v>
      </c>
      <c r="E573" s="57">
        <v>180</v>
      </c>
      <c r="F573" s="37" t="s">
        <v>546</v>
      </c>
      <c r="G573" s="9">
        <v>0</v>
      </c>
      <c r="H573" s="9">
        <f t="shared" si="30"/>
        <v>0</v>
      </c>
      <c r="I573" s="11">
        <f t="shared" ca="1" si="31"/>
        <v>46120</v>
      </c>
      <c r="J573" s="11">
        <f t="shared" ca="1" si="29"/>
        <v>46118</v>
      </c>
      <c r="K573" s="8"/>
    </row>
    <row r="574" spans="1:11" ht="18" x14ac:dyDescent="0.4">
      <c r="A574" s="7" t="s">
        <v>475</v>
      </c>
      <c r="B574" s="7" t="s">
        <v>517</v>
      </c>
      <c r="C574" s="8">
        <v>46051</v>
      </c>
      <c r="D574" s="9">
        <v>468085188</v>
      </c>
      <c r="E574" s="57">
        <v>180</v>
      </c>
      <c r="F574" s="37" t="s">
        <v>547</v>
      </c>
      <c r="G574" s="9">
        <v>0</v>
      </c>
      <c r="H574" s="9">
        <f t="shared" si="30"/>
        <v>0</v>
      </c>
      <c r="I574" s="11">
        <f t="shared" ca="1" si="31"/>
        <v>46120</v>
      </c>
      <c r="J574" s="11">
        <f t="shared" ca="1" si="29"/>
        <v>46118</v>
      </c>
      <c r="K574" s="8"/>
    </row>
    <row r="575" spans="1:11" ht="18" x14ac:dyDescent="0.4">
      <c r="A575" s="7" t="s">
        <v>475</v>
      </c>
      <c r="B575" s="7" t="s">
        <v>517</v>
      </c>
      <c r="C575" s="8">
        <v>46051</v>
      </c>
      <c r="D575" s="9">
        <v>552049748</v>
      </c>
      <c r="E575" s="57">
        <v>180</v>
      </c>
      <c r="F575" s="37" t="s">
        <v>545</v>
      </c>
      <c r="G575" s="9">
        <v>0</v>
      </c>
      <c r="H575" s="9">
        <f t="shared" si="30"/>
        <v>0</v>
      </c>
      <c r="I575" s="11">
        <f t="shared" ca="1" si="31"/>
        <v>46120</v>
      </c>
      <c r="J575" s="11">
        <f t="shared" ca="1" si="29"/>
        <v>46118</v>
      </c>
      <c r="K575" s="8"/>
    </row>
    <row r="576" spans="1:11" ht="18" x14ac:dyDescent="0.4">
      <c r="A576" s="7" t="s">
        <v>475</v>
      </c>
      <c r="B576" s="7" t="s">
        <v>517</v>
      </c>
      <c r="C576" s="8">
        <v>46051</v>
      </c>
      <c r="D576" s="9">
        <v>552486488</v>
      </c>
      <c r="E576" s="57">
        <v>180</v>
      </c>
      <c r="F576" s="37" t="s">
        <v>548</v>
      </c>
      <c r="G576" s="9">
        <v>0</v>
      </c>
      <c r="H576" s="9">
        <f t="shared" si="30"/>
        <v>0</v>
      </c>
      <c r="I576" s="11">
        <f t="shared" ca="1" si="31"/>
        <v>46120</v>
      </c>
      <c r="J576" s="11">
        <f t="shared" ca="1" si="29"/>
        <v>46118</v>
      </c>
      <c r="K576" s="8"/>
    </row>
    <row r="577" spans="1:14" ht="18" x14ac:dyDescent="0.4">
      <c r="A577" s="7" t="s">
        <v>475</v>
      </c>
      <c r="B577" s="7" t="s">
        <v>517</v>
      </c>
      <c r="C577" s="8">
        <v>46051</v>
      </c>
      <c r="D577" s="9">
        <v>463508568</v>
      </c>
      <c r="E577" s="57">
        <v>180</v>
      </c>
      <c r="F577" s="37" t="s">
        <v>549</v>
      </c>
      <c r="G577" s="9">
        <v>0</v>
      </c>
      <c r="H577" s="9">
        <f t="shared" si="30"/>
        <v>0</v>
      </c>
      <c r="I577" s="11">
        <f t="shared" ca="1" si="31"/>
        <v>46120</v>
      </c>
      <c r="J577" s="11">
        <f t="shared" ca="1" si="29"/>
        <v>46118</v>
      </c>
      <c r="K577" s="8"/>
      <c r="N577" s="26"/>
    </row>
    <row r="578" spans="1:14" ht="18" x14ac:dyDescent="0.4">
      <c r="A578" s="7" t="s">
        <v>475</v>
      </c>
      <c r="B578" s="7" t="s">
        <v>517</v>
      </c>
      <c r="C578" s="8">
        <v>46051</v>
      </c>
      <c r="D578" s="9">
        <v>463503948</v>
      </c>
      <c r="E578" s="57">
        <v>180</v>
      </c>
      <c r="F578" s="37" t="s">
        <v>550</v>
      </c>
      <c r="G578" s="9">
        <v>0</v>
      </c>
      <c r="H578" s="9">
        <f t="shared" si="30"/>
        <v>0</v>
      </c>
      <c r="I578" s="11">
        <f t="shared" ca="1" si="31"/>
        <v>46120</v>
      </c>
      <c r="J578" s="11">
        <f t="shared" ca="1" si="29"/>
        <v>46118</v>
      </c>
      <c r="K578" s="8"/>
    </row>
    <row r="579" spans="1:14" ht="18" x14ac:dyDescent="0.4">
      <c r="A579" s="7" t="s">
        <v>475</v>
      </c>
      <c r="B579" s="7" t="s">
        <v>517</v>
      </c>
      <c r="C579" s="8">
        <v>46051</v>
      </c>
      <c r="D579" s="9">
        <v>463496798</v>
      </c>
      <c r="E579" s="57">
        <v>180</v>
      </c>
      <c r="F579" s="37" t="s">
        <v>551</v>
      </c>
      <c r="G579" s="9">
        <v>0</v>
      </c>
      <c r="H579" s="9">
        <f t="shared" si="30"/>
        <v>0</v>
      </c>
      <c r="I579" s="11">
        <f t="shared" ca="1" si="31"/>
        <v>46120</v>
      </c>
      <c r="J579" s="11">
        <f t="shared" ca="1" si="29"/>
        <v>46118</v>
      </c>
      <c r="K579" s="8"/>
    </row>
    <row r="580" spans="1:14" ht="18" x14ac:dyDescent="0.4">
      <c r="A580" s="7" t="s">
        <v>475</v>
      </c>
      <c r="B580" s="7" t="s">
        <v>517</v>
      </c>
      <c r="C580" s="8">
        <v>46051</v>
      </c>
      <c r="D580" s="9">
        <v>552696318</v>
      </c>
      <c r="E580" s="57">
        <v>180</v>
      </c>
      <c r="F580" s="37" t="s">
        <v>551</v>
      </c>
      <c r="G580" s="9">
        <v>0</v>
      </c>
      <c r="H580" s="9">
        <f t="shared" si="30"/>
        <v>0</v>
      </c>
      <c r="I580" s="11">
        <f t="shared" ca="1" si="31"/>
        <v>46120</v>
      </c>
      <c r="J580" s="11">
        <f t="shared" ref="J580:J643" ca="1" si="32">TODAY()</f>
        <v>46118</v>
      </c>
      <c r="K580" s="8"/>
    </row>
    <row r="581" spans="1:14" ht="18" x14ac:dyDescent="0.4">
      <c r="A581" s="92" t="s">
        <v>475</v>
      </c>
      <c r="B581" s="22" t="s">
        <v>552</v>
      </c>
      <c r="C581" s="23">
        <v>19414</v>
      </c>
      <c r="D581" s="24">
        <v>76779780</v>
      </c>
      <c r="E581" s="67">
        <v>300</v>
      </c>
      <c r="F581" s="25" t="s">
        <v>553</v>
      </c>
      <c r="G581" s="98">
        <v>0</v>
      </c>
      <c r="H581" s="24">
        <f t="shared" si="30"/>
        <v>0</v>
      </c>
      <c r="I581" s="11">
        <f t="shared" ca="1" si="31"/>
        <v>46120</v>
      </c>
      <c r="J581" s="11">
        <f t="shared" ca="1" si="32"/>
        <v>46118</v>
      </c>
      <c r="K581" s="13"/>
    </row>
    <row r="582" spans="1:14" ht="18" x14ac:dyDescent="0.4">
      <c r="A582" s="93" t="s">
        <v>475</v>
      </c>
      <c r="B582" s="16" t="s">
        <v>552</v>
      </c>
      <c r="C582" s="8">
        <v>19414</v>
      </c>
      <c r="D582" s="9">
        <v>135549210</v>
      </c>
      <c r="E582" s="57">
        <v>250</v>
      </c>
      <c r="F582" s="10" t="s">
        <v>554</v>
      </c>
      <c r="G582" s="98">
        <v>0</v>
      </c>
      <c r="H582" s="9">
        <f t="shared" si="30"/>
        <v>0</v>
      </c>
      <c r="I582" s="11">
        <f t="shared" ca="1" si="31"/>
        <v>46120</v>
      </c>
      <c r="J582" s="11">
        <f t="shared" ca="1" si="32"/>
        <v>46118</v>
      </c>
      <c r="K582" s="13"/>
    </row>
    <row r="583" spans="1:14" ht="18" x14ac:dyDescent="0.4">
      <c r="A583" s="93" t="s">
        <v>475</v>
      </c>
      <c r="B583" s="16" t="s">
        <v>552</v>
      </c>
      <c r="C583" s="8">
        <v>19414</v>
      </c>
      <c r="D583" s="9">
        <v>149359240</v>
      </c>
      <c r="E583" s="57">
        <v>1000</v>
      </c>
      <c r="F583" s="10" t="s">
        <v>555</v>
      </c>
      <c r="G583" s="98">
        <v>0</v>
      </c>
      <c r="H583" s="9">
        <f t="shared" si="30"/>
        <v>0</v>
      </c>
      <c r="I583" s="11">
        <f t="shared" ca="1" si="31"/>
        <v>46120</v>
      </c>
      <c r="J583" s="11">
        <f t="shared" ca="1" si="32"/>
        <v>46118</v>
      </c>
      <c r="K583" s="13"/>
    </row>
    <row r="584" spans="1:14" ht="18" x14ac:dyDescent="0.4">
      <c r="A584" s="93" t="s">
        <v>475</v>
      </c>
      <c r="B584" s="16" t="s">
        <v>552</v>
      </c>
      <c r="C584" s="8">
        <v>19414</v>
      </c>
      <c r="D584" s="9">
        <v>162876210</v>
      </c>
      <c r="E584" s="57">
        <v>500</v>
      </c>
      <c r="F584" s="10" t="s">
        <v>556</v>
      </c>
      <c r="G584" s="98">
        <v>0</v>
      </c>
      <c r="H584" s="9">
        <f t="shared" si="30"/>
        <v>0</v>
      </c>
      <c r="I584" s="11">
        <f t="shared" ca="1" si="31"/>
        <v>46120</v>
      </c>
      <c r="J584" s="11">
        <f t="shared" ca="1" si="32"/>
        <v>46118</v>
      </c>
      <c r="K584" s="13"/>
    </row>
    <row r="585" spans="1:14" ht="18" x14ac:dyDescent="0.4">
      <c r="A585" s="93" t="s">
        <v>475</v>
      </c>
      <c r="B585" s="16" t="s">
        <v>552</v>
      </c>
      <c r="C585" s="8">
        <v>19414</v>
      </c>
      <c r="D585" s="9">
        <v>162885240</v>
      </c>
      <c r="E585" s="57">
        <v>300</v>
      </c>
      <c r="F585" s="10" t="s">
        <v>557</v>
      </c>
      <c r="G585" s="98">
        <v>0</v>
      </c>
      <c r="H585" s="9">
        <f t="shared" si="30"/>
        <v>0</v>
      </c>
      <c r="I585" s="11">
        <f t="shared" ca="1" si="31"/>
        <v>46120</v>
      </c>
      <c r="J585" s="11">
        <f t="shared" ca="1" si="32"/>
        <v>46118</v>
      </c>
      <c r="K585" s="13"/>
    </row>
    <row r="586" spans="1:14" ht="18" x14ac:dyDescent="0.4">
      <c r="A586" s="93" t="s">
        <v>475</v>
      </c>
      <c r="B586" s="16" t="s">
        <v>552</v>
      </c>
      <c r="C586" s="8">
        <v>19414</v>
      </c>
      <c r="D586" s="9">
        <v>187519210</v>
      </c>
      <c r="E586" s="57">
        <v>400</v>
      </c>
      <c r="F586" s="10" t="s">
        <v>558</v>
      </c>
      <c r="G586" s="98">
        <v>0</v>
      </c>
      <c r="H586" s="9">
        <f t="shared" si="30"/>
        <v>0</v>
      </c>
      <c r="I586" s="11">
        <f t="shared" ca="1" si="31"/>
        <v>46120</v>
      </c>
      <c r="J586" s="11">
        <f t="shared" ca="1" si="32"/>
        <v>46118</v>
      </c>
      <c r="K586" s="13"/>
    </row>
    <row r="587" spans="1:14" ht="18" x14ac:dyDescent="0.4">
      <c r="A587" s="93" t="s">
        <v>475</v>
      </c>
      <c r="B587" s="16" t="s">
        <v>552</v>
      </c>
      <c r="C587" s="8">
        <v>19414</v>
      </c>
      <c r="D587" s="9">
        <v>187525210</v>
      </c>
      <c r="E587" s="57">
        <v>500</v>
      </c>
      <c r="F587" s="10" t="s">
        <v>559</v>
      </c>
      <c r="G587" s="98">
        <v>0</v>
      </c>
      <c r="H587" s="9">
        <f t="shared" si="30"/>
        <v>0</v>
      </c>
      <c r="I587" s="11">
        <f t="shared" ca="1" si="31"/>
        <v>46120</v>
      </c>
      <c r="J587" s="11">
        <f t="shared" ca="1" si="32"/>
        <v>46118</v>
      </c>
      <c r="K587" s="13"/>
    </row>
    <row r="588" spans="1:14" ht="18" x14ac:dyDescent="0.4">
      <c r="A588" s="93" t="s">
        <v>475</v>
      </c>
      <c r="B588" s="16" t="s">
        <v>552</v>
      </c>
      <c r="C588" s="8">
        <v>19414</v>
      </c>
      <c r="D588" s="9">
        <v>187527210</v>
      </c>
      <c r="E588" s="57">
        <v>500</v>
      </c>
      <c r="F588" s="10" t="s">
        <v>560</v>
      </c>
      <c r="G588" s="98">
        <v>0</v>
      </c>
      <c r="H588" s="9">
        <f t="shared" si="30"/>
        <v>0</v>
      </c>
      <c r="I588" s="11">
        <f t="shared" ca="1" si="31"/>
        <v>46120</v>
      </c>
      <c r="J588" s="11">
        <f t="shared" ca="1" si="32"/>
        <v>46118</v>
      </c>
      <c r="K588" s="13"/>
    </row>
    <row r="589" spans="1:14" ht="18" x14ac:dyDescent="0.4">
      <c r="A589" s="93" t="s">
        <v>475</v>
      </c>
      <c r="B589" s="16" t="s">
        <v>552</v>
      </c>
      <c r="C589" s="8">
        <v>19414</v>
      </c>
      <c r="D589" s="9">
        <v>187530210</v>
      </c>
      <c r="E589" s="57">
        <v>500</v>
      </c>
      <c r="F589" s="10" t="s">
        <v>561</v>
      </c>
      <c r="G589" s="98">
        <v>0</v>
      </c>
      <c r="H589" s="9">
        <f t="shared" si="30"/>
        <v>0</v>
      </c>
      <c r="I589" s="11">
        <f t="shared" ca="1" si="31"/>
        <v>46120</v>
      </c>
      <c r="J589" s="11">
        <f t="shared" ca="1" si="32"/>
        <v>46118</v>
      </c>
      <c r="K589" s="13"/>
    </row>
    <row r="590" spans="1:14" ht="18" x14ac:dyDescent="0.4">
      <c r="A590" s="93" t="s">
        <v>475</v>
      </c>
      <c r="B590" s="16" t="s">
        <v>552</v>
      </c>
      <c r="C590" s="8">
        <v>19414</v>
      </c>
      <c r="D590" s="9">
        <v>464555000</v>
      </c>
      <c r="E590" s="57">
        <v>250</v>
      </c>
      <c r="F590" s="10" t="s">
        <v>562</v>
      </c>
      <c r="G590" s="98">
        <v>0</v>
      </c>
      <c r="H590" s="9">
        <f t="shared" si="30"/>
        <v>0</v>
      </c>
      <c r="I590" s="11">
        <f t="shared" ca="1" si="31"/>
        <v>46120</v>
      </c>
      <c r="J590" s="11">
        <f t="shared" ca="1" si="32"/>
        <v>46118</v>
      </c>
      <c r="K590" s="13"/>
    </row>
    <row r="591" spans="1:14" ht="18" x14ac:dyDescent="0.4">
      <c r="A591" s="93" t="s">
        <v>475</v>
      </c>
      <c r="B591" s="16" t="s">
        <v>552</v>
      </c>
      <c r="C591" s="8">
        <v>19414</v>
      </c>
      <c r="D591" s="9">
        <v>43913530</v>
      </c>
      <c r="E591" s="57">
        <v>400</v>
      </c>
      <c r="F591" s="10" t="s">
        <v>563</v>
      </c>
      <c r="G591" s="98">
        <v>0</v>
      </c>
      <c r="H591" s="9">
        <f t="shared" si="30"/>
        <v>0</v>
      </c>
      <c r="I591" s="11">
        <f t="shared" ca="1" si="31"/>
        <v>46120</v>
      </c>
      <c r="J591" s="11">
        <f t="shared" ca="1" si="32"/>
        <v>46118</v>
      </c>
      <c r="K591" s="13"/>
    </row>
    <row r="592" spans="1:14" ht="18" x14ac:dyDescent="0.4">
      <c r="A592" s="93" t="s">
        <v>475</v>
      </c>
      <c r="B592" s="16" t="s">
        <v>552</v>
      </c>
      <c r="C592" s="8">
        <v>19414</v>
      </c>
      <c r="D592" s="9">
        <v>75754720</v>
      </c>
      <c r="E592" s="57">
        <v>1500</v>
      </c>
      <c r="F592" s="10" t="s">
        <v>564</v>
      </c>
      <c r="G592" s="98">
        <v>0</v>
      </c>
      <c r="H592" s="9">
        <f t="shared" si="30"/>
        <v>0</v>
      </c>
      <c r="I592" s="11">
        <f t="shared" ca="1" si="31"/>
        <v>46120</v>
      </c>
      <c r="J592" s="11">
        <f t="shared" ca="1" si="32"/>
        <v>46118</v>
      </c>
      <c r="K592" s="13"/>
    </row>
    <row r="593" spans="1:11" ht="18" x14ac:dyDescent="0.4">
      <c r="A593" s="93" t="s">
        <v>475</v>
      </c>
      <c r="B593" s="16" t="s">
        <v>552</v>
      </c>
      <c r="C593" s="8">
        <v>19414</v>
      </c>
      <c r="D593" s="9">
        <v>76648820</v>
      </c>
      <c r="E593" s="57">
        <v>300</v>
      </c>
      <c r="F593" s="10" t="s">
        <v>565</v>
      </c>
      <c r="G593" s="98">
        <v>0</v>
      </c>
      <c r="H593" s="9">
        <f t="shared" si="30"/>
        <v>0</v>
      </c>
      <c r="I593" s="11">
        <f t="shared" ca="1" si="31"/>
        <v>46120</v>
      </c>
      <c r="J593" s="11">
        <f t="shared" ca="1" si="32"/>
        <v>46118</v>
      </c>
      <c r="K593" s="13"/>
    </row>
    <row r="594" spans="1:11" ht="18" x14ac:dyDescent="0.4">
      <c r="A594" s="93" t="s">
        <v>475</v>
      </c>
      <c r="B594" s="16" t="s">
        <v>552</v>
      </c>
      <c r="C594" s="8">
        <v>19414</v>
      </c>
      <c r="D594" s="9">
        <v>162970240</v>
      </c>
      <c r="E594" s="57">
        <v>1200</v>
      </c>
      <c r="F594" s="10" t="s">
        <v>196</v>
      </c>
      <c r="G594" s="98">
        <v>0</v>
      </c>
      <c r="H594" s="9">
        <f t="shared" si="30"/>
        <v>0</v>
      </c>
      <c r="I594" s="11">
        <f t="shared" ca="1" si="31"/>
        <v>46120</v>
      </c>
      <c r="J594" s="11">
        <f t="shared" ca="1" si="32"/>
        <v>46118</v>
      </c>
      <c r="K594" s="13"/>
    </row>
    <row r="595" spans="1:11" ht="18" x14ac:dyDescent="0.4">
      <c r="A595" s="93" t="s">
        <v>475</v>
      </c>
      <c r="B595" s="7" t="s">
        <v>552</v>
      </c>
      <c r="C595" s="8">
        <v>19414</v>
      </c>
      <c r="D595" s="9">
        <v>552599580</v>
      </c>
      <c r="E595" s="57">
        <v>800</v>
      </c>
      <c r="F595" s="18" t="s">
        <v>566</v>
      </c>
      <c r="G595" s="98">
        <v>0</v>
      </c>
      <c r="H595" s="9">
        <f t="shared" si="30"/>
        <v>0</v>
      </c>
      <c r="I595" s="11">
        <f t="shared" ca="1" si="31"/>
        <v>46120</v>
      </c>
      <c r="J595" s="11">
        <f t="shared" ca="1" si="32"/>
        <v>46118</v>
      </c>
      <c r="K595" s="13"/>
    </row>
    <row r="596" spans="1:11" ht="18" x14ac:dyDescent="0.4">
      <c r="A596" s="93" t="s">
        <v>475</v>
      </c>
      <c r="B596" s="7" t="s">
        <v>552</v>
      </c>
      <c r="C596" s="8">
        <v>19414</v>
      </c>
      <c r="D596" s="9">
        <v>552599570</v>
      </c>
      <c r="E596" s="57">
        <v>1400</v>
      </c>
      <c r="F596" s="18" t="s">
        <v>566</v>
      </c>
      <c r="G596" s="98">
        <v>0</v>
      </c>
      <c r="H596" s="9">
        <f t="shared" si="30"/>
        <v>0</v>
      </c>
      <c r="I596" s="11">
        <f t="shared" ca="1" si="31"/>
        <v>46120</v>
      </c>
      <c r="J596" s="11">
        <f t="shared" ca="1" si="32"/>
        <v>46118</v>
      </c>
      <c r="K596" s="13"/>
    </row>
    <row r="597" spans="1:11" ht="18" x14ac:dyDescent="0.4">
      <c r="A597" s="93" t="s">
        <v>475</v>
      </c>
      <c r="B597" s="7" t="s">
        <v>567</v>
      </c>
      <c r="C597" s="8">
        <v>19271</v>
      </c>
      <c r="D597" s="9">
        <v>75810590</v>
      </c>
      <c r="E597" s="57">
        <v>900</v>
      </c>
      <c r="F597" s="18" t="s">
        <v>568</v>
      </c>
      <c r="G597" s="98">
        <v>0</v>
      </c>
      <c r="H597" s="9">
        <f t="shared" si="30"/>
        <v>0</v>
      </c>
      <c r="I597" s="11">
        <f t="shared" ca="1" si="31"/>
        <v>46120</v>
      </c>
      <c r="J597" s="11">
        <f t="shared" ca="1" si="32"/>
        <v>46118</v>
      </c>
      <c r="K597" s="13"/>
    </row>
    <row r="598" spans="1:11" ht="18" x14ac:dyDescent="0.4">
      <c r="A598" s="93" t="s">
        <v>475</v>
      </c>
      <c r="B598" s="7" t="s">
        <v>567</v>
      </c>
      <c r="C598" s="8">
        <v>19271</v>
      </c>
      <c r="D598" s="9">
        <v>465162750</v>
      </c>
      <c r="E598" s="57">
        <v>1620</v>
      </c>
      <c r="F598" s="18" t="s">
        <v>569</v>
      </c>
      <c r="G598" s="98">
        <v>0</v>
      </c>
      <c r="H598" s="9">
        <f t="shared" si="30"/>
        <v>0</v>
      </c>
      <c r="I598" s="11">
        <f t="shared" ca="1" si="31"/>
        <v>46120</v>
      </c>
      <c r="J598" s="11">
        <f t="shared" ca="1" si="32"/>
        <v>46118</v>
      </c>
      <c r="K598" s="13"/>
    </row>
    <row r="599" spans="1:11" ht="18" x14ac:dyDescent="0.4">
      <c r="A599" s="93" t="s">
        <v>475</v>
      </c>
      <c r="B599" s="7" t="s">
        <v>567</v>
      </c>
      <c r="C599" s="8">
        <v>19271</v>
      </c>
      <c r="D599" s="9">
        <v>468147230</v>
      </c>
      <c r="E599" s="57">
        <v>1600</v>
      </c>
      <c r="F599" s="18" t="s">
        <v>570</v>
      </c>
      <c r="G599" s="98">
        <v>0</v>
      </c>
      <c r="H599" s="9">
        <f t="shared" si="30"/>
        <v>0</v>
      </c>
      <c r="I599" s="11">
        <f t="shared" ca="1" si="31"/>
        <v>46120</v>
      </c>
      <c r="J599" s="11">
        <f t="shared" ca="1" si="32"/>
        <v>46118</v>
      </c>
      <c r="K599" s="13"/>
    </row>
    <row r="600" spans="1:11" ht="18" x14ac:dyDescent="0.4">
      <c r="A600" s="93" t="s">
        <v>475</v>
      </c>
      <c r="B600" s="7" t="s">
        <v>567</v>
      </c>
      <c r="C600" s="8">
        <v>19271</v>
      </c>
      <c r="D600" s="9">
        <v>552547090</v>
      </c>
      <c r="E600" s="57">
        <v>270</v>
      </c>
      <c r="F600" s="18" t="s">
        <v>571</v>
      </c>
      <c r="G600" s="98">
        <v>0</v>
      </c>
      <c r="H600" s="9">
        <f t="shared" si="30"/>
        <v>0</v>
      </c>
      <c r="I600" s="11">
        <f t="shared" ca="1" si="31"/>
        <v>46120</v>
      </c>
      <c r="J600" s="11">
        <f t="shared" ca="1" si="32"/>
        <v>46118</v>
      </c>
      <c r="K600" s="13"/>
    </row>
    <row r="601" spans="1:11" ht="18" x14ac:dyDescent="0.4">
      <c r="A601" s="93" t="s">
        <v>475</v>
      </c>
      <c r="B601" s="7" t="s">
        <v>567</v>
      </c>
      <c r="C601" s="8">
        <v>19271</v>
      </c>
      <c r="D601" s="9">
        <v>552551360</v>
      </c>
      <c r="E601" s="57">
        <v>360</v>
      </c>
      <c r="F601" s="18" t="s">
        <v>572</v>
      </c>
      <c r="G601" s="98">
        <v>0</v>
      </c>
      <c r="H601" s="9">
        <f t="shared" si="30"/>
        <v>0</v>
      </c>
      <c r="I601" s="11">
        <f t="shared" ca="1" si="31"/>
        <v>46120</v>
      </c>
      <c r="J601" s="11">
        <f t="shared" ca="1" si="32"/>
        <v>46118</v>
      </c>
      <c r="K601" s="13"/>
    </row>
    <row r="602" spans="1:11" ht="18" x14ac:dyDescent="0.4">
      <c r="A602" s="93" t="s">
        <v>475</v>
      </c>
      <c r="B602" s="7" t="s">
        <v>567</v>
      </c>
      <c r="C602" s="8">
        <v>19271</v>
      </c>
      <c r="D602" s="9">
        <v>735017020</v>
      </c>
      <c r="E602" s="57">
        <v>1440</v>
      </c>
      <c r="F602" s="18" t="s">
        <v>573</v>
      </c>
      <c r="G602" s="98">
        <v>0</v>
      </c>
      <c r="H602" s="9">
        <f t="shared" si="30"/>
        <v>0</v>
      </c>
      <c r="I602" s="11">
        <f t="shared" ca="1" si="31"/>
        <v>46120</v>
      </c>
      <c r="J602" s="11">
        <f t="shared" ca="1" si="32"/>
        <v>46118</v>
      </c>
      <c r="K602" s="13"/>
    </row>
    <row r="603" spans="1:11" ht="18" x14ac:dyDescent="0.4">
      <c r="A603" s="93" t="s">
        <v>475</v>
      </c>
      <c r="B603" s="7" t="s">
        <v>567</v>
      </c>
      <c r="C603" s="8">
        <v>19271</v>
      </c>
      <c r="D603" s="9">
        <v>552054650</v>
      </c>
      <c r="E603" s="57">
        <v>1440</v>
      </c>
      <c r="F603" s="18" t="s">
        <v>574</v>
      </c>
      <c r="G603" s="98">
        <v>0</v>
      </c>
      <c r="H603" s="9">
        <f t="shared" si="30"/>
        <v>0</v>
      </c>
      <c r="I603" s="11">
        <f t="shared" ca="1" si="31"/>
        <v>46120</v>
      </c>
      <c r="J603" s="11">
        <f t="shared" ca="1" si="32"/>
        <v>46118</v>
      </c>
      <c r="K603" s="13"/>
    </row>
    <row r="604" spans="1:11" ht="18" x14ac:dyDescent="0.4">
      <c r="A604" s="93" t="s">
        <v>475</v>
      </c>
      <c r="B604" s="16" t="s">
        <v>567</v>
      </c>
      <c r="C604" s="8">
        <v>19271</v>
      </c>
      <c r="D604" s="9">
        <v>463409620</v>
      </c>
      <c r="E604" s="57">
        <v>360</v>
      </c>
      <c r="F604" s="10" t="s">
        <v>572</v>
      </c>
      <c r="G604" s="98">
        <v>0</v>
      </c>
      <c r="H604" s="9">
        <f t="shared" si="30"/>
        <v>0</v>
      </c>
      <c r="I604" s="11">
        <f t="shared" ca="1" si="31"/>
        <v>46120</v>
      </c>
      <c r="J604" s="11">
        <f t="shared" ca="1" si="32"/>
        <v>46118</v>
      </c>
      <c r="K604" s="13"/>
    </row>
    <row r="605" spans="1:11" ht="18" x14ac:dyDescent="0.4">
      <c r="A605" s="93" t="s">
        <v>475</v>
      </c>
      <c r="B605" s="16" t="s">
        <v>567</v>
      </c>
      <c r="C605" s="8">
        <v>19271</v>
      </c>
      <c r="D605" s="9">
        <v>463409610</v>
      </c>
      <c r="E605" s="57">
        <v>360</v>
      </c>
      <c r="F605" s="10" t="s">
        <v>575</v>
      </c>
      <c r="G605" s="98">
        <v>0</v>
      </c>
      <c r="H605" s="9">
        <f t="shared" si="30"/>
        <v>0</v>
      </c>
      <c r="I605" s="11">
        <f t="shared" ca="1" si="31"/>
        <v>46120</v>
      </c>
      <c r="J605" s="11">
        <f t="shared" ca="1" si="32"/>
        <v>46118</v>
      </c>
      <c r="K605" s="13"/>
    </row>
    <row r="606" spans="1:11" ht="18" x14ac:dyDescent="0.4">
      <c r="A606" s="93" t="s">
        <v>475</v>
      </c>
      <c r="B606" s="16" t="s">
        <v>576</v>
      </c>
      <c r="C606" s="8">
        <v>19807</v>
      </c>
      <c r="D606" s="9">
        <v>552594720</v>
      </c>
      <c r="E606" s="57">
        <v>900</v>
      </c>
      <c r="F606" s="10" t="s">
        <v>577</v>
      </c>
      <c r="G606" s="98">
        <v>0</v>
      </c>
      <c r="H606" s="9">
        <f t="shared" si="30"/>
        <v>0</v>
      </c>
      <c r="I606" s="11">
        <f t="shared" ca="1" si="31"/>
        <v>46120</v>
      </c>
      <c r="J606" s="11">
        <f t="shared" ca="1" si="32"/>
        <v>46118</v>
      </c>
      <c r="K606" s="13"/>
    </row>
    <row r="607" spans="1:11" ht="18" x14ac:dyDescent="0.4">
      <c r="A607" s="93" t="s">
        <v>475</v>
      </c>
      <c r="B607" s="16" t="s">
        <v>576</v>
      </c>
      <c r="C607" s="8">
        <v>19807</v>
      </c>
      <c r="D607" s="9">
        <v>552594730</v>
      </c>
      <c r="E607" s="57">
        <v>900</v>
      </c>
      <c r="F607" s="10" t="s">
        <v>578</v>
      </c>
      <c r="G607" s="98">
        <v>0</v>
      </c>
      <c r="H607" s="9">
        <f t="shared" si="30"/>
        <v>0</v>
      </c>
      <c r="I607" s="11">
        <f t="shared" ca="1" si="31"/>
        <v>46120</v>
      </c>
      <c r="J607" s="11">
        <f t="shared" ca="1" si="32"/>
        <v>46118</v>
      </c>
      <c r="K607" s="13"/>
    </row>
    <row r="608" spans="1:11" ht="18" x14ac:dyDescent="0.4">
      <c r="A608" s="93" t="s">
        <v>475</v>
      </c>
      <c r="B608" s="16" t="s">
        <v>576</v>
      </c>
      <c r="C608" s="8">
        <v>19807</v>
      </c>
      <c r="D608" s="9">
        <v>468209930</v>
      </c>
      <c r="E608" s="57">
        <v>900</v>
      </c>
      <c r="F608" s="10" t="s">
        <v>579</v>
      </c>
      <c r="G608" s="98">
        <v>0</v>
      </c>
      <c r="H608" s="9">
        <f t="shared" si="30"/>
        <v>0</v>
      </c>
      <c r="I608" s="11">
        <f t="shared" ca="1" si="31"/>
        <v>46120</v>
      </c>
      <c r="J608" s="11">
        <f t="shared" ca="1" si="32"/>
        <v>46118</v>
      </c>
      <c r="K608" s="13"/>
    </row>
    <row r="609" spans="1:11" ht="18" x14ac:dyDescent="0.4">
      <c r="A609" s="93" t="s">
        <v>475</v>
      </c>
      <c r="B609" s="16" t="s">
        <v>576</v>
      </c>
      <c r="C609" s="8">
        <v>19807</v>
      </c>
      <c r="D609" s="9">
        <v>468209950</v>
      </c>
      <c r="E609" s="57">
        <v>900</v>
      </c>
      <c r="F609" s="10" t="s">
        <v>580</v>
      </c>
      <c r="G609" s="98">
        <v>0</v>
      </c>
      <c r="H609" s="9">
        <f t="shared" si="30"/>
        <v>0</v>
      </c>
      <c r="I609" s="11">
        <f t="shared" ca="1" si="31"/>
        <v>46120</v>
      </c>
      <c r="J609" s="11">
        <f t="shared" ca="1" si="32"/>
        <v>46118</v>
      </c>
      <c r="K609" s="13"/>
    </row>
    <row r="610" spans="1:11" ht="18" x14ac:dyDescent="0.4">
      <c r="A610" s="93" t="s">
        <v>475</v>
      </c>
      <c r="B610" s="16" t="s">
        <v>372</v>
      </c>
      <c r="C610" s="8">
        <v>27951</v>
      </c>
      <c r="D610" s="9">
        <v>76779780</v>
      </c>
      <c r="E610" s="57">
        <v>300</v>
      </c>
      <c r="F610" s="10" t="s">
        <v>553</v>
      </c>
      <c r="G610" s="98">
        <v>0</v>
      </c>
      <c r="H610" s="9">
        <f t="shared" si="30"/>
        <v>0</v>
      </c>
      <c r="I610" s="11">
        <f t="shared" ca="1" si="31"/>
        <v>46120</v>
      </c>
      <c r="J610" s="11">
        <f t="shared" ca="1" si="32"/>
        <v>46118</v>
      </c>
      <c r="K610" s="13"/>
    </row>
    <row r="611" spans="1:11" ht="18" x14ac:dyDescent="0.4">
      <c r="A611" s="93" t="s">
        <v>475</v>
      </c>
      <c r="B611" s="16" t="s">
        <v>372</v>
      </c>
      <c r="C611" s="8">
        <v>27951</v>
      </c>
      <c r="D611" s="9">
        <v>187538210</v>
      </c>
      <c r="E611" s="57">
        <v>180</v>
      </c>
      <c r="F611" s="10" t="s">
        <v>581</v>
      </c>
      <c r="G611" s="98">
        <v>0</v>
      </c>
      <c r="H611" s="9">
        <f t="shared" si="30"/>
        <v>0</v>
      </c>
      <c r="I611" s="11">
        <f t="shared" ca="1" si="31"/>
        <v>46120</v>
      </c>
      <c r="J611" s="11">
        <f t="shared" ca="1" si="32"/>
        <v>46118</v>
      </c>
      <c r="K611" s="13"/>
    </row>
    <row r="612" spans="1:11" ht="18" x14ac:dyDescent="0.4">
      <c r="A612" s="93" t="s">
        <v>475</v>
      </c>
      <c r="B612" s="16" t="s">
        <v>372</v>
      </c>
      <c r="C612" s="8">
        <v>27951</v>
      </c>
      <c r="D612" s="9">
        <v>463436280</v>
      </c>
      <c r="E612" s="57">
        <v>600</v>
      </c>
      <c r="F612" s="10" t="s">
        <v>582</v>
      </c>
      <c r="G612" s="98">
        <v>0</v>
      </c>
      <c r="H612" s="9">
        <f t="shared" si="30"/>
        <v>0</v>
      </c>
      <c r="I612" s="11">
        <f t="shared" ca="1" si="31"/>
        <v>46120</v>
      </c>
      <c r="J612" s="11">
        <f t="shared" ca="1" si="32"/>
        <v>46118</v>
      </c>
      <c r="K612" s="13"/>
    </row>
    <row r="613" spans="1:11" ht="18" x14ac:dyDescent="0.4">
      <c r="A613" s="93" t="s">
        <v>475</v>
      </c>
      <c r="B613" s="16" t="s">
        <v>377</v>
      </c>
      <c r="C613" s="8">
        <v>36019</v>
      </c>
      <c r="D613" s="9">
        <v>160504340</v>
      </c>
      <c r="E613" s="57">
        <v>400</v>
      </c>
      <c r="F613" s="10" t="s">
        <v>583</v>
      </c>
      <c r="G613" s="98">
        <v>0</v>
      </c>
      <c r="H613" s="9">
        <f t="shared" si="30"/>
        <v>0</v>
      </c>
      <c r="I613" s="11">
        <f t="shared" ca="1" si="31"/>
        <v>46120</v>
      </c>
      <c r="J613" s="11">
        <f t="shared" ca="1" si="32"/>
        <v>46118</v>
      </c>
      <c r="K613" s="13"/>
    </row>
    <row r="614" spans="1:11" ht="18" x14ac:dyDescent="0.4">
      <c r="A614" s="93" t="s">
        <v>475</v>
      </c>
      <c r="B614" s="16" t="s">
        <v>377</v>
      </c>
      <c r="C614" s="8">
        <v>36019</v>
      </c>
      <c r="D614" s="9">
        <v>468130270</v>
      </c>
      <c r="E614" s="57">
        <v>1200</v>
      </c>
      <c r="F614" s="10" t="s">
        <v>584</v>
      </c>
      <c r="G614" s="98">
        <v>0</v>
      </c>
      <c r="H614" s="9">
        <f t="shared" si="30"/>
        <v>0</v>
      </c>
      <c r="I614" s="11">
        <f t="shared" ca="1" si="31"/>
        <v>46120</v>
      </c>
      <c r="J614" s="11">
        <f t="shared" ca="1" si="32"/>
        <v>46118</v>
      </c>
      <c r="K614" s="13"/>
    </row>
    <row r="615" spans="1:11" ht="18" x14ac:dyDescent="0.4">
      <c r="A615" s="93" t="s">
        <v>475</v>
      </c>
      <c r="B615" s="16" t="s">
        <v>585</v>
      </c>
      <c r="C615" s="8">
        <v>10429</v>
      </c>
      <c r="D615" s="9">
        <v>467670560</v>
      </c>
      <c r="E615" s="57">
        <v>1152</v>
      </c>
      <c r="F615" s="10" t="s">
        <v>586</v>
      </c>
      <c r="G615" s="98">
        <v>0</v>
      </c>
      <c r="H615" s="9">
        <f t="shared" si="30"/>
        <v>0</v>
      </c>
      <c r="I615" s="11">
        <f t="shared" ca="1" si="31"/>
        <v>46120</v>
      </c>
      <c r="J615" s="11">
        <f t="shared" ca="1" si="32"/>
        <v>46118</v>
      </c>
      <c r="K615" s="13"/>
    </row>
    <row r="616" spans="1:11" ht="18" x14ac:dyDescent="0.4">
      <c r="A616" s="93" t="s">
        <v>475</v>
      </c>
      <c r="B616" s="16" t="s">
        <v>585</v>
      </c>
      <c r="C616" s="8">
        <v>10429</v>
      </c>
      <c r="D616" s="9">
        <v>467689270</v>
      </c>
      <c r="E616" s="57">
        <v>1440</v>
      </c>
      <c r="F616" s="10" t="s">
        <v>587</v>
      </c>
      <c r="G616" s="98">
        <v>0</v>
      </c>
      <c r="H616" s="9">
        <f t="shared" si="30"/>
        <v>0</v>
      </c>
      <c r="I616" s="11">
        <f t="shared" ca="1" si="31"/>
        <v>46120</v>
      </c>
      <c r="J616" s="11">
        <f t="shared" ca="1" si="32"/>
        <v>46118</v>
      </c>
      <c r="K616" s="13"/>
    </row>
    <row r="617" spans="1:11" ht="18" x14ac:dyDescent="0.4">
      <c r="A617" s="93" t="s">
        <v>475</v>
      </c>
      <c r="B617" s="16" t="s">
        <v>585</v>
      </c>
      <c r="C617" s="8">
        <v>10429</v>
      </c>
      <c r="D617" s="9">
        <v>467761970</v>
      </c>
      <c r="E617" s="57">
        <v>1200</v>
      </c>
      <c r="F617" s="10" t="s">
        <v>588</v>
      </c>
      <c r="G617" s="98">
        <v>0</v>
      </c>
      <c r="H617" s="9">
        <f t="shared" si="30"/>
        <v>0</v>
      </c>
      <c r="I617" s="11">
        <f t="shared" ca="1" si="31"/>
        <v>46120</v>
      </c>
      <c r="J617" s="11">
        <f t="shared" ca="1" si="32"/>
        <v>46118</v>
      </c>
      <c r="K617" s="13"/>
    </row>
    <row r="618" spans="1:11" ht="18" x14ac:dyDescent="0.4">
      <c r="A618" s="93" t="s">
        <v>475</v>
      </c>
      <c r="B618" s="16" t="s">
        <v>585</v>
      </c>
      <c r="C618" s="8">
        <v>10429</v>
      </c>
      <c r="D618" s="9">
        <v>467761990</v>
      </c>
      <c r="E618" s="57">
        <v>864</v>
      </c>
      <c r="F618" s="10" t="s">
        <v>589</v>
      </c>
      <c r="G618" s="98">
        <v>0</v>
      </c>
      <c r="H618" s="9">
        <f t="shared" si="30"/>
        <v>0</v>
      </c>
      <c r="I618" s="11">
        <f t="shared" ca="1" si="31"/>
        <v>46120</v>
      </c>
      <c r="J618" s="11">
        <f t="shared" ca="1" si="32"/>
        <v>46118</v>
      </c>
      <c r="K618" s="13"/>
    </row>
    <row r="619" spans="1:11" ht="18" x14ac:dyDescent="0.4">
      <c r="A619" s="93" t="s">
        <v>475</v>
      </c>
      <c r="B619" s="16" t="s">
        <v>585</v>
      </c>
      <c r="C619" s="8">
        <v>10429</v>
      </c>
      <c r="D619" s="9">
        <v>552597100</v>
      </c>
      <c r="E619" s="57">
        <v>1152</v>
      </c>
      <c r="F619" s="10" t="s">
        <v>590</v>
      </c>
      <c r="G619" s="98">
        <v>0</v>
      </c>
      <c r="H619" s="9">
        <f t="shared" si="30"/>
        <v>0</v>
      </c>
      <c r="I619" s="11">
        <f t="shared" ca="1" si="31"/>
        <v>46120</v>
      </c>
      <c r="J619" s="11">
        <f t="shared" ca="1" si="32"/>
        <v>46118</v>
      </c>
      <c r="K619" s="13"/>
    </row>
    <row r="620" spans="1:11" ht="18" x14ac:dyDescent="0.4">
      <c r="A620" s="93" t="s">
        <v>475</v>
      </c>
      <c r="B620" s="16" t="s">
        <v>591</v>
      </c>
      <c r="C620" s="8">
        <v>43749</v>
      </c>
      <c r="D620" s="9">
        <v>400047600</v>
      </c>
      <c r="E620" s="57">
        <v>480</v>
      </c>
      <c r="F620" s="10" t="s">
        <v>592</v>
      </c>
      <c r="G620" s="98">
        <v>0</v>
      </c>
      <c r="H620" s="9">
        <f t="shared" si="30"/>
        <v>0</v>
      </c>
      <c r="I620" s="11">
        <f t="shared" ca="1" si="31"/>
        <v>46120</v>
      </c>
      <c r="J620" s="11">
        <f t="shared" ca="1" si="32"/>
        <v>46118</v>
      </c>
      <c r="K620" s="13"/>
    </row>
    <row r="621" spans="1:11" ht="18" x14ac:dyDescent="0.4">
      <c r="A621" s="93" t="s">
        <v>475</v>
      </c>
      <c r="B621" s="16" t="s">
        <v>591</v>
      </c>
      <c r="C621" s="8">
        <v>43749</v>
      </c>
      <c r="D621" s="9">
        <v>400048200</v>
      </c>
      <c r="E621" s="57">
        <v>780</v>
      </c>
      <c r="F621" s="10" t="s">
        <v>593</v>
      </c>
      <c r="G621" s="98">
        <v>0</v>
      </c>
      <c r="H621" s="9">
        <f t="shared" si="30"/>
        <v>0</v>
      </c>
      <c r="I621" s="11">
        <f t="shared" ca="1" si="31"/>
        <v>46120</v>
      </c>
      <c r="J621" s="11">
        <f t="shared" ca="1" si="32"/>
        <v>46118</v>
      </c>
      <c r="K621" s="13"/>
    </row>
    <row r="622" spans="1:11" ht="18" x14ac:dyDescent="0.4">
      <c r="A622" s="93" t="s">
        <v>475</v>
      </c>
      <c r="B622" s="16" t="s">
        <v>594</v>
      </c>
      <c r="C622" s="8">
        <v>31107</v>
      </c>
      <c r="D622" s="9">
        <v>552600330</v>
      </c>
      <c r="E622" s="57">
        <v>2700</v>
      </c>
      <c r="F622" s="10" t="s">
        <v>595</v>
      </c>
      <c r="G622" s="98">
        <v>0</v>
      </c>
      <c r="H622" s="9">
        <f t="shared" si="30"/>
        <v>0</v>
      </c>
      <c r="I622" s="11">
        <f t="shared" ca="1" si="31"/>
        <v>46120</v>
      </c>
      <c r="J622" s="11">
        <f t="shared" ca="1" si="32"/>
        <v>46118</v>
      </c>
      <c r="K622" s="13"/>
    </row>
    <row r="623" spans="1:11" ht="18" x14ac:dyDescent="0.4">
      <c r="A623" s="93" t="s">
        <v>475</v>
      </c>
      <c r="B623" s="16" t="s">
        <v>596</v>
      </c>
      <c r="C623" s="8">
        <v>33301</v>
      </c>
      <c r="D623" s="9">
        <v>552294200</v>
      </c>
      <c r="E623" s="57">
        <v>240</v>
      </c>
      <c r="F623" s="10" t="s">
        <v>597</v>
      </c>
      <c r="G623" s="98">
        <v>0</v>
      </c>
      <c r="H623" s="9">
        <f t="shared" ref="H623:H686" si="33">G623/E623</f>
        <v>0</v>
      </c>
      <c r="I623" s="11">
        <f t="shared" ca="1" si="31"/>
        <v>46120</v>
      </c>
      <c r="J623" s="11">
        <f t="shared" ca="1" si="32"/>
        <v>46118</v>
      </c>
      <c r="K623" s="13"/>
    </row>
    <row r="624" spans="1:11" ht="18" x14ac:dyDescent="0.4">
      <c r="A624" s="93" t="s">
        <v>475</v>
      </c>
      <c r="B624" s="16" t="s">
        <v>596</v>
      </c>
      <c r="C624" s="8">
        <v>33301</v>
      </c>
      <c r="D624" s="9">
        <v>552340160</v>
      </c>
      <c r="E624" s="57">
        <v>240</v>
      </c>
      <c r="F624" s="10" t="s">
        <v>598</v>
      </c>
      <c r="G624" s="98">
        <v>0</v>
      </c>
      <c r="H624" s="9">
        <f t="shared" si="33"/>
        <v>0</v>
      </c>
      <c r="I624" s="11">
        <f t="shared" ca="1" si="31"/>
        <v>46120</v>
      </c>
      <c r="J624" s="11">
        <f t="shared" ca="1" si="32"/>
        <v>46118</v>
      </c>
      <c r="K624" s="13"/>
    </row>
    <row r="625" spans="1:11" ht="18" x14ac:dyDescent="0.4">
      <c r="A625" s="93" t="s">
        <v>475</v>
      </c>
      <c r="B625" s="16" t="s">
        <v>414</v>
      </c>
      <c r="C625" s="8">
        <v>21570</v>
      </c>
      <c r="D625" s="9">
        <v>552826500</v>
      </c>
      <c r="E625" s="57">
        <v>900</v>
      </c>
      <c r="F625" s="10" t="s">
        <v>599</v>
      </c>
      <c r="G625" s="98">
        <v>0</v>
      </c>
      <c r="H625" s="9">
        <f t="shared" si="33"/>
        <v>0</v>
      </c>
      <c r="I625" s="11">
        <f t="shared" ca="1" si="31"/>
        <v>46120</v>
      </c>
      <c r="J625" s="11">
        <f t="shared" ca="1" si="32"/>
        <v>46118</v>
      </c>
      <c r="K625" s="13"/>
    </row>
    <row r="626" spans="1:11" ht="18" x14ac:dyDescent="0.4">
      <c r="A626" s="93" t="s">
        <v>475</v>
      </c>
      <c r="B626" s="16" t="s">
        <v>414</v>
      </c>
      <c r="C626" s="8">
        <v>21570</v>
      </c>
      <c r="D626" s="9">
        <v>552826470</v>
      </c>
      <c r="E626" s="57">
        <v>1500</v>
      </c>
      <c r="F626" s="10" t="s">
        <v>600</v>
      </c>
      <c r="G626" s="98">
        <v>0</v>
      </c>
      <c r="H626" s="9">
        <f t="shared" si="33"/>
        <v>0</v>
      </c>
      <c r="I626" s="11">
        <f t="shared" ca="1" si="31"/>
        <v>46120</v>
      </c>
      <c r="J626" s="11">
        <f t="shared" ca="1" si="32"/>
        <v>46118</v>
      </c>
      <c r="K626" s="13"/>
    </row>
    <row r="627" spans="1:11" ht="18" x14ac:dyDescent="0.4">
      <c r="A627" s="93" t="s">
        <v>475</v>
      </c>
      <c r="B627" s="16" t="s">
        <v>414</v>
      </c>
      <c r="C627" s="8">
        <v>21570</v>
      </c>
      <c r="D627" s="9">
        <v>552826490</v>
      </c>
      <c r="E627" s="57">
        <v>200</v>
      </c>
      <c r="F627" s="10" t="s">
        <v>601</v>
      </c>
      <c r="G627" s="98">
        <v>0</v>
      </c>
      <c r="H627" s="9">
        <f t="shared" si="33"/>
        <v>0</v>
      </c>
      <c r="I627" s="11">
        <f t="shared" ca="1" si="31"/>
        <v>46120</v>
      </c>
      <c r="J627" s="11">
        <f t="shared" ca="1" si="32"/>
        <v>46118</v>
      </c>
      <c r="K627" s="13"/>
    </row>
    <row r="628" spans="1:11" ht="18" x14ac:dyDescent="0.4">
      <c r="A628" s="93" t="s">
        <v>475</v>
      </c>
      <c r="B628" s="16" t="s">
        <v>414</v>
      </c>
      <c r="C628" s="8">
        <v>21570</v>
      </c>
      <c r="D628" s="9">
        <v>552826480</v>
      </c>
      <c r="E628" s="57">
        <v>200</v>
      </c>
      <c r="F628" s="10" t="s">
        <v>602</v>
      </c>
      <c r="G628" s="98">
        <v>0</v>
      </c>
      <c r="H628" s="9">
        <f t="shared" si="33"/>
        <v>0</v>
      </c>
      <c r="I628" s="11">
        <f t="shared" ca="1" si="31"/>
        <v>46120</v>
      </c>
      <c r="J628" s="11">
        <f t="shared" ca="1" si="32"/>
        <v>46118</v>
      </c>
      <c r="K628" s="13"/>
    </row>
    <row r="629" spans="1:11" ht="18" x14ac:dyDescent="0.4">
      <c r="A629" s="93" t="s">
        <v>475</v>
      </c>
      <c r="B629" s="16" t="s">
        <v>439</v>
      </c>
      <c r="C629" s="8">
        <v>40840</v>
      </c>
      <c r="D629" s="9">
        <v>187521210</v>
      </c>
      <c r="E629" s="57">
        <v>900</v>
      </c>
      <c r="F629" s="10" t="s">
        <v>312</v>
      </c>
      <c r="G629" s="98">
        <v>0</v>
      </c>
      <c r="H629" s="9">
        <f t="shared" si="33"/>
        <v>0</v>
      </c>
      <c r="I629" s="11">
        <f t="shared" ref="I629:I692" ca="1" si="34">I628</f>
        <v>46120</v>
      </c>
      <c r="J629" s="11">
        <f t="shared" ca="1" si="32"/>
        <v>46118</v>
      </c>
      <c r="K629" s="13"/>
    </row>
    <row r="630" spans="1:11" ht="18" x14ac:dyDescent="0.4">
      <c r="A630" s="93" t="s">
        <v>475</v>
      </c>
      <c r="B630" s="16" t="s">
        <v>439</v>
      </c>
      <c r="C630" s="8">
        <v>40840</v>
      </c>
      <c r="D630" s="9">
        <v>187543240</v>
      </c>
      <c r="E630" s="57">
        <v>400</v>
      </c>
      <c r="F630" s="10" t="s">
        <v>565</v>
      </c>
      <c r="G630" s="98">
        <v>0</v>
      </c>
      <c r="H630" s="9">
        <f t="shared" si="33"/>
        <v>0</v>
      </c>
      <c r="I630" s="11">
        <f ca="1">I629</f>
        <v>46120</v>
      </c>
      <c r="J630" s="11">
        <f t="shared" ca="1" si="32"/>
        <v>46118</v>
      </c>
      <c r="K630" s="13"/>
    </row>
    <row r="631" spans="1:11" ht="18" x14ac:dyDescent="0.4">
      <c r="A631" s="93" t="s">
        <v>475</v>
      </c>
      <c r="B631" s="16" t="s">
        <v>439</v>
      </c>
      <c r="C631" s="8">
        <v>40840</v>
      </c>
      <c r="D631" s="9">
        <v>187532210</v>
      </c>
      <c r="E631" s="57">
        <v>350</v>
      </c>
      <c r="F631" s="10" t="s">
        <v>603</v>
      </c>
      <c r="G631" s="98">
        <v>0</v>
      </c>
      <c r="H631" s="9">
        <f t="shared" si="33"/>
        <v>0</v>
      </c>
      <c r="I631" s="11">
        <f t="shared" ca="1" si="34"/>
        <v>46120</v>
      </c>
      <c r="J631" s="11">
        <f t="shared" ca="1" si="32"/>
        <v>46118</v>
      </c>
      <c r="K631" s="13"/>
    </row>
    <row r="632" spans="1:11" ht="18" x14ac:dyDescent="0.4">
      <c r="A632" s="93" t="s">
        <v>475</v>
      </c>
      <c r="B632" s="16" t="s">
        <v>439</v>
      </c>
      <c r="C632" s="8">
        <v>40840</v>
      </c>
      <c r="D632" s="9">
        <v>109026210</v>
      </c>
      <c r="E632" s="57">
        <v>1500</v>
      </c>
      <c r="F632" s="10" t="s">
        <v>604</v>
      </c>
      <c r="G632" s="98">
        <v>0</v>
      </c>
      <c r="H632" s="9">
        <f t="shared" si="33"/>
        <v>0</v>
      </c>
      <c r="I632" s="11">
        <f t="shared" ca="1" si="34"/>
        <v>46120</v>
      </c>
      <c r="J632" s="11">
        <f t="shared" ca="1" si="32"/>
        <v>46118</v>
      </c>
      <c r="K632" s="13"/>
    </row>
    <row r="633" spans="1:11" ht="18" x14ac:dyDescent="0.4">
      <c r="A633" s="93" t="s">
        <v>475</v>
      </c>
      <c r="B633" s="16" t="s">
        <v>439</v>
      </c>
      <c r="C633" s="8">
        <v>40840</v>
      </c>
      <c r="D633" s="9">
        <v>162860210</v>
      </c>
      <c r="E633" s="57">
        <v>1750</v>
      </c>
      <c r="F633" s="10" t="s">
        <v>605</v>
      </c>
      <c r="G633" s="98">
        <v>0</v>
      </c>
      <c r="H633" s="9">
        <f t="shared" si="33"/>
        <v>0</v>
      </c>
      <c r="I633" s="11">
        <f t="shared" ca="1" si="34"/>
        <v>46120</v>
      </c>
      <c r="J633" s="11">
        <f t="shared" ca="1" si="32"/>
        <v>46118</v>
      </c>
      <c r="K633" s="13"/>
    </row>
    <row r="634" spans="1:11" ht="18" x14ac:dyDescent="0.4">
      <c r="A634" s="93" t="s">
        <v>475</v>
      </c>
      <c r="B634" s="16" t="s">
        <v>606</v>
      </c>
      <c r="C634" s="8">
        <v>23480</v>
      </c>
      <c r="D634" s="9">
        <v>43283640</v>
      </c>
      <c r="E634" s="57">
        <v>2000</v>
      </c>
      <c r="F634" s="10" t="s">
        <v>607</v>
      </c>
      <c r="G634" s="98">
        <v>0</v>
      </c>
      <c r="H634" s="9">
        <f t="shared" si="33"/>
        <v>0</v>
      </c>
      <c r="I634" s="11">
        <f t="shared" ca="1" si="34"/>
        <v>46120</v>
      </c>
      <c r="J634" s="11">
        <f t="shared" ca="1" si="32"/>
        <v>46118</v>
      </c>
      <c r="K634" s="13"/>
    </row>
    <row r="635" spans="1:11" ht="18" x14ac:dyDescent="0.4">
      <c r="A635" s="93" t="s">
        <v>475</v>
      </c>
      <c r="B635" s="16" t="s">
        <v>606</v>
      </c>
      <c r="C635" s="8">
        <v>23480</v>
      </c>
      <c r="D635" s="9">
        <v>75395980</v>
      </c>
      <c r="E635" s="57">
        <v>4000</v>
      </c>
      <c r="F635" s="10" t="s">
        <v>608</v>
      </c>
      <c r="G635" s="98">
        <v>0</v>
      </c>
      <c r="H635" s="9">
        <f t="shared" si="33"/>
        <v>0</v>
      </c>
      <c r="I635" s="11">
        <f t="shared" ca="1" si="34"/>
        <v>46120</v>
      </c>
      <c r="J635" s="11">
        <f t="shared" ca="1" si="32"/>
        <v>46118</v>
      </c>
      <c r="K635" s="13"/>
    </row>
    <row r="636" spans="1:11" ht="18" x14ac:dyDescent="0.4">
      <c r="A636" s="93" t="s">
        <v>475</v>
      </c>
      <c r="B636" s="7" t="s">
        <v>606</v>
      </c>
      <c r="C636" s="8">
        <v>23480</v>
      </c>
      <c r="D636" s="9">
        <v>144557800</v>
      </c>
      <c r="E636" s="57">
        <v>1000</v>
      </c>
      <c r="F636" s="10" t="s">
        <v>609</v>
      </c>
      <c r="G636" s="98">
        <v>0</v>
      </c>
      <c r="H636" s="9">
        <f t="shared" si="33"/>
        <v>0</v>
      </c>
      <c r="I636" s="11">
        <f t="shared" ca="1" si="34"/>
        <v>46120</v>
      </c>
      <c r="J636" s="11">
        <f t="shared" ca="1" si="32"/>
        <v>46118</v>
      </c>
      <c r="K636" s="13"/>
    </row>
    <row r="637" spans="1:11" ht="18" x14ac:dyDescent="0.4">
      <c r="A637" s="93" t="s">
        <v>475</v>
      </c>
      <c r="B637" s="16" t="s">
        <v>606</v>
      </c>
      <c r="C637" s="8">
        <v>23480</v>
      </c>
      <c r="D637" s="9">
        <v>500080480</v>
      </c>
      <c r="E637" s="57">
        <v>3000</v>
      </c>
      <c r="F637" s="10" t="s">
        <v>610</v>
      </c>
      <c r="G637" s="98">
        <v>0</v>
      </c>
      <c r="H637" s="9">
        <f t="shared" si="33"/>
        <v>0</v>
      </c>
      <c r="I637" s="11">
        <f t="shared" ca="1" si="34"/>
        <v>46120</v>
      </c>
      <c r="J637" s="11">
        <f t="shared" ca="1" si="32"/>
        <v>46118</v>
      </c>
      <c r="K637" s="13"/>
    </row>
    <row r="638" spans="1:11" ht="18" x14ac:dyDescent="0.4">
      <c r="A638" s="93" t="s">
        <v>475</v>
      </c>
      <c r="B638" s="16" t="s">
        <v>611</v>
      </c>
      <c r="C638" s="8">
        <v>42998</v>
      </c>
      <c r="D638" s="9">
        <v>463545200</v>
      </c>
      <c r="E638" s="57">
        <v>600</v>
      </c>
      <c r="F638" s="10" t="s">
        <v>612</v>
      </c>
      <c r="G638" s="98">
        <v>0</v>
      </c>
      <c r="H638" s="9">
        <f t="shared" si="33"/>
        <v>0</v>
      </c>
      <c r="I638" s="11">
        <f t="shared" ca="1" si="34"/>
        <v>46120</v>
      </c>
      <c r="J638" s="11">
        <f t="shared" ca="1" si="32"/>
        <v>46118</v>
      </c>
      <c r="K638" s="13"/>
    </row>
    <row r="639" spans="1:11" ht="18" x14ac:dyDescent="0.4">
      <c r="A639" s="93" t="s">
        <v>475</v>
      </c>
      <c r="B639" s="16" t="s">
        <v>473</v>
      </c>
      <c r="C639" s="8">
        <v>31775</v>
      </c>
      <c r="D639" s="9">
        <v>552597070</v>
      </c>
      <c r="E639" s="57">
        <v>900</v>
      </c>
      <c r="F639" s="10" t="s">
        <v>613</v>
      </c>
      <c r="G639" s="98">
        <v>0</v>
      </c>
      <c r="H639" s="9">
        <f t="shared" si="33"/>
        <v>0</v>
      </c>
      <c r="I639" s="11">
        <f t="shared" ca="1" si="34"/>
        <v>46120</v>
      </c>
      <c r="J639" s="11">
        <f t="shared" ca="1" si="32"/>
        <v>46118</v>
      </c>
      <c r="K639" s="13"/>
    </row>
    <row r="640" spans="1:11" ht="18" x14ac:dyDescent="0.4">
      <c r="A640" s="93" t="s">
        <v>475</v>
      </c>
      <c r="B640" s="16" t="s">
        <v>614</v>
      </c>
      <c r="C640" s="8">
        <v>10627</v>
      </c>
      <c r="D640" s="9">
        <v>77132900</v>
      </c>
      <c r="E640" s="57">
        <v>2500</v>
      </c>
      <c r="F640" s="10" t="s">
        <v>615</v>
      </c>
      <c r="G640" s="98">
        <v>0</v>
      </c>
      <c r="H640" s="9">
        <f t="shared" si="33"/>
        <v>0</v>
      </c>
      <c r="I640" s="11">
        <f t="shared" ca="1" si="34"/>
        <v>46120</v>
      </c>
      <c r="J640" s="11">
        <f t="shared" ca="1" si="32"/>
        <v>46118</v>
      </c>
      <c r="K640" s="13"/>
    </row>
    <row r="641" spans="1:11" ht="19.5" x14ac:dyDescent="0.55000000000000004">
      <c r="A641" s="93" t="s">
        <v>475</v>
      </c>
      <c r="B641" s="16" t="s">
        <v>616</v>
      </c>
      <c r="C641" s="8">
        <v>50050</v>
      </c>
      <c r="D641" s="9">
        <v>552807940</v>
      </c>
      <c r="E641" s="57">
        <v>360</v>
      </c>
      <c r="F641" s="10" t="s">
        <v>617</v>
      </c>
      <c r="G641" s="98">
        <v>0</v>
      </c>
      <c r="H641" s="9">
        <f t="shared" si="33"/>
        <v>0</v>
      </c>
      <c r="I641" s="11">
        <f t="shared" ca="1" si="34"/>
        <v>46120</v>
      </c>
      <c r="J641" s="11">
        <f t="shared" ca="1" si="32"/>
        <v>46118</v>
      </c>
      <c r="K641" s="58"/>
    </row>
    <row r="642" spans="1:11" ht="19.5" x14ac:dyDescent="0.55000000000000004">
      <c r="A642" s="93" t="s">
        <v>475</v>
      </c>
      <c r="B642" s="16" t="s">
        <v>616</v>
      </c>
      <c r="C642" s="8">
        <v>50050</v>
      </c>
      <c r="D642" s="9">
        <v>552807950</v>
      </c>
      <c r="E642" s="57">
        <v>360</v>
      </c>
      <c r="F642" s="10" t="s">
        <v>618</v>
      </c>
      <c r="G642" s="98">
        <v>0</v>
      </c>
      <c r="H642" s="9">
        <f t="shared" si="33"/>
        <v>0</v>
      </c>
      <c r="I642" s="11">
        <f t="shared" ca="1" si="34"/>
        <v>46120</v>
      </c>
      <c r="J642" s="11">
        <f t="shared" ca="1" si="32"/>
        <v>46118</v>
      </c>
      <c r="K642" s="58"/>
    </row>
    <row r="643" spans="1:11" ht="19.5" x14ac:dyDescent="0.55000000000000004">
      <c r="A643" s="93" t="s">
        <v>475</v>
      </c>
      <c r="B643" s="16" t="s">
        <v>616</v>
      </c>
      <c r="C643" s="8">
        <v>50050</v>
      </c>
      <c r="D643" s="9">
        <v>552810000</v>
      </c>
      <c r="E643" s="57">
        <v>450</v>
      </c>
      <c r="F643" s="10" t="s">
        <v>619</v>
      </c>
      <c r="G643" s="98">
        <v>0</v>
      </c>
      <c r="H643" s="9">
        <f t="shared" si="33"/>
        <v>0</v>
      </c>
      <c r="I643" s="11">
        <f t="shared" ca="1" si="34"/>
        <v>46120</v>
      </c>
      <c r="J643" s="11">
        <f t="shared" ca="1" si="32"/>
        <v>46118</v>
      </c>
      <c r="K643" s="58"/>
    </row>
    <row r="644" spans="1:11" ht="19.5" x14ac:dyDescent="0.55000000000000004">
      <c r="A644" s="93" t="s">
        <v>475</v>
      </c>
      <c r="B644" s="16" t="s">
        <v>616</v>
      </c>
      <c r="C644" s="8">
        <v>50050</v>
      </c>
      <c r="D644" s="9">
        <v>552807960</v>
      </c>
      <c r="E644" s="57">
        <v>180</v>
      </c>
      <c r="F644" s="10" t="s">
        <v>620</v>
      </c>
      <c r="G644" s="98">
        <v>0</v>
      </c>
      <c r="H644" s="9">
        <f t="shared" si="33"/>
        <v>0</v>
      </c>
      <c r="I644" s="11">
        <f t="shared" ca="1" si="34"/>
        <v>46120</v>
      </c>
      <c r="J644" s="11">
        <f t="shared" ref="J644:J712" ca="1" si="35">TODAY()</f>
        <v>46118</v>
      </c>
      <c r="K644" s="58"/>
    </row>
    <row r="645" spans="1:11" ht="19.5" x14ac:dyDescent="0.55000000000000004">
      <c r="A645" s="93" t="s">
        <v>475</v>
      </c>
      <c r="B645" s="16" t="s">
        <v>616</v>
      </c>
      <c r="C645" s="8">
        <v>50050</v>
      </c>
      <c r="D645" s="9">
        <v>552512680</v>
      </c>
      <c r="E645" s="57">
        <v>1800</v>
      </c>
      <c r="F645" s="10" t="s">
        <v>621</v>
      </c>
      <c r="G645" s="98">
        <v>0</v>
      </c>
      <c r="H645" s="9">
        <f t="shared" si="33"/>
        <v>0</v>
      </c>
      <c r="I645" s="11">
        <f t="shared" ca="1" si="34"/>
        <v>46120</v>
      </c>
      <c r="J645" s="11">
        <f t="shared" ca="1" si="35"/>
        <v>46118</v>
      </c>
      <c r="K645" s="58"/>
    </row>
    <row r="646" spans="1:11" ht="19.5" x14ac:dyDescent="0.55000000000000004">
      <c r="A646" s="93" t="s">
        <v>475</v>
      </c>
      <c r="B646" s="16" t="s">
        <v>616</v>
      </c>
      <c r="C646" s="8">
        <v>50050</v>
      </c>
      <c r="D646" s="9">
        <v>552500530</v>
      </c>
      <c r="E646" s="57">
        <v>2400</v>
      </c>
      <c r="F646" s="10" t="s">
        <v>621</v>
      </c>
      <c r="G646" s="98">
        <v>0</v>
      </c>
      <c r="H646" s="9">
        <f t="shared" si="33"/>
        <v>0</v>
      </c>
      <c r="I646" s="11">
        <f t="shared" ca="1" si="34"/>
        <v>46120</v>
      </c>
      <c r="J646" s="11">
        <f t="shared" ca="1" si="35"/>
        <v>46118</v>
      </c>
      <c r="K646" s="58"/>
    </row>
    <row r="647" spans="1:11" ht="19.5" x14ac:dyDescent="0.55000000000000004">
      <c r="A647" s="93" t="s">
        <v>475</v>
      </c>
      <c r="B647" s="16" t="s">
        <v>616</v>
      </c>
      <c r="C647" s="8">
        <v>50050</v>
      </c>
      <c r="D647" s="9">
        <v>552807970</v>
      </c>
      <c r="E647" s="57">
        <v>180</v>
      </c>
      <c r="F647" s="10" t="s">
        <v>622</v>
      </c>
      <c r="G647" s="98">
        <v>0</v>
      </c>
      <c r="H647" s="9">
        <f t="shared" si="33"/>
        <v>0</v>
      </c>
      <c r="I647" s="11">
        <f t="shared" ca="1" si="34"/>
        <v>46120</v>
      </c>
      <c r="J647" s="11">
        <f t="shared" ca="1" si="35"/>
        <v>46118</v>
      </c>
      <c r="K647" s="58"/>
    </row>
    <row r="648" spans="1:11" ht="19.5" x14ac:dyDescent="0.55000000000000004">
      <c r="A648" s="93" t="s">
        <v>475</v>
      </c>
      <c r="B648" s="16" t="s">
        <v>286</v>
      </c>
      <c r="C648" s="8">
        <v>51625</v>
      </c>
      <c r="D648" s="9">
        <v>463458000</v>
      </c>
      <c r="E648" s="57">
        <v>1800</v>
      </c>
      <c r="F648" s="10" t="s">
        <v>623</v>
      </c>
      <c r="G648" s="98">
        <v>0</v>
      </c>
      <c r="H648" s="9">
        <f t="shared" si="33"/>
        <v>0</v>
      </c>
      <c r="I648" s="11">
        <f t="shared" ca="1" si="34"/>
        <v>46120</v>
      </c>
      <c r="J648" s="11">
        <f t="shared" ca="1" si="35"/>
        <v>46118</v>
      </c>
      <c r="K648" s="58"/>
    </row>
    <row r="649" spans="1:11" ht="19.5" x14ac:dyDescent="0.55000000000000004">
      <c r="A649" s="93" t="s">
        <v>475</v>
      </c>
      <c r="B649" s="16" t="s">
        <v>286</v>
      </c>
      <c r="C649" s="8">
        <v>51625</v>
      </c>
      <c r="D649" s="9">
        <v>463457980</v>
      </c>
      <c r="E649" s="57">
        <v>1600</v>
      </c>
      <c r="F649" s="10" t="s">
        <v>624</v>
      </c>
      <c r="G649" s="98">
        <v>0</v>
      </c>
      <c r="H649" s="9">
        <f t="shared" si="33"/>
        <v>0</v>
      </c>
      <c r="I649" s="11">
        <f t="shared" ca="1" si="34"/>
        <v>46120</v>
      </c>
      <c r="J649" s="11">
        <f t="shared" ca="1" si="35"/>
        <v>46118</v>
      </c>
      <c r="K649" s="58"/>
    </row>
    <row r="650" spans="1:11" ht="19.5" x14ac:dyDescent="0.55000000000000004">
      <c r="A650" s="93" t="s">
        <v>475</v>
      </c>
      <c r="B650" s="16" t="s">
        <v>286</v>
      </c>
      <c r="C650" s="8">
        <v>51625</v>
      </c>
      <c r="D650" s="9">
        <v>463457990</v>
      </c>
      <c r="E650" s="57">
        <v>1920</v>
      </c>
      <c r="F650" s="10" t="s">
        <v>625</v>
      </c>
      <c r="G650" s="98">
        <v>0</v>
      </c>
      <c r="H650" s="9">
        <f t="shared" si="33"/>
        <v>0</v>
      </c>
      <c r="I650" s="11">
        <f t="shared" ca="1" si="34"/>
        <v>46120</v>
      </c>
      <c r="J650" s="11">
        <f t="shared" ca="1" si="35"/>
        <v>46118</v>
      </c>
      <c r="K650" s="58"/>
    </row>
    <row r="651" spans="1:11" ht="18" x14ac:dyDescent="0.4">
      <c r="A651" s="93" t="s">
        <v>475</v>
      </c>
      <c r="B651" s="16" t="s">
        <v>626</v>
      </c>
      <c r="C651" s="8">
        <v>13093</v>
      </c>
      <c r="D651" s="9">
        <v>552679890</v>
      </c>
      <c r="E651" s="57">
        <v>150</v>
      </c>
      <c r="F651" s="10" t="s">
        <v>627</v>
      </c>
      <c r="G651" s="98">
        <v>0</v>
      </c>
      <c r="H651" s="9">
        <f t="shared" si="33"/>
        <v>0</v>
      </c>
      <c r="I651" s="11">
        <f t="shared" ca="1" si="34"/>
        <v>46120</v>
      </c>
      <c r="J651" s="11">
        <f t="shared" ca="1" si="35"/>
        <v>46118</v>
      </c>
      <c r="K651" s="13"/>
    </row>
    <row r="652" spans="1:11" ht="18" x14ac:dyDescent="0.4">
      <c r="A652" s="93" t="s">
        <v>475</v>
      </c>
      <c r="B652" s="16" t="s">
        <v>628</v>
      </c>
      <c r="C652" s="8">
        <v>30467</v>
      </c>
      <c r="D652" s="9">
        <v>552757120</v>
      </c>
      <c r="E652" s="57">
        <v>300</v>
      </c>
      <c r="F652" s="10" t="s">
        <v>629</v>
      </c>
      <c r="G652" s="98">
        <v>0</v>
      </c>
      <c r="H652" s="9">
        <f t="shared" si="33"/>
        <v>0</v>
      </c>
      <c r="I652" s="11">
        <f t="shared" ca="1" si="34"/>
        <v>46120</v>
      </c>
      <c r="J652" s="11">
        <f t="shared" ca="1" si="35"/>
        <v>46118</v>
      </c>
      <c r="K652" s="13"/>
    </row>
    <row r="653" spans="1:11" ht="18" x14ac:dyDescent="0.4">
      <c r="A653" s="93" t="s">
        <v>475</v>
      </c>
      <c r="B653" s="16" t="s">
        <v>628</v>
      </c>
      <c r="C653" s="8">
        <v>30467</v>
      </c>
      <c r="D653" s="9">
        <v>77894039</v>
      </c>
      <c r="E653" s="57">
        <v>2880</v>
      </c>
      <c r="F653" s="10" t="s">
        <v>510</v>
      </c>
      <c r="G653" s="98">
        <v>0</v>
      </c>
      <c r="H653" s="9">
        <f>G653/E653</f>
        <v>0</v>
      </c>
      <c r="I653" s="11">
        <f ca="1">I652</f>
        <v>46120</v>
      </c>
      <c r="J653" s="11">
        <f ca="1">TODAY()</f>
        <v>46118</v>
      </c>
      <c r="K653" s="13"/>
    </row>
    <row r="654" spans="1:11" ht="18" x14ac:dyDescent="0.4">
      <c r="A654" s="93" t="s">
        <v>475</v>
      </c>
      <c r="B654" s="16" t="s">
        <v>628</v>
      </c>
      <c r="C654" s="8">
        <v>30467</v>
      </c>
      <c r="D654" s="9">
        <v>463458088</v>
      </c>
      <c r="E654" s="57">
        <v>1440</v>
      </c>
      <c r="F654" s="10" t="s">
        <v>630</v>
      </c>
      <c r="G654" s="98">
        <v>0</v>
      </c>
      <c r="H654" s="9">
        <f>G654/E654</f>
        <v>0</v>
      </c>
      <c r="I654" s="11">
        <f ca="1">I653</f>
        <v>46120</v>
      </c>
      <c r="J654" s="11">
        <f ca="1">TODAY()</f>
        <v>46118</v>
      </c>
      <c r="K654" s="13"/>
    </row>
    <row r="655" spans="1:11" ht="18" x14ac:dyDescent="0.4">
      <c r="A655" s="93" t="s">
        <v>475</v>
      </c>
      <c r="B655" s="16" t="s">
        <v>631</v>
      </c>
      <c r="C655" s="8">
        <v>60644</v>
      </c>
      <c r="D655" s="9">
        <v>75742790</v>
      </c>
      <c r="E655" s="57">
        <v>400</v>
      </c>
      <c r="F655" s="10" t="s">
        <v>632</v>
      </c>
      <c r="G655" s="98">
        <v>0</v>
      </c>
      <c r="H655" s="9">
        <f>G655/E655</f>
        <v>0</v>
      </c>
      <c r="I655" s="11">
        <f ca="1">I652</f>
        <v>46120</v>
      </c>
      <c r="J655" s="11">
        <f t="shared" ca="1" si="35"/>
        <v>46118</v>
      </c>
      <c r="K655" s="13"/>
    </row>
    <row r="656" spans="1:11" ht="18" x14ac:dyDescent="0.4">
      <c r="A656" s="93" t="s">
        <v>475</v>
      </c>
      <c r="B656" s="16" t="s">
        <v>631</v>
      </c>
      <c r="C656" s="8">
        <v>60644</v>
      </c>
      <c r="D656" s="9">
        <v>464600430</v>
      </c>
      <c r="E656" s="57">
        <v>72</v>
      </c>
      <c r="F656" s="10" t="s">
        <v>633</v>
      </c>
      <c r="G656" s="98">
        <v>0</v>
      </c>
      <c r="H656" s="9">
        <f t="shared" si="33"/>
        <v>0</v>
      </c>
      <c r="I656" s="11">
        <f t="shared" ca="1" si="34"/>
        <v>46120</v>
      </c>
      <c r="J656" s="11">
        <f t="shared" ca="1" si="35"/>
        <v>46118</v>
      </c>
      <c r="K656" s="13"/>
    </row>
    <row r="657" spans="1:11" ht="19.5" x14ac:dyDescent="0.55000000000000004">
      <c r="A657" s="93" t="s">
        <v>475</v>
      </c>
      <c r="B657" s="16" t="s">
        <v>634</v>
      </c>
      <c r="C657" s="8">
        <v>63192</v>
      </c>
      <c r="D657" s="9">
        <v>552044480</v>
      </c>
      <c r="E657" s="57">
        <v>45</v>
      </c>
      <c r="F657" s="10" t="s">
        <v>635</v>
      </c>
      <c r="G657" s="98">
        <v>0</v>
      </c>
      <c r="H657" s="9">
        <f t="shared" si="33"/>
        <v>0</v>
      </c>
      <c r="I657" s="11">
        <f t="shared" ca="1" si="34"/>
        <v>46120</v>
      </c>
      <c r="J657" s="11">
        <f t="shared" ca="1" si="35"/>
        <v>46118</v>
      </c>
      <c r="K657" s="59"/>
    </row>
    <row r="658" spans="1:11" ht="19.5" x14ac:dyDescent="0.55000000000000004">
      <c r="A658" s="93" t="s">
        <v>475</v>
      </c>
      <c r="B658" s="16" t="s">
        <v>634</v>
      </c>
      <c r="C658" s="8">
        <v>63192</v>
      </c>
      <c r="D658" s="9">
        <v>552044490</v>
      </c>
      <c r="E658" s="57">
        <v>45</v>
      </c>
      <c r="F658" s="10" t="s">
        <v>635</v>
      </c>
      <c r="G658" s="98">
        <v>0</v>
      </c>
      <c r="H658" s="9">
        <f t="shared" si="33"/>
        <v>0</v>
      </c>
      <c r="I658" s="11">
        <f t="shared" ca="1" si="34"/>
        <v>46120</v>
      </c>
      <c r="J658" s="11">
        <f t="shared" ca="1" si="35"/>
        <v>46118</v>
      </c>
      <c r="K658" s="59"/>
    </row>
    <row r="659" spans="1:11" ht="18" x14ac:dyDescent="0.4">
      <c r="A659" s="93" t="s">
        <v>475</v>
      </c>
      <c r="B659" s="16" t="s">
        <v>637</v>
      </c>
      <c r="C659" s="8">
        <v>64641</v>
      </c>
      <c r="D659" s="9">
        <v>143253110</v>
      </c>
      <c r="E659" s="57">
        <v>350</v>
      </c>
      <c r="F659" s="10" t="s">
        <v>638</v>
      </c>
      <c r="G659" s="98">
        <v>0</v>
      </c>
      <c r="H659" s="9">
        <f t="shared" si="33"/>
        <v>0</v>
      </c>
      <c r="I659" s="11">
        <f t="shared" ca="1" si="34"/>
        <v>46120</v>
      </c>
      <c r="J659" s="11">
        <f t="shared" ca="1" si="35"/>
        <v>46118</v>
      </c>
      <c r="K659" s="13"/>
    </row>
    <row r="660" spans="1:11" ht="18" x14ac:dyDescent="0.4">
      <c r="A660" s="93" t="s">
        <v>475</v>
      </c>
      <c r="B660" s="16" t="s">
        <v>639</v>
      </c>
      <c r="C660" s="8">
        <v>29928</v>
      </c>
      <c r="D660" s="9">
        <v>400048200</v>
      </c>
      <c r="E660" s="57">
        <v>480</v>
      </c>
      <c r="F660" s="10" t="s">
        <v>593</v>
      </c>
      <c r="G660" s="98">
        <v>0</v>
      </c>
      <c r="H660" s="9">
        <f t="shared" si="33"/>
        <v>0</v>
      </c>
      <c r="I660" s="11">
        <f t="shared" ca="1" si="34"/>
        <v>46120</v>
      </c>
      <c r="J660" s="11">
        <f t="shared" ca="1" si="35"/>
        <v>46118</v>
      </c>
      <c r="K660" s="13"/>
    </row>
    <row r="661" spans="1:11" ht="18" x14ac:dyDescent="0.4">
      <c r="A661" s="93" t="s">
        <v>475</v>
      </c>
      <c r="B661" s="16" t="s">
        <v>640</v>
      </c>
      <c r="C661" s="8">
        <v>68265</v>
      </c>
      <c r="D661" s="9">
        <v>463415970</v>
      </c>
      <c r="E661" s="57">
        <v>360</v>
      </c>
      <c r="F661" s="10" t="s">
        <v>641</v>
      </c>
      <c r="G661" s="98">
        <v>0</v>
      </c>
      <c r="H661" s="9">
        <f t="shared" si="33"/>
        <v>0</v>
      </c>
      <c r="I661" s="11">
        <f t="shared" ca="1" si="34"/>
        <v>46120</v>
      </c>
      <c r="J661" s="11">
        <f t="shared" ca="1" si="35"/>
        <v>46118</v>
      </c>
      <c r="K661" s="13"/>
    </row>
    <row r="662" spans="1:11" ht="18" x14ac:dyDescent="0.4">
      <c r="A662" s="93" t="s">
        <v>475</v>
      </c>
      <c r="B662" s="16" t="s">
        <v>640</v>
      </c>
      <c r="C662" s="8">
        <v>68265</v>
      </c>
      <c r="D662" s="9">
        <v>551914710</v>
      </c>
      <c r="E662" s="57">
        <v>360</v>
      </c>
      <c r="F662" s="10" t="s">
        <v>642</v>
      </c>
      <c r="G662" s="98">
        <v>0</v>
      </c>
      <c r="H662" s="9">
        <f t="shared" si="33"/>
        <v>0</v>
      </c>
      <c r="I662" s="11">
        <f t="shared" ca="1" si="34"/>
        <v>46120</v>
      </c>
      <c r="J662" s="11">
        <f t="shared" ca="1" si="35"/>
        <v>46118</v>
      </c>
      <c r="K662" s="13"/>
    </row>
    <row r="663" spans="1:11" ht="18" x14ac:dyDescent="0.4">
      <c r="A663" s="93" t="s">
        <v>475</v>
      </c>
      <c r="B663" s="16" t="s">
        <v>640</v>
      </c>
      <c r="C663" s="8">
        <v>68265</v>
      </c>
      <c r="D663" s="9">
        <v>552444220</v>
      </c>
      <c r="E663" s="57">
        <v>180</v>
      </c>
      <c r="F663" s="10" t="s">
        <v>641</v>
      </c>
      <c r="G663" s="98">
        <v>0</v>
      </c>
      <c r="H663" s="9">
        <f t="shared" si="33"/>
        <v>0</v>
      </c>
      <c r="I663" s="11">
        <f t="shared" ca="1" si="34"/>
        <v>46120</v>
      </c>
      <c r="J663" s="11">
        <f t="shared" ca="1" si="35"/>
        <v>46118</v>
      </c>
      <c r="K663" s="13"/>
    </row>
    <row r="664" spans="1:11" ht="18" x14ac:dyDescent="0.4">
      <c r="A664" s="93" t="s">
        <v>475</v>
      </c>
      <c r="B664" s="16" t="s">
        <v>640</v>
      </c>
      <c r="C664" s="8">
        <v>68265</v>
      </c>
      <c r="D664" s="9">
        <v>552701450</v>
      </c>
      <c r="E664" s="57">
        <v>360</v>
      </c>
      <c r="F664" s="10" t="s">
        <v>643</v>
      </c>
      <c r="G664" s="98">
        <v>0</v>
      </c>
      <c r="H664" s="9">
        <f t="shared" si="33"/>
        <v>0</v>
      </c>
      <c r="I664" s="11">
        <f t="shared" ca="1" si="34"/>
        <v>46120</v>
      </c>
      <c r="J664" s="11">
        <f t="shared" ca="1" si="35"/>
        <v>46118</v>
      </c>
      <c r="K664" s="13"/>
    </row>
    <row r="665" spans="1:11" ht="18" x14ac:dyDescent="0.4">
      <c r="A665" s="93" t="s">
        <v>475</v>
      </c>
      <c r="B665" s="16" t="s">
        <v>644</v>
      </c>
      <c r="C665" s="8">
        <v>68265</v>
      </c>
      <c r="D665" s="9">
        <v>59999700</v>
      </c>
      <c r="E665" s="57">
        <v>102</v>
      </c>
      <c r="F665" s="10" t="s">
        <v>645</v>
      </c>
      <c r="G665" s="98">
        <v>0</v>
      </c>
      <c r="H665" s="9">
        <f t="shared" si="33"/>
        <v>0</v>
      </c>
      <c r="I665" s="11">
        <f t="shared" ca="1" si="34"/>
        <v>46120</v>
      </c>
      <c r="J665" s="11">
        <f t="shared" ca="1" si="35"/>
        <v>46118</v>
      </c>
      <c r="K665" s="13"/>
    </row>
    <row r="666" spans="1:11" ht="18" x14ac:dyDescent="0.4">
      <c r="A666" s="93" t="s">
        <v>475</v>
      </c>
      <c r="B666" s="16" t="s">
        <v>644</v>
      </c>
      <c r="C666" s="8">
        <v>68265</v>
      </c>
      <c r="D666" s="9">
        <v>75645190</v>
      </c>
      <c r="E666" s="57">
        <v>126</v>
      </c>
      <c r="F666" s="10" t="s">
        <v>646</v>
      </c>
      <c r="G666" s="98">
        <v>0</v>
      </c>
      <c r="H666" s="9">
        <f t="shared" si="33"/>
        <v>0</v>
      </c>
      <c r="I666" s="11">
        <f t="shared" ca="1" si="34"/>
        <v>46120</v>
      </c>
      <c r="J666" s="11">
        <f t="shared" ca="1" si="35"/>
        <v>46118</v>
      </c>
      <c r="K666" s="13"/>
    </row>
    <row r="667" spans="1:11" ht="18" x14ac:dyDescent="0.4">
      <c r="A667" s="93" t="s">
        <v>475</v>
      </c>
      <c r="B667" s="16" t="s">
        <v>644</v>
      </c>
      <c r="C667" s="8">
        <v>68265</v>
      </c>
      <c r="D667" s="9">
        <v>75645290</v>
      </c>
      <c r="E667" s="57">
        <v>144</v>
      </c>
      <c r="F667" s="10" t="s">
        <v>647</v>
      </c>
      <c r="G667" s="98">
        <v>0</v>
      </c>
      <c r="H667" s="9">
        <f t="shared" si="33"/>
        <v>0</v>
      </c>
      <c r="I667" s="11">
        <f t="shared" ca="1" si="34"/>
        <v>46120</v>
      </c>
      <c r="J667" s="11">
        <f t="shared" ca="1" si="35"/>
        <v>46118</v>
      </c>
      <c r="K667" s="13"/>
    </row>
    <row r="668" spans="1:11" ht="18" x14ac:dyDescent="0.4">
      <c r="A668" s="93" t="s">
        <v>475</v>
      </c>
      <c r="B668" s="16" t="s">
        <v>644</v>
      </c>
      <c r="C668" s="8">
        <v>68265</v>
      </c>
      <c r="D668" s="9">
        <v>75756860</v>
      </c>
      <c r="E668" s="57">
        <v>120</v>
      </c>
      <c r="F668" s="10" t="s">
        <v>648</v>
      </c>
      <c r="G668" s="98">
        <v>0</v>
      </c>
      <c r="H668" s="9">
        <f t="shared" si="33"/>
        <v>0</v>
      </c>
      <c r="I668" s="11">
        <f t="shared" ca="1" si="34"/>
        <v>46120</v>
      </c>
      <c r="J668" s="11">
        <f t="shared" ca="1" si="35"/>
        <v>46118</v>
      </c>
      <c r="K668" s="13"/>
    </row>
    <row r="669" spans="1:11" ht="18" x14ac:dyDescent="0.4">
      <c r="A669" s="93" t="s">
        <v>475</v>
      </c>
      <c r="B669" s="16" t="s">
        <v>644</v>
      </c>
      <c r="C669" s="8">
        <v>68265</v>
      </c>
      <c r="D669" s="9">
        <v>75756870</v>
      </c>
      <c r="E669" s="57">
        <v>204</v>
      </c>
      <c r="F669" s="10" t="s">
        <v>649</v>
      </c>
      <c r="G669" s="98">
        <v>0</v>
      </c>
      <c r="H669" s="9">
        <f t="shared" si="33"/>
        <v>0</v>
      </c>
      <c r="I669" s="11">
        <f t="shared" ca="1" si="34"/>
        <v>46120</v>
      </c>
      <c r="J669" s="11">
        <f t="shared" ca="1" si="35"/>
        <v>46118</v>
      </c>
      <c r="K669" s="13"/>
    </row>
    <row r="670" spans="1:11" ht="18" x14ac:dyDescent="0.4">
      <c r="A670" s="93" t="s">
        <v>475</v>
      </c>
      <c r="B670" s="16" t="s">
        <v>644</v>
      </c>
      <c r="C670" s="8">
        <v>68265</v>
      </c>
      <c r="D670" s="9">
        <v>465364600</v>
      </c>
      <c r="E670" s="57">
        <v>90</v>
      </c>
      <c r="F670" s="10" t="s">
        <v>650</v>
      </c>
      <c r="G670" s="98">
        <v>0</v>
      </c>
      <c r="H670" s="9">
        <f t="shared" si="33"/>
        <v>0</v>
      </c>
      <c r="I670" s="11">
        <f t="shared" ca="1" si="34"/>
        <v>46120</v>
      </c>
      <c r="J670" s="11">
        <f t="shared" ca="1" si="35"/>
        <v>46118</v>
      </c>
      <c r="K670" s="13"/>
    </row>
    <row r="671" spans="1:11" ht="18" x14ac:dyDescent="0.4">
      <c r="A671" s="93" t="s">
        <v>475</v>
      </c>
      <c r="B671" s="16" t="s">
        <v>644</v>
      </c>
      <c r="C671" s="8">
        <v>68265</v>
      </c>
      <c r="D671" s="9">
        <v>463457970</v>
      </c>
      <c r="E671" s="57">
        <v>2000</v>
      </c>
      <c r="F671" s="10" t="s">
        <v>651</v>
      </c>
      <c r="G671" s="98">
        <v>0</v>
      </c>
      <c r="H671" s="9">
        <f t="shared" si="33"/>
        <v>0</v>
      </c>
      <c r="I671" s="11">
        <f t="shared" ca="1" si="34"/>
        <v>46120</v>
      </c>
      <c r="J671" s="11">
        <f t="shared" ca="1" si="35"/>
        <v>46118</v>
      </c>
      <c r="K671" s="13"/>
    </row>
    <row r="672" spans="1:11" ht="18" x14ac:dyDescent="0.4">
      <c r="A672" s="93" t="s">
        <v>475</v>
      </c>
      <c r="B672" s="16" t="s">
        <v>644</v>
      </c>
      <c r="C672" s="8">
        <v>68265</v>
      </c>
      <c r="D672" s="9">
        <v>467761980</v>
      </c>
      <c r="E672" s="57">
        <v>96</v>
      </c>
      <c r="F672" s="10" t="s">
        <v>652</v>
      </c>
      <c r="G672" s="98">
        <v>0</v>
      </c>
      <c r="H672" s="9">
        <f t="shared" si="33"/>
        <v>0</v>
      </c>
      <c r="I672" s="11">
        <f t="shared" ca="1" si="34"/>
        <v>46120</v>
      </c>
      <c r="J672" s="11">
        <f t="shared" ca="1" si="35"/>
        <v>46118</v>
      </c>
      <c r="K672" s="13"/>
    </row>
    <row r="673" spans="1:11" ht="18" x14ac:dyDescent="0.4">
      <c r="A673" s="93" t="s">
        <v>475</v>
      </c>
      <c r="B673" s="16" t="s">
        <v>644</v>
      </c>
      <c r="C673" s="8">
        <v>68265</v>
      </c>
      <c r="D673" s="9">
        <v>467984770</v>
      </c>
      <c r="E673" s="57">
        <v>216</v>
      </c>
      <c r="F673" s="10" t="s">
        <v>653</v>
      </c>
      <c r="G673" s="98">
        <v>0</v>
      </c>
      <c r="H673" s="9">
        <f t="shared" si="33"/>
        <v>0</v>
      </c>
      <c r="I673" s="11">
        <f t="shared" ca="1" si="34"/>
        <v>46120</v>
      </c>
      <c r="J673" s="11">
        <f t="shared" ca="1" si="35"/>
        <v>46118</v>
      </c>
      <c r="K673" s="13"/>
    </row>
    <row r="674" spans="1:11" ht="18" x14ac:dyDescent="0.4">
      <c r="A674" s="93" t="s">
        <v>475</v>
      </c>
      <c r="B674" s="16" t="s">
        <v>644</v>
      </c>
      <c r="C674" s="8">
        <v>68265</v>
      </c>
      <c r="D674" s="9">
        <v>552180370</v>
      </c>
      <c r="E674" s="57">
        <v>39</v>
      </c>
      <c r="F674" s="10" t="s">
        <v>654</v>
      </c>
      <c r="G674" s="98">
        <v>0</v>
      </c>
      <c r="H674" s="9">
        <f t="shared" si="33"/>
        <v>0</v>
      </c>
      <c r="I674" s="11">
        <f t="shared" ca="1" si="34"/>
        <v>46120</v>
      </c>
      <c r="J674" s="11">
        <f t="shared" ca="1" si="35"/>
        <v>46118</v>
      </c>
      <c r="K674" s="13"/>
    </row>
    <row r="675" spans="1:11" ht="18" x14ac:dyDescent="0.4">
      <c r="A675" s="93" t="s">
        <v>475</v>
      </c>
      <c r="B675" s="16" t="s">
        <v>644</v>
      </c>
      <c r="C675" s="8">
        <v>68265</v>
      </c>
      <c r="D675" s="9">
        <v>463559990</v>
      </c>
      <c r="E675" s="57">
        <v>102</v>
      </c>
      <c r="F675" s="10" t="s">
        <v>655</v>
      </c>
      <c r="G675" s="98">
        <v>0</v>
      </c>
      <c r="H675" s="9">
        <f t="shared" si="33"/>
        <v>0</v>
      </c>
      <c r="I675" s="11">
        <f t="shared" ca="1" si="34"/>
        <v>46120</v>
      </c>
      <c r="J675" s="11">
        <f t="shared" ca="1" si="35"/>
        <v>46118</v>
      </c>
      <c r="K675" s="13"/>
    </row>
    <row r="676" spans="1:11" ht="18" x14ac:dyDescent="0.4">
      <c r="A676" s="93" t="s">
        <v>475</v>
      </c>
      <c r="B676" s="16" t="s">
        <v>656</v>
      </c>
      <c r="C676" s="8">
        <v>70930</v>
      </c>
      <c r="D676" s="9">
        <v>75095320</v>
      </c>
      <c r="E676" s="57">
        <v>600</v>
      </c>
      <c r="F676" s="10" t="s">
        <v>657</v>
      </c>
      <c r="G676" s="98">
        <v>0</v>
      </c>
      <c r="H676" s="9">
        <f t="shared" si="33"/>
        <v>0</v>
      </c>
      <c r="I676" s="11">
        <f t="shared" ca="1" si="34"/>
        <v>46120</v>
      </c>
      <c r="J676" s="11">
        <f t="shared" ca="1" si="35"/>
        <v>46118</v>
      </c>
      <c r="K676" s="13"/>
    </row>
    <row r="677" spans="1:11" ht="18" x14ac:dyDescent="0.4">
      <c r="A677" s="93" t="s">
        <v>475</v>
      </c>
      <c r="B677" s="16" t="s">
        <v>656</v>
      </c>
      <c r="C677" s="8">
        <v>70930</v>
      </c>
      <c r="D677" s="9">
        <v>75095330</v>
      </c>
      <c r="E677" s="57">
        <v>840</v>
      </c>
      <c r="F677" s="10" t="s">
        <v>658</v>
      </c>
      <c r="G677" s="98">
        <v>0</v>
      </c>
      <c r="H677" s="9">
        <f t="shared" si="33"/>
        <v>0</v>
      </c>
      <c r="I677" s="11">
        <f t="shared" ca="1" si="34"/>
        <v>46120</v>
      </c>
      <c r="J677" s="11">
        <f t="shared" ca="1" si="35"/>
        <v>46118</v>
      </c>
      <c r="K677" s="13"/>
    </row>
    <row r="678" spans="1:11" ht="18" x14ac:dyDescent="0.4">
      <c r="A678" s="93" t="s">
        <v>475</v>
      </c>
      <c r="B678" s="16" t="s">
        <v>656</v>
      </c>
      <c r="C678" s="8">
        <v>70930</v>
      </c>
      <c r="D678" s="9">
        <v>464752630</v>
      </c>
      <c r="E678" s="57">
        <v>3456</v>
      </c>
      <c r="F678" s="10" t="s">
        <v>659</v>
      </c>
      <c r="G678" s="98">
        <v>0</v>
      </c>
      <c r="H678" s="9">
        <f t="shared" si="33"/>
        <v>0</v>
      </c>
      <c r="I678" s="11">
        <f t="shared" ca="1" si="34"/>
        <v>46120</v>
      </c>
      <c r="J678" s="11">
        <f t="shared" ca="1" si="35"/>
        <v>46118</v>
      </c>
      <c r="K678" s="13"/>
    </row>
    <row r="679" spans="1:11" ht="18" x14ac:dyDescent="0.4">
      <c r="A679" s="93" t="s">
        <v>475</v>
      </c>
      <c r="B679" s="16" t="s">
        <v>656</v>
      </c>
      <c r="C679" s="8">
        <v>70930</v>
      </c>
      <c r="D679" s="9">
        <v>464133490</v>
      </c>
      <c r="E679" s="57">
        <v>1152</v>
      </c>
      <c r="F679" s="10" t="s">
        <v>660</v>
      </c>
      <c r="G679" s="98">
        <v>0</v>
      </c>
      <c r="H679" s="9">
        <f t="shared" si="33"/>
        <v>0</v>
      </c>
      <c r="I679" s="11">
        <f t="shared" ca="1" si="34"/>
        <v>46120</v>
      </c>
      <c r="J679" s="11">
        <f t="shared" ca="1" si="35"/>
        <v>46118</v>
      </c>
      <c r="K679" s="13"/>
    </row>
    <row r="680" spans="1:11" ht="18" x14ac:dyDescent="0.4">
      <c r="A680" s="93" t="s">
        <v>475</v>
      </c>
      <c r="B680" s="7" t="s">
        <v>656</v>
      </c>
      <c r="C680" s="8">
        <v>70930</v>
      </c>
      <c r="D680" s="9">
        <v>552261480</v>
      </c>
      <c r="E680" s="57">
        <v>1426</v>
      </c>
      <c r="F680" s="10" t="s">
        <v>661</v>
      </c>
      <c r="G680" s="98">
        <v>0</v>
      </c>
      <c r="H680" s="9">
        <f t="shared" si="33"/>
        <v>0</v>
      </c>
      <c r="I680" s="11">
        <f ca="1">I677</f>
        <v>46120</v>
      </c>
      <c r="J680" s="11">
        <f t="shared" ca="1" si="35"/>
        <v>46118</v>
      </c>
      <c r="K680" s="13"/>
    </row>
    <row r="681" spans="1:11" ht="18" x14ac:dyDescent="0.4">
      <c r="A681" s="93" t="s">
        <v>475</v>
      </c>
      <c r="B681" s="7" t="s">
        <v>656</v>
      </c>
      <c r="C681" s="8">
        <v>70930</v>
      </c>
      <c r="D681" s="9">
        <v>552261490</v>
      </c>
      <c r="E681" s="57">
        <v>1200</v>
      </c>
      <c r="F681" s="10" t="s">
        <v>662</v>
      </c>
      <c r="G681" s="98">
        <v>0</v>
      </c>
      <c r="H681" s="9">
        <f t="shared" si="33"/>
        <v>0</v>
      </c>
      <c r="I681" s="11">
        <f t="shared" ca="1" si="34"/>
        <v>46120</v>
      </c>
      <c r="J681" s="11">
        <f t="shared" ca="1" si="35"/>
        <v>46118</v>
      </c>
      <c r="K681" s="13"/>
    </row>
    <row r="682" spans="1:11" ht="18" x14ac:dyDescent="0.4">
      <c r="A682" s="93" t="s">
        <v>475</v>
      </c>
      <c r="B682" s="7" t="s">
        <v>663</v>
      </c>
      <c r="C682" s="8">
        <v>14872</v>
      </c>
      <c r="D682" s="9">
        <v>77131980</v>
      </c>
      <c r="E682" s="57">
        <v>1000</v>
      </c>
      <c r="F682" s="10" t="s">
        <v>664</v>
      </c>
      <c r="G682" s="98">
        <v>0</v>
      </c>
      <c r="H682" s="9">
        <f t="shared" si="33"/>
        <v>0</v>
      </c>
      <c r="I682" s="11">
        <f t="shared" ca="1" si="34"/>
        <v>46120</v>
      </c>
      <c r="J682" s="11">
        <f t="shared" ca="1" si="35"/>
        <v>46118</v>
      </c>
      <c r="K682" s="13"/>
    </row>
    <row r="683" spans="1:11" ht="18" x14ac:dyDescent="0.4">
      <c r="A683" s="93" t="s">
        <v>475</v>
      </c>
      <c r="B683" s="7" t="s">
        <v>663</v>
      </c>
      <c r="C683" s="8">
        <v>14872</v>
      </c>
      <c r="D683" s="9">
        <v>552759150</v>
      </c>
      <c r="E683" s="57">
        <v>1000</v>
      </c>
      <c r="F683" s="10" t="s">
        <v>664</v>
      </c>
      <c r="G683" s="98">
        <v>0</v>
      </c>
      <c r="H683" s="9">
        <f t="shared" si="33"/>
        <v>0</v>
      </c>
      <c r="I683" s="11">
        <f t="shared" ca="1" si="34"/>
        <v>46120</v>
      </c>
      <c r="J683" s="11">
        <f t="shared" ca="1" si="35"/>
        <v>46118</v>
      </c>
      <c r="K683" s="13"/>
    </row>
    <row r="684" spans="1:11" ht="18" x14ac:dyDescent="0.4">
      <c r="A684" s="93" t="s">
        <v>475</v>
      </c>
      <c r="B684" s="7" t="s">
        <v>663</v>
      </c>
      <c r="C684" s="8">
        <v>14872</v>
      </c>
      <c r="D684" s="9">
        <v>77289810</v>
      </c>
      <c r="E684" s="57">
        <v>400</v>
      </c>
      <c r="F684" s="10" t="s">
        <v>665</v>
      </c>
      <c r="G684" s="98">
        <v>0</v>
      </c>
      <c r="H684" s="9">
        <f t="shared" si="33"/>
        <v>0</v>
      </c>
      <c r="I684" s="11">
        <f ca="1">I682</f>
        <v>46120</v>
      </c>
      <c r="J684" s="11">
        <f t="shared" ca="1" si="35"/>
        <v>46118</v>
      </c>
      <c r="K684" s="13"/>
    </row>
    <row r="685" spans="1:11" ht="18" x14ac:dyDescent="0.4">
      <c r="A685" s="93" t="s">
        <v>475</v>
      </c>
      <c r="B685" s="7" t="s">
        <v>663</v>
      </c>
      <c r="C685" s="8">
        <v>14872</v>
      </c>
      <c r="D685" s="9">
        <v>77289820</v>
      </c>
      <c r="E685" s="57">
        <v>400</v>
      </c>
      <c r="F685" s="10" t="s">
        <v>666</v>
      </c>
      <c r="G685" s="98">
        <v>0</v>
      </c>
      <c r="H685" s="9">
        <f t="shared" si="33"/>
        <v>0</v>
      </c>
      <c r="I685" s="11">
        <f t="shared" ca="1" si="34"/>
        <v>46120</v>
      </c>
      <c r="J685" s="11">
        <f t="shared" ca="1" si="35"/>
        <v>46118</v>
      </c>
      <c r="K685" s="13"/>
    </row>
    <row r="686" spans="1:11" ht="18" x14ac:dyDescent="0.4">
      <c r="A686" s="93" t="s">
        <v>475</v>
      </c>
      <c r="B686" s="7" t="s">
        <v>663</v>
      </c>
      <c r="C686" s="8">
        <v>14872</v>
      </c>
      <c r="D686" s="9">
        <v>77289830</v>
      </c>
      <c r="E686" s="57">
        <v>400</v>
      </c>
      <c r="F686" s="10" t="s">
        <v>667</v>
      </c>
      <c r="G686" s="98">
        <v>0</v>
      </c>
      <c r="H686" s="9">
        <f t="shared" si="33"/>
        <v>0</v>
      </c>
      <c r="I686" s="11">
        <f t="shared" ca="1" si="34"/>
        <v>46120</v>
      </c>
      <c r="J686" s="11">
        <f t="shared" ca="1" si="35"/>
        <v>46118</v>
      </c>
      <c r="K686" s="13"/>
    </row>
    <row r="687" spans="1:11" ht="18" x14ac:dyDescent="0.4">
      <c r="A687" s="93" t="s">
        <v>475</v>
      </c>
      <c r="B687" s="7" t="s">
        <v>663</v>
      </c>
      <c r="C687" s="8">
        <v>14872</v>
      </c>
      <c r="D687" s="9">
        <v>77289840</v>
      </c>
      <c r="E687" s="57">
        <v>200</v>
      </c>
      <c r="F687" s="10" t="s">
        <v>668</v>
      </c>
      <c r="G687" s="98">
        <v>0</v>
      </c>
      <c r="H687" s="9">
        <f t="shared" ref="H687:H715" si="36">G687/E687</f>
        <v>0</v>
      </c>
      <c r="I687" s="11">
        <f t="shared" ca="1" si="34"/>
        <v>46120</v>
      </c>
      <c r="J687" s="11">
        <f t="shared" ca="1" si="35"/>
        <v>46118</v>
      </c>
      <c r="K687" s="13"/>
    </row>
    <row r="688" spans="1:11" ht="18" x14ac:dyDescent="0.4">
      <c r="A688" s="93" t="s">
        <v>475</v>
      </c>
      <c r="B688" s="7" t="s">
        <v>663</v>
      </c>
      <c r="C688" s="8">
        <v>14872</v>
      </c>
      <c r="D688" s="9">
        <v>77289850</v>
      </c>
      <c r="E688" s="57">
        <v>200</v>
      </c>
      <c r="F688" s="10" t="s">
        <v>669</v>
      </c>
      <c r="G688" s="98">
        <v>0</v>
      </c>
      <c r="H688" s="9">
        <f t="shared" si="36"/>
        <v>0</v>
      </c>
      <c r="I688" s="11">
        <f t="shared" ca="1" si="34"/>
        <v>46120</v>
      </c>
      <c r="J688" s="11">
        <f t="shared" ca="1" si="35"/>
        <v>46118</v>
      </c>
      <c r="K688" s="13"/>
    </row>
    <row r="689" spans="1:11" ht="18" x14ac:dyDescent="0.4">
      <c r="A689" s="93" t="s">
        <v>475</v>
      </c>
      <c r="B689" s="7" t="s">
        <v>663</v>
      </c>
      <c r="C689" s="8">
        <v>14872</v>
      </c>
      <c r="D689" s="9">
        <v>77289860</v>
      </c>
      <c r="E689" s="57">
        <v>150</v>
      </c>
      <c r="F689" s="10" t="s">
        <v>670</v>
      </c>
      <c r="G689" s="98">
        <v>0</v>
      </c>
      <c r="H689" s="9">
        <f t="shared" si="36"/>
        <v>0</v>
      </c>
      <c r="I689" s="11">
        <f t="shared" ca="1" si="34"/>
        <v>46120</v>
      </c>
      <c r="J689" s="11">
        <f t="shared" ca="1" si="35"/>
        <v>46118</v>
      </c>
      <c r="K689" s="13"/>
    </row>
    <row r="690" spans="1:11" ht="18" x14ac:dyDescent="0.4">
      <c r="A690" s="93" t="s">
        <v>475</v>
      </c>
      <c r="B690" s="7" t="s">
        <v>663</v>
      </c>
      <c r="C690" s="8">
        <v>14872</v>
      </c>
      <c r="D690" s="9">
        <v>77289870</v>
      </c>
      <c r="E690" s="57">
        <v>400</v>
      </c>
      <c r="F690" s="10" t="s">
        <v>671</v>
      </c>
      <c r="G690" s="98">
        <v>0</v>
      </c>
      <c r="H690" s="9">
        <f t="shared" si="36"/>
        <v>0</v>
      </c>
      <c r="I690" s="11">
        <f t="shared" ca="1" si="34"/>
        <v>46120</v>
      </c>
      <c r="J690" s="11">
        <f t="shared" ca="1" si="35"/>
        <v>46118</v>
      </c>
      <c r="K690" s="13"/>
    </row>
    <row r="691" spans="1:11" ht="18" x14ac:dyDescent="0.4">
      <c r="A691" s="93" t="s">
        <v>475</v>
      </c>
      <c r="B691" s="7" t="s">
        <v>663</v>
      </c>
      <c r="C691" s="8">
        <v>14872</v>
      </c>
      <c r="D691" s="9">
        <v>77894040</v>
      </c>
      <c r="E691" s="57">
        <v>200</v>
      </c>
      <c r="F691" s="10" t="s">
        <v>672</v>
      </c>
      <c r="G691" s="98">
        <v>0</v>
      </c>
      <c r="H691" s="9">
        <f t="shared" si="36"/>
        <v>0</v>
      </c>
      <c r="I691" s="11">
        <f t="shared" ca="1" si="34"/>
        <v>46120</v>
      </c>
      <c r="J691" s="11">
        <f t="shared" ca="1" si="35"/>
        <v>46118</v>
      </c>
      <c r="K691" s="13"/>
    </row>
    <row r="692" spans="1:11" ht="18" x14ac:dyDescent="0.4">
      <c r="A692" s="93" t="s">
        <v>475</v>
      </c>
      <c r="B692" s="7" t="s">
        <v>663</v>
      </c>
      <c r="C692" s="8">
        <v>14872</v>
      </c>
      <c r="D692" s="9">
        <v>77894530</v>
      </c>
      <c r="E692" s="57">
        <v>400</v>
      </c>
      <c r="F692" s="10" t="s">
        <v>673</v>
      </c>
      <c r="G692" s="98">
        <v>0</v>
      </c>
      <c r="H692" s="9">
        <f t="shared" si="36"/>
        <v>0</v>
      </c>
      <c r="I692" s="11">
        <f t="shared" ca="1" si="34"/>
        <v>46120</v>
      </c>
      <c r="J692" s="11">
        <f t="shared" ca="1" si="35"/>
        <v>46118</v>
      </c>
      <c r="K692" s="13"/>
    </row>
    <row r="693" spans="1:11" ht="18" x14ac:dyDescent="0.4">
      <c r="A693" s="93" t="s">
        <v>475</v>
      </c>
      <c r="B693" s="7" t="s">
        <v>663</v>
      </c>
      <c r="C693" s="8">
        <v>14872</v>
      </c>
      <c r="D693" s="9">
        <v>77894540</v>
      </c>
      <c r="E693" s="57">
        <v>480</v>
      </c>
      <c r="F693" s="10" t="s">
        <v>674</v>
      </c>
      <c r="G693" s="98">
        <v>0</v>
      </c>
      <c r="H693" s="9">
        <f t="shared" si="36"/>
        <v>0</v>
      </c>
      <c r="I693" s="11">
        <f t="shared" ref="I693:I715" ca="1" si="37">I692</f>
        <v>46120</v>
      </c>
      <c r="J693" s="11">
        <f t="shared" ca="1" si="35"/>
        <v>46118</v>
      </c>
      <c r="K693" s="13"/>
    </row>
    <row r="694" spans="1:11" ht="18" x14ac:dyDescent="0.4">
      <c r="A694" s="93" t="s">
        <v>475</v>
      </c>
      <c r="B694" s="7" t="s">
        <v>663</v>
      </c>
      <c r="C694" s="8">
        <v>14872</v>
      </c>
      <c r="D694" s="9">
        <v>77894550</v>
      </c>
      <c r="E694" s="57">
        <v>400</v>
      </c>
      <c r="F694" s="10" t="s">
        <v>675</v>
      </c>
      <c r="G694" s="98">
        <v>0</v>
      </c>
      <c r="H694" s="9">
        <f t="shared" si="36"/>
        <v>0</v>
      </c>
      <c r="I694" s="11">
        <f t="shared" ca="1" si="37"/>
        <v>46120</v>
      </c>
      <c r="J694" s="11">
        <f t="shared" ca="1" si="35"/>
        <v>46118</v>
      </c>
      <c r="K694" s="13"/>
    </row>
    <row r="695" spans="1:11" ht="18" x14ac:dyDescent="0.4">
      <c r="A695" s="93" t="s">
        <v>475</v>
      </c>
      <c r="B695" s="7" t="s">
        <v>663</v>
      </c>
      <c r="C695" s="8">
        <v>14872</v>
      </c>
      <c r="D695" s="9">
        <v>77894560</v>
      </c>
      <c r="E695" s="57">
        <v>400</v>
      </c>
      <c r="F695" s="10" t="s">
        <v>676</v>
      </c>
      <c r="G695" s="98">
        <v>0</v>
      </c>
      <c r="H695" s="9">
        <f t="shared" si="36"/>
        <v>0</v>
      </c>
      <c r="I695" s="11">
        <f t="shared" ca="1" si="37"/>
        <v>46120</v>
      </c>
      <c r="J695" s="11">
        <f t="shared" ca="1" si="35"/>
        <v>46118</v>
      </c>
      <c r="K695" s="13"/>
    </row>
    <row r="696" spans="1:11" ht="18" x14ac:dyDescent="0.4">
      <c r="A696" s="93" t="s">
        <v>475</v>
      </c>
      <c r="B696" s="7" t="s">
        <v>663</v>
      </c>
      <c r="C696" s="8">
        <v>14872</v>
      </c>
      <c r="D696" s="9">
        <v>77894570</v>
      </c>
      <c r="E696" s="57">
        <v>400</v>
      </c>
      <c r="F696" s="10" t="s">
        <v>677</v>
      </c>
      <c r="G696" s="98">
        <v>0</v>
      </c>
      <c r="H696" s="9">
        <f t="shared" si="36"/>
        <v>0</v>
      </c>
      <c r="I696" s="11">
        <f t="shared" ca="1" si="37"/>
        <v>46120</v>
      </c>
      <c r="J696" s="11">
        <f t="shared" ca="1" si="35"/>
        <v>46118</v>
      </c>
      <c r="K696" s="13"/>
    </row>
    <row r="697" spans="1:11" ht="18" x14ac:dyDescent="0.4">
      <c r="A697" s="93" t="s">
        <v>475</v>
      </c>
      <c r="B697" s="7" t="s">
        <v>663</v>
      </c>
      <c r="C697" s="8">
        <v>14872</v>
      </c>
      <c r="D697" s="9">
        <v>102980600</v>
      </c>
      <c r="E697" s="57">
        <v>2000</v>
      </c>
      <c r="F697" s="10" t="s">
        <v>678</v>
      </c>
      <c r="G697" s="98">
        <v>0</v>
      </c>
      <c r="H697" s="9">
        <f t="shared" si="36"/>
        <v>0</v>
      </c>
      <c r="I697" s="11">
        <f t="shared" ca="1" si="37"/>
        <v>46120</v>
      </c>
      <c r="J697" s="11">
        <f t="shared" ca="1" si="35"/>
        <v>46118</v>
      </c>
      <c r="K697" s="13"/>
    </row>
    <row r="698" spans="1:11" ht="18" x14ac:dyDescent="0.4">
      <c r="A698" s="93" t="s">
        <v>475</v>
      </c>
      <c r="B698" s="16" t="s">
        <v>663</v>
      </c>
      <c r="C698" s="8">
        <v>14872</v>
      </c>
      <c r="D698" s="9">
        <v>126444210</v>
      </c>
      <c r="E698" s="57">
        <v>450</v>
      </c>
      <c r="F698" s="10" t="s">
        <v>679</v>
      </c>
      <c r="G698" s="98">
        <v>0</v>
      </c>
      <c r="H698" s="9">
        <f t="shared" si="36"/>
        <v>0</v>
      </c>
      <c r="I698" s="11">
        <f t="shared" ca="1" si="37"/>
        <v>46120</v>
      </c>
      <c r="J698" s="11">
        <f t="shared" ca="1" si="35"/>
        <v>46118</v>
      </c>
      <c r="K698" s="13"/>
    </row>
    <row r="699" spans="1:11" ht="18" x14ac:dyDescent="0.4">
      <c r="A699" s="93" t="s">
        <v>475</v>
      </c>
      <c r="B699" s="16" t="s">
        <v>663</v>
      </c>
      <c r="C699" s="8">
        <v>14872</v>
      </c>
      <c r="D699" s="9">
        <v>552738480</v>
      </c>
      <c r="E699" s="57">
        <v>300</v>
      </c>
      <c r="F699" s="10" t="s">
        <v>680</v>
      </c>
      <c r="G699" s="98">
        <v>0</v>
      </c>
      <c r="H699" s="9">
        <f t="shared" si="36"/>
        <v>0</v>
      </c>
      <c r="I699" s="11">
        <f t="shared" ca="1" si="37"/>
        <v>46120</v>
      </c>
      <c r="J699" s="11">
        <f t="shared" ca="1" si="35"/>
        <v>46118</v>
      </c>
      <c r="K699" s="13"/>
    </row>
    <row r="700" spans="1:11" ht="18" x14ac:dyDescent="0.4">
      <c r="A700" s="93" t="s">
        <v>475</v>
      </c>
      <c r="B700" s="16" t="s">
        <v>681</v>
      </c>
      <c r="C700" s="8">
        <v>61950</v>
      </c>
      <c r="D700" s="9">
        <v>551942240</v>
      </c>
      <c r="E700" s="57">
        <v>100</v>
      </c>
      <c r="F700" s="10" t="s">
        <v>682</v>
      </c>
      <c r="G700" s="98">
        <v>0</v>
      </c>
      <c r="H700" s="9">
        <f t="shared" si="36"/>
        <v>0</v>
      </c>
      <c r="I700" s="11">
        <f t="shared" ca="1" si="37"/>
        <v>46120</v>
      </c>
      <c r="J700" s="11">
        <f t="shared" ca="1" si="35"/>
        <v>46118</v>
      </c>
      <c r="K700" s="13"/>
    </row>
    <row r="701" spans="1:11" ht="18" x14ac:dyDescent="0.4">
      <c r="A701" s="93" t="s">
        <v>475</v>
      </c>
      <c r="B701" s="16" t="s">
        <v>681</v>
      </c>
      <c r="C701" s="8">
        <v>61950</v>
      </c>
      <c r="D701" s="9">
        <v>552110600</v>
      </c>
      <c r="E701" s="57">
        <v>100</v>
      </c>
      <c r="F701" s="10" t="s">
        <v>682</v>
      </c>
      <c r="G701" s="98">
        <v>0</v>
      </c>
      <c r="H701" s="9">
        <f t="shared" si="36"/>
        <v>0</v>
      </c>
      <c r="I701" s="11">
        <f t="shared" ca="1" si="37"/>
        <v>46120</v>
      </c>
      <c r="J701" s="11">
        <f t="shared" ca="1" si="35"/>
        <v>46118</v>
      </c>
      <c r="K701" s="13"/>
    </row>
    <row r="702" spans="1:11" ht="18" x14ac:dyDescent="0.4">
      <c r="A702" s="93" t="s">
        <v>475</v>
      </c>
      <c r="B702" s="16" t="s">
        <v>683</v>
      </c>
      <c r="C702" s="8">
        <v>43317</v>
      </c>
      <c r="D702" s="9">
        <v>76047570</v>
      </c>
      <c r="E702" s="57">
        <v>684</v>
      </c>
      <c r="F702" s="10" t="s">
        <v>612</v>
      </c>
      <c r="G702" s="98">
        <v>0</v>
      </c>
      <c r="H702" s="9">
        <f t="shared" si="36"/>
        <v>0</v>
      </c>
      <c r="I702" s="11">
        <f t="shared" ca="1" si="37"/>
        <v>46120</v>
      </c>
      <c r="J702" s="11">
        <f t="shared" ca="1" si="35"/>
        <v>46118</v>
      </c>
      <c r="K702" s="13"/>
    </row>
    <row r="703" spans="1:11" ht="18" x14ac:dyDescent="0.4">
      <c r="A703" s="93" t="s">
        <v>475</v>
      </c>
      <c r="B703" s="7" t="s">
        <v>684</v>
      </c>
      <c r="C703" s="8">
        <v>41341</v>
      </c>
      <c r="D703" s="9">
        <v>75530320</v>
      </c>
      <c r="E703" s="57">
        <v>2500</v>
      </c>
      <c r="F703" s="10" t="s">
        <v>685</v>
      </c>
      <c r="G703" s="98">
        <v>0</v>
      </c>
      <c r="H703" s="9">
        <f t="shared" si="36"/>
        <v>0</v>
      </c>
      <c r="I703" s="11">
        <f t="shared" ca="1" si="37"/>
        <v>46120</v>
      </c>
      <c r="J703" s="11">
        <f t="shared" ca="1" si="35"/>
        <v>46118</v>
      </c>
      <c r="K703" s="13"/>
    </row>
    <row r="704" spans="1:11" ht="18" x14ac:dyDescent="0.4">
      <c r="A704" s="93" t="s">
        <v>475</v>
      </c>
      <c r="B704" s="7" t="s">
        <v>684</v>
      </c>
      <c r="C704" s="7">
        <v>41341</v>
      </c>
      <c r="D704" s="9">
        <v>464384590</v>
      </c>
      <c r="E704" s="57">
        <v>1200</v>
      </c>
      <c r="F704" s="19" t="s">
        <v>686</v>
      </c>
      <c r="G704" s="98">
        <v>0</v>
      </c>
      <c r="H704" s="9">
        <f t="shared" si="36"/>
        <v>0</v>
      </c>
      <c r="I704" s="11">
        <f t="shared" ca="1" si="37"/>
        <v>46120</v>
      </c>
      <c r="J704" s="11">
        <f t="shared" ca="1" si="35"/>
        <v>46118</v>
      </c>
      <c r="K704" s="8"/>
    </row>
    <row r="705" spans="1:11" ht="18" x14ac:dyDescent="0.4">
      <c r="A705" s="93" t="s">
        <v>475</v>
      </c>
      <c r="B705" s="7" t="s">
        <v>684</v>
      </c>
      <c r="C705" s="7">
        <v>41341</v>
      </c>
      <c r="D705" s="9">
        <v>552153790</v>
      </c>
      <c r="E705" s="57">
        <v>150</v>
      </c>
      <c r="F705" s="19" t="s">
        <v>687</v>
      </c>
      <c r="G705" s="98">
        <v>0</v>
      </c>
      <c r="H705" s="9">
        <f t="shared" si="36"/>
        <v>0</v>
      </c>
      <c r="I705" s="36">
        <f t="shared" ca="1" si="37"/>
        <v>46120</v>
      </c>
      <c r="J705" s="36">
        <f t="shared" ca="1" si="35"/>
        <v>46118</v>
      </c>
      <c r="K705" s="8"/>
    </row>
    <row r="706" spans="1:11" ht="18" x14ac:dyDescent="0.4">
      <c r="A706" s="27" t="s">
        <v>475</v>
      </c>
      <c r="B706" s="28" t="s">
        <v>200</v>
      </c>
      <c r="C706" s="28">
        <v>1073</v>
      </c>
      <c r="D706" s="29">
        <v>552795241</v>
      </c>
      <c r="E706" s="68">
        <v>28</v>
      </c>
      <c r="F706" s="30" t="s">
        <v>688</v>
      </c>
      <c r="G706" s="9">
        <v>0</v>
      </c>
      <c r="H706" s="29">
        <f t="shared" si="36"/>
        <v>0</v>
      </c>
      <c r="I706" s="11">
        <f t="shared" ca="1" si="37"/>
        <v>46120</v>
      </c>
      <c r="J706" s="11">
        <f t="shared" ca="1" si="35"/>
        <v>46118</v>
      </c>
      <c r="K706" s="31"/>
    </row>
    <row r="707" spans="1:11" ht="18" x14ac:dyDescent="0.4">
      <c r="A707" s="7" t="s">
        <v>475</v>
      </c>
      <c r="B707" s="7" t="s">
        <v>200</v>
      </c>
      <c r="C707" s="7">
        <v>1073</v>
      </c>
      <c r="D707" s="9">
        <v>552649671</v>
      </c>
      <c r="E707" s="57">
        <v>48</v>
      </c>
      <c r="F707" s="19" t="s">
        <v>689</v>
      </c>
      <c r="G707" s="9">
        <v>0</v>
      </c>
      <c r="H707" s="9">
        <f t="shared" si="36"/>
        <v>0</v>
      </c>
      <c r="I707" s="11">
        <f t="shared" ca="1" si="37"/>
        <v>46120</v>
      </c>
      <c r="J707" s="11">
        <f t="shared" ca="1" si="35"/>
        <v>46118</v>
      </c>
      <c r="K707" s="13"/>
    </row>
    <row r="708" spans="1:11" ht="18" x14ac:dyDescent="0.4">
      <c r="A708" s="7" t="s">
        <v>475</v>
      </c>
      <c r="B708" s="7" t="s">
        <v>200</v>
      </c>
      <c r="C708" s="7">
        <v>1073</v>
      </c>
      <c r="D708" s="9">
        <v>463516451</v>
      </c>
      <c r="E708" s="57">
        <v>28</v>
      </c>
      <c r="F708" s="96" t="s">
        <v>690</v>
      </c>
      <c r="G708" s="9">
        <v>0</v>
      </c>
      <c r="H708" s="9">
        <f t="shared" si="36"/>
        <v>0</v>
      </c>
      <c r="I708" s="11">
        <f t="shared" ca="1" si="37"/>
        <v>46120</v>
      </c>
      <c r="J708" s="11">
        <f t="shared" ca="1" si="35"/>
        <v>46118</v>
      </c>
      <c r="K708" s="13"/>
    </row>
    <row r="709" spans="1:11" ht="18" x14ac:dyDescent="0.4">
      <c r="A709" s="7" t="s">
        <v>475</v>
      </c>
      <c r="B709" s="7" t="s">
        <v>200</v>
      </c>
      <c r="C709" s="7">
        <v>1073</v>
      </c>
      <c r="D709" s="9">
        <v>552649651</v>
      </c>
      <c r="E709" s="57">
        <v>24</v>
      </c>
      <c r="F709" s="19" t="s">
        <v>691</v>
      </c>
      <c r="G709" s="9">
        <v>0</v>
      </c>
      <c r="H709" s="9">
        <f t="shared" si="36"/>
        <v>0</v>
      </c>
      <c r="I709" s="11">
        <f t="shared" ca="1" si="37"/>
        <v>46120</v>
      </c>
      <c r="J709" s="11">
        <f t="shared" ca="1" si="35"/>
        <v>46118</v>
      </c>
      <c r="K709" s="8"/>
    </row>
    <row r="710" spans="1:11" ht="18" x14ac:dyDescent="0.4">
      <c r="A710" s="7" t="s">
        <v>475</v>
      </c>
      <c r="B710" s="7" t="s">
        <v>200</v>
      </c>
      <c r="C710" s="7">
        <v>1073</v>
      </c>
      <c r="D710" s="9">
        <v>463471951</v>
      </c>
      <c r="E710" s="57">
        <v>48</v>
      </c>
      <c r="F710" s="19" t="s">
        <v>692</v>
      </c>
      <c r="G710" s="9">
        <v>0</v>
      </c>
      <c r="H710" s="9">
        <f t="shared" si="36"/>
        <v>0</v>
      </c>
      <c r="I710" s="11">
        <f t="shared" ca="1" si="37"/>
        <v>46120</v>
      </c>
      <c r="J710" s="11">
        <f t="shared" ca="1" si="35"/>
        <v>46118</v>
      </c>
      <c r="K710" s="8"/>
    </row>
    <row r="711" spans="1:11" ht="18" x14ac:dyDescent="0.4">
      <c r="A711" s="7" t="s">
        <v>475</v>
      </c>
      <c r="B711" s="7" t="s">
        <v>452</v>
      </c>
      <c r="C711" s="7">
        <v>56589</v>
      </c>
      <c r="D711" s="9">
        <v>976510460</v>
      </c>
      <c r="E711" s="57">
        <v>30</v>
      </c>
      <c r="F711" s="19" t="s">
        <v>693</v>
      </c>
      <c r="G711" s="9">
        <v>0</v>
      </c>
      <c r="H711" s="9">
        <f t="shared" si="36"/>
        <v>0</v>
      </c>
      <c r="I711" s="11">
        <f t="shared" ca="1" si="37"/>
        <v>46120</v>
      </c>
      <c r="J711" s="11">
        <f t="shared" ca="1" si="35"/>
        <v>46118</v>
      </c>
      <c r="K711" s="8"/>
    </row>
    <row r="712" spans="1:11" ht="18" x14ac:dyDescent="0.4">
      <c r="A712" s="7" t="s">
        <v>475</v>
      </c>
      <c r="B712" s="7" t="s">
        <v>452</v>
      </c>
      <c r="C712" s="7">
        <v>56589</v>
      </c>
      <c r="D712" s="9">
        <v>976510450</v>
      </c>
      <c r="E712" s="57">
        <v>50</v>
      </c>
      <c r="F712" s="19" t="s">
        <v>694</v>
      </c>
      <c r="G712" s="9">
        <v>0</v>
      </c>
      <c r="H712" s="9">
        <f t="shared" si="36"/>
        <v>0</v>
      </c>
      <c r="I712" s="11">
        <f t="shared" ca="1" si="37"/>
        <v>46120</v>
      </c>
      <c r="J712" s="11">
        <f t="shared" ca="1" si="35"/>
        <v>46118</v>
      </c>
      <c r="K712" s="8"/>
    </row>
    <row r="713" spans="1:11" ht="18" x14ac:dyDescent="0.4">
      <c r="A713" s="7" t="s">
        <v>475</v>
      </c>
      <c r="B713" s="7" t="s">
        <v>452</v>
      </c>
      <c r="C713" s="7">
        <v>56589</v>
      </c>
      <c r="D713" s="9">
        <v>463528128</v>
      </c>
      <c r="E713" s="57">
        <v>50</v>
      </c>
      <c r="F713" s="96" t="s">
        <v>695</v>
      </c>
      <c r="G713" s="9">
        <v>0</v>
      </c>
      <c r="H713" s="9">
        <f t="shared" si="36"/>
        <v>0</v>
      </c>
      <c r="I713" s="11">
        <f t="shared" ca="1" si="37"/>
        <v>46120</v>
      </c>
      <c r="J713" s="11">
        <f t="shared" ref="J713:J715" ca="1" si="38">TODAY()</f>
        <v>46118</v>
      </c>
      <c r="K713" s="8"/>
    </row>
    <row r="714" spans="1:11" ht="18" x14ac:dyDescent="0.4">
      <c r="A714" s="7" t="s">
        <v>475</v>
      </c>
      <c r="B714" s="7" t="s">
        <v>452</v>
      </c>
      <c r="C714" s="7">
        <v>56589</v>
      </c>
      <c r="D714" s="9">
        <v>552553318</v>
      </c>
      <c r="E714" s="57">
        <v>30</v>
      </c>
      <c r="F714" s="19" t="s">
        <v>688</v>
      </c>
      <c r="G714" s="9">
        <v>0</v>
      </c>
      <c r="H714" s="9">
        <f t="shared" si="36"/>
        <v>0</v>
      </c>
      <c r="I714" s="11">
        <f t="shared" ca="1" si="37"/>
        <v>46120</v>
      </c>
      <c r="J714" s="11">
        <f t="shared" ca="1" si="38"/>
        <v>46118</v>
      </c>
      <c r="K714" s="8"/>
    </row>
    <row r="715" spans="1:11" ht="18" x14ac:dyDescent="0.4">
      <c r="A715" s="7" t="s">
        <v>475</v>
      </c>
      <c r="B715" s="7" t="s">
        <v>452</v>
      </c>
      <c r="C715" s="7">
        <v>56589</v>
      </c>
      <c r="D715" s="9">
        <v>463530718</v>
      </c>
      <c r="E715" s="57">
        <v>30</v>
      </c>
      <c r="F715" s="96" t="s">
        <v>696</v>
      </c>
      <c r="G715" s="9">
        <v>0</v>
      </c>
      <c r="H715" s="9">
        <f t="shared" si="36"/>
        <v>0</v>
      </c>
      <c r="I715" s="11">
        <f t="shared" ca="1" si="37"/>
        <v>46120</v>
      </c>
      <c r="J715" s="11">
        <f t="shared" ca="1" si="38"/>
        <v>46118</v>
      </c>
      <c r="K715" s="8"/>
    </row>
    <row r="716" spans="1:11" ht="18" x14ac:dyDescent="0.4">
      <c r="A716" s="20"/>
      <c r="B716" s="16"/>
      <c r="C716" s="16"/>
      <c r="D716" s="9"/>
      <c r="E716" s="63"/>
      <c r="F716" s="16"/>
      <c r="G716" s="16"/>
      <c r="H716" s="16"/>
      <c r="I716" s="11"/>
      <c r="J716" s="16"/>
      <c r="K716" s="21"/>
    </row>
    <row r="717" spans="1:11" ht="18" x14ac:dyDescent="0.4">
      <c r="A717" s="20"/>
      <c r="B717" s="16"/>
      <c r="C717" s="16"/>
      <c r="D717" s="9"/>
      <c r="E717" s="63"/>
      <c r="F717" s="16"/>
      <c r="G717" s="16"/>
      <c r="H717" s="16"/>
      <c r="I717" s="16"/>
      <c r="J717" s="16"/>
      <c r="K717" s="21"/>
    </row>
    <row r="718" spans="1:11" ht="18" x14ac:dyDescent="0.4">
      <c r="A718" s="20"/>
      <c r="B718" s="16"/>
      <c r="C718" s="16"/>
      <c r="D718" s="9"/>
      <c r="E718" s="63"/>
      <c r="F718" s="16"/>
      <c r="G718" s="16"/>
      <c r="H718" s="16"/>
      <c r="I718" s="16"/>
      <c r="J718" s="16"/>
      <c r="K718" s="21"/>
    </row>
    <row r="719" spans="1:11" ht="18" x14ac:dyDescent="0.4">
      <c r="A719" s="20"/>
      <c r="B719" s="16"/>
      <c r="C719" s="16"/>
      <c r="D719" s="9"/>
      <c r="E719" s="63"/>
      <c r="F719" s="16"/>
      <c r="G719" s="16"/>
      <c r="H719" s="16"/>
      <c r="I719" s="16"/>
      <c r="J719" s="16"/>
      <c r="K719" s="21"/>
    </row>
    <row r="720" spans="1:11" ht="18" x14ac:dyDescent="0.4">
      <c r="A720" s="20"/>
      <c r="B720" s="16"/>
      <c r="C720" s="16"/>
      <c r="D720" s="9"/>
      <c r="E720" s="63"/>
      <c r="F720" s="16"/>
      <c r="G720" s="16"/>
      <c r="H720" s="16"/>
      <c r="I720" s="16"/>
      <c r="J720" s="16"/>
      <c r="K720" s="21"/>
    </row>
    <row r="721" spans="1:11" ht="18" x14ac:dyDescent="0.4">
      <c r="A721" s="20"/>
      <c r="B721" s="16"/>
      <c r="C721" s="16"/>
      <c r="D721" s="9"/>
      <c r="E721" s="63"/>
      <c r="F721" s="16"/>
      <c r="G721" s="16"/>
      <c r="H721" s="16"/>
      <c r="I721" s="16"/>
      <c r="J721" s="16"/>
      <c r="K721" s="21"/>
    </row>
    <row r="722" spans="1:11" ht="18" x14ac:dyDescent="0.4">
      <c r="A722" s="20"/>
      <c r="B722" s="16"/>
      <c r="C722" s="16"/>
      <c r="D722" s="9"/>
      <c r="E722" s="63"/>
      <c r="F722" s="16"/>
      <c r="G722" s="16"/>
      <c r="H722" s="16"/>
      <c r="I722" s="16"/>
      <c r="J722" s="16"/>
      <c r="K722" s="21"/>
    </row>
    <row r="723" spans="1:11" ht="18" x14ac:dyDescent="0.4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1" ht="18" x14ac:dyDescent="0.4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1" ht="18" x14ac:dyDescent="0.4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1" ht="18" x14ac:dyDescent="0.4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1" ht="18" x14ac:dyDescent="0.4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1" ht="18" x14ac:dyDescent="0.4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1" ht="18" x14ac:dyDescent="0.4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1" ht="18" x14ac:dyDescent="0.4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1" ht="18" x14ac:dyDescent="0.4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1" ht="18" x14ac:dyDescent="0.4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1" ht="18" x14ac:dyDescent="0.4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1" ht="18" x14ac:dyDescent="0.4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1" ht="18" x14ac:dyDescent="0.4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1" ht="18" x14ac:dyDescent="0.4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 x14ac:dyDescent="0.4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 x14ac:dyDescent="0.4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 x14ac:dyDescent="0.4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 x14ac:dyDescent="0.4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 x14ac:dyDescent="0.4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 x14ac:dyDescent="0.4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 x14ac:dyDescent="0.4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 x14ac:dyDescent="0.4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 x14ac:dyDescent="0.4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 x14ac:dyDescent="0.4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 x14ac:dyDescent="0.4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 x14ac:dyDescent="0.4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 x14ac:dyDescent="0.4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 x14ac:dyDescent="0.4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 x14ac:dyDescent="0.4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 x14ac:dyDescent="0.4">
      <c r="A752" s="20"/>
      <c r="B752" s="16"/>
      <c r="C752" s="16"/>
      <c r="D752" s="7"/>
      <c r="E752" s="63"/>
      <c r="F752" s="16"/>
      <c r="G752" s="16"/>
      <c r="H752" s="16"/>
      <c r="I752" s="16"/>
      <c r="J752" s="16"/>
      <c r="K752" s="21"/>
    </row>
    <row r="753" spans="1:11" ht="18" x14ac:dyDescent="0.4">
      <c r="A753" s="20"/>
      <c r="B753" s="16"/>
      <c r="C753" s="16"/>
      <c r="D753" s="7"/>
      <c r="E753" s="63"/>
      <c r="F753" s="16"/>
      <c r="G753" s="16"/>
      <c r="H753" s="16"/>
      <c r="I753" s="16"/>
      <c r="J753" s="16"/>
      <c r="K753" s="21"/>
    </row>
    <row r="754" spans="1:11" ht="18" x14ac:dyDescent="0.4">
      <c r="A754" s="20"/>
      <c r="B754" s="16"/>
      <c r="C754" s="16"/>
      <c r="D754" s="7"/>
      <c r="E754" s="63"/>
      <c r="F754" s="16"/>
      <c r="G754" s="16"/>
      <c r="H754" s="16"/>
      <c r="I754" s="16"/>
      <c r="J754" s="16"/>
      <c r="K754" s="21"/>
    </row>
    <row r="755" spans="1:11" ht="18" x14ac:dyDescent="0.4">
      <c r="A755" s="20"/>
      <c r="B755" s="16"/>
      <c r="C755" s="16"/>
      <c r="D755" s="7"/>
      <c r="E755" s="63"/>
      <c r="F755" s="16"/>
      <c r="G755" s="16"/>
      <c r="H755" s="16"/>
      <c r="I755" s="16"/>
      <c r="J755" s="16"/>
      <c r="K755" s="21"/>
    </row>
    <row r="756" spans="1:11" ht="18" x14ac:dyDescent="0.4">
      <c r="A756" s="20"/>
      <c r="B756" s="16"/>
      <c r="C756" s="16"/>
      <c r="D756" s="7"/>
      <c r="E756" s="63"/>
      <c r="F756" s="16"/>
      <c r="G756" s="16"/>
      <c r="H756" s="16"/>
      <c r="I756" s="16"/>
      <c r="J756" s="16"/>
      <c r="K756" s="21"/>
    </row>
    <row r="757" spans="1:11" ht="18" x14ac:dyDescent="0.4">
      <c r="A757" s="20"/>
      <c r="B757" s="16"/>
      <c r="C757" s="16"/>
      <c r="D757" s="7"/>
      <c r="E757" s="63"/>
      <c r="F757" s="16"/>
      <c r="G757" s="16"/>
      <c r="H757" s="16"/>
      <c r="I757" s="16"/>
      <c r="J757" s="16"/>
      <c r="K757" s="21"/>
    </row>
    <row r="758" spans="1:11" ht="18" x14ac:dyDescent="0.4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 x14ac:dyDescent="0.4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 x14ac:dyDescent="0.4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 x14ac:dyDescent="0.4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 x14ac:dyDescent="0.4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 x14ac:dyDescent="0.4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 x14ac:dyDescent="0.4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 x14ac:dyDescent="0.4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 x14ac:dyDescent="0.4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 x14ac:dyDescent="0.4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 x14ac:dyDescent="0.4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 x14ac:dyDescent="0.4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 x14ac:dyDescent="0.4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 x14ac:dyDescent="0.4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 x14ac:dyDescent="0.4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 x14ac:dyDescent="0.4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 x14ac:dyDescent="0.4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 x14ac:dyDescent="0.4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 x14ac:dyDescent="0.4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 x14ac:dyDescent="0.4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 x14ac:dyDescent="0.4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 x14ac:dyDescent="0.4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 x14ac:dyDescent="0.4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 x14ac:dyDescent="0.4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 x14ac:dyDescent="0.4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 x14ac:dyDescent="0.4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 x14ac:dyDescent="0.4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 x14ac:dyDescent="0.4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 x14ac:dyDescent="0.4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 x14ac:dyDescent="0.4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 x14ac:dyDescent="0.4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 x14ac:dyDescent="0.4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 x14ac:dyDescent="0.4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 x14ac:dyDescent="0.4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 x14ac:dyDescent="0.4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 x14ac:dyDescent="0.4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 x14ac:dyDescent="0.4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 x14ac:dyDescent="0.4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 x14ac:dyDescent="0.4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 x14ac:dyDescent="0.4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 x14ac:dyDescent="0.4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 x14ac:dyDescent="0.4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 x14ac:dyDescent="0.4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 x14ac:dyDescent="0.4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 x14ac:dyDescent="0.4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 x14ac:dyDescent="0.4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 x14ac:dyDescent="0.4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 x14ac:dyDescent="0.4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 x14ac:dyDescent="0.4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 x14ac:dyDescent="0.4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 x14ac:dyDescent="0.4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 x14ac:dyDescent="0.4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 x14ac:dyDescent="0.4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 x14ac:dyDescent="0.4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 x14ac:dyDescent="0.4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 x14ac:dyDescent="0.4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 x14ac:dyDescent="0.4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 x14ac:dyDescent="0.4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 x14ac:dyDescent="0.4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 x14ac:dyDescent="0.4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 x14ac:dyDescent="0.4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 x14ac:dyDescent="0.4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 x14ac:dyDescent="0.4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 x14ac:dyDescent="0.4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 x14ac:dyDescent="0.4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 x14ac:dyDescent="0.4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 x14ac:dyDescent="0.4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 x14ac:dyDescent="0.4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 x14ac:dyDescent="0.4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 x14ac:dyDescent="0.4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 x14ac:dyDescent="0.4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 x14ac:dyDescent="0.4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 x14ac:dyDescent="0.4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 x14ac:dyDescent="0.4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 x14ac:dyDescent="0.4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 x14ac:dyDescent="0.4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 x14ac:dyDescent="0.4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 x14ac:dyDescent="0.4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 x14ac:dyDescent="0.4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 x14ac:dyDescent="0.4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 x14ac:dyDescent="0.4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 x14ac:dyDescent="0.4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 x14ac:dyDescent="0.4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 x14ac:dyDescent="0.4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 x14ac:dyDescent="0.4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 x14ac:dyDescent="0.4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 x14ac:dyDescent="0.4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 x14ac:dyDescent="0.4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 x14ac:dyDescent="0.4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 x14ac:dyDescent="0.4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 x14ac:dyDescent="0.4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 x14ac:dyDescent="0.4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 x14ac:dyDescent="0.4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 x14ac:dyDescent="0.4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 x14ac:dyDescent="0.4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 x14ac:dyDescent="0.4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 x14ac:dyDescent="0.4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 x14ac:dyDescent="0.4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 x14ac:dyDescent="0.4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 x14ac:dyDescent="0.4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 x14ac:dyDescent="0.4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 x14ac:dyDescent="0.4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 x14ac:dyDescent="0.4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 x14ac:dyDescent="0.4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 x14ac:dyDescent="0.4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 x14ac:dyDescent="0.4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 x14ac:dyDescent="0.4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 x14ac:dyDescent="0.4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 x14ac:dyDescent="0.4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 x14ac:dyDescent="0.4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 x14ac:dyDescent="0.4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 x14ac:dyDescent="0.4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 x14ac:dyDescent="0.4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 x14ac:dyDescent="0.4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 x14ac:dyDescent="0.4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 x14ac:dyDescent="0.4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 x14ac:dyDescent="0.4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 x14ac:dyDescent="0.4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 x14ac:dyDescent="0.4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 x14ac:dyDescent="0.4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 x14ac:dyDescent="0.4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 x14ac:dyDescent="0.4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 x14ac:dyDescent="0.4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 x14ac:dyDescent="0.4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 x14ac:dyDescent="0.4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 x14ac:dyDescent="0.4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 x14ac:dyDescent="0.4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 x14ac:dyDescent="0.4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 x14ac:dyDescent="0.4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 x14ac:dyDescent="0.4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 x14ac:dyDescent="0.4">
      <c r="A888" s="20"/>
      <c r="B888" s="16"/>
      <c r="C888" s="16"/>
      <c r="D888" s="16"/>
      <c r="E888" s="63"/>
      <c r="F888" s="16"/>
      <c r="G888" s="16"/>
      <c r="H888" s="16"/>
      <c r="I888" s="16"/>
      <c r="J888" s="16"/>
      <c r="K888" s="21"/>
    </row>
    <row r="889" spans="1:11" ht="18" x14ac:dyDescent="0.4">
      <c r="A889" s="20"/>
      <c r="B889" s="16"/>
      <c r="C889" s="16"/>
      <c r="D889" s="16"/>
      <c r="E889" s="63"/>
      <c r="F889" s="16"/>
      <c r="G889" s="16"/>
      <c r="H889" s="16"/>
      <c r="I889" s="16"/>
      <c r="J889" s="16"/>
      <c r="K889" s="21"/>
    </row>
    <row r="890" spans="1:11" ht="18" x14ac:dyDescent="0.4">
      <c r="A890" s="20"/>
      <c r="B890" s="16"/>
      <c r="C890" s="16"/>
      <c r="D890" s="16"/>
      <c r="E890" s="63"/>
      <c r="F890" s="16"/>
      <c r="G890" s="16"/>
      <c r="H890" s="16"/>
      <c r="I890" s="16"/>
      <c r="J890" s="16"/>
      <c r="K890" s="21"/>
    </row>
    <row r="891" spans="1:11" ht="18" x14ac:dyDescent="0.4">
      <c r="A891" s="20"/>
      <c r="B891" s="16"/>
      <c r="C891" s="16"/>
      <c r="D891" s="16"/>
      <c r="E891" s="63"/>
      <c r="F891" s="16"/>
      <c r="G891" s="16"/>
      <c r="H891" s="16"/>
      <c r="I891" s="16"/>
      <c r="J891" s="16"/>
      <c r="K891" s="21"/>
    </row>
    <row r="892" spans="1:11" ht="18" x14ac:dyDescent="0.4">
      <c r="A892" s="20"/>
      <c r="B892" s="16"/>
      <c r="C892" s="16"/>
      <c r="D892" s="16"/>
      <c r="E892" s="63"/>
      <c r="F892" s="16"/>
      <c r="G892" s="16"/>
      <c r="H892" s="16"/>
      <c r="I892" s="16"/>
      <c r="J892" s="16"/>
      <c r="K892" s="21"/>
    </row>
    <row r="893" spans="1:11" ht="18" x14ac:dyDescent="0.4">
      <c r="A893" s="20"/>
      <c r="B893" s="16"/>
      <c r="C893" s="16"/>
      <c r="D893" s="16"/>
      <c r="E893" s="63"/>
      <c r="F893" s="16"/>
      <c r="G893" s="16"/>
      <c r="H893" s="16"/>
      <c r="I893" s="16"/>
      <c r="J893" s="16"/>
      <c r="K893" s="21"/>
    </row>
    <row r="894" spans="1:11" ht="18" x14ac:dyDescent="0.4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 x14ac:dyDescent="0.4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 x14ac:dyDescent="0.4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 x14ac:dyDescent="0.4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 x14ac:dyDescent="0.4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 x14ac:dyDescent="0.4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 x14ac:dyDescent="0.4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 x14ac:dyDescent="0.4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 x14ac:dyDescent="0.4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 x14ac:dyDescent="0.4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 x14ac:dyDescent="0.4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 x14ac:dyDescent="0.4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 x14ac:dyDescent="0.4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 x14ac:dyDescent="0.4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 x14ac:dyDescent="0.4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 x14ac:dyDescent="0.4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 x14ac:dyDescent="0.4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 x14ac:dyDescent="0.4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 x14ac:dyDescent="0.4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 x14ac:dyDescent="0.4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 x14ac:dyDescent="0.4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 x14ac:dyDescent="0.4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 x14ac:dyDescent="0.4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 x14ac:dyDescent="0.4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 x14ac:dyDescent="0.4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 x14ac:dyDescent="0.4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 x14ac:dyDescent="0.4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 x14ac:dyDescent="0.4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 x14ac:dyDescent="0.4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 x14ac:dyDescent="0.4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 x14ac:dyDescent="0.4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 x14ac:dyDescent="0.4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 x14ac:dyDescent="0.4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 x14ac:dyDescent="0.4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 x14ac:dyDescent="0.4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 x14ac:dyDescent="0.4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 x14ac:dyDescent="0.4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 x14ac:dyDescent="0.4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 x14ac:dyDescent="0.4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 x14ac:dyDescent="0.4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 x14ac:dyDescent="0.4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 x14ac:dyDescent="0.4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 x14ac:dyDescent="0.4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 x14ac:dyDescent="0.4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 x14ac:dyDescent="0.4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 x14ac:dyDescent="0.4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 x14ac:dyDescent="0.4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 x14ac:dyDescent="0.4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 x14ac:dyDescent="0.4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 x14ac:dyDescent="0.4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 x14ac:dyDescent="0.4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 x14ac:dyDescent="0.4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 x14ac:dyDescent="0.4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 x14ac:dyDescent="0.4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 x14ac:dyDescent="0.4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 x14ac:dyDescent="0.4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 x14ac:dyDescent="0.4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 x14ac:dyDescent="0.4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 x14ac:dyDescent="0.4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 x14ac:dyDescent="0.4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 x14ac:dyDescent="0.4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 x14ac:dyDescent="0.4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 x14ac:dyDescent="0.4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 x14ac:dyDescent="0.4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 x14ac:dyDescent="0.4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 x14ac:dyDescent="0.4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 x14ac:dyDescent="0.4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 x14ac:dyDescent="0.4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 x14ac:dyDescent="0.4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 x14ac:dyDescent="0.4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 x14ac:dyDescent="0.4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 x14ac:dyDescent="0.4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 x14ac:dyDescent="0.4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 x14ac:dyDescent="0.4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 x14ac:dyDescent="0.4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 x14ac:dyDescent="0.4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 x14ac:dyDescent="0.4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 x14ac:dyDescent="0.4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 x14ac:dyDescent="0.4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 x14ac:dyDescent="0.4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 x14ac:dyDescent="0.4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 x14ac:dyDescent="0.4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 x14ac:dyDescent="0.4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 x14ac:dyDescent="0.4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 x14ac:dyDescent="0.4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 x14ac:dyDescent="0.4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 x14ac:dyDescent="0.4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 x14ac:dyDescent="0.4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 x14ac:dyDescent="0.4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 x14ac:dyDescent="0.4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 x14ac:dyDescent="0.4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 x14ac:dyDescent="0.4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 x14ac:dyDescent="0.4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 x14ac:dyDescent="0.4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 x14ac:dyDescent="0.4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 x14ac:dyDescent="0.4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 x14ac:dyDescent="0.4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 x14ac:dyDescent="0.4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 x14ac:dyDescent="0.4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 x14ac:dyDescent="0.4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 x14ac:dyDescent="0.4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 x14ac:dyDescent="0.4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 x14ac:dyDescent="0.4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 x14ac:dyDescent="0.4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 x14ac:dyDescent="0.4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 x14ac:dyDescent="0.4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 x14ac:dyDescent="0.4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 x14ac:dyDescent="0.4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 x14ac:dyDescent="0.4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 x14ac:dyDescent="0.4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 x14ac:dyDescent="0.4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 x14ac:dyDescent="0.4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 x14ac:dyDescent="0.4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 x14ac:dyDescent="0.4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</sheetData>
  <autoFilter ref="A3:N3" xr:uid="{A21A40AA-0B64-48C5-86F2-334D8BF9E3AC}"/>
  <mergeCells count="1">
    <mergeCell ref="A2:J2"/>
  </mergeCells>
  <conditionalFormatting sqref="A244:F551">
    <cfRule type="expression" dxfId="38" priority="20">
      <formula>RegExMatch(($D244),"Done")</formula>
    </cfRule>
  </conditionalFormatting>
  <conditionalFormatting sqref="A85:K243">
    <cfRule type="expression" dxfId="37" priority="4">
      <formula>RegExMatch(($D85),"Done")</formula>
    </cfRule>
  </conditionalFormatting>
  <conditionalFormatting sqref="D4:D1007">
    <cfRule type="cellIs" dxfId="36" priority="2" operator="equal">
      <formula>"Not started"</formula>
    </cfRule>
    <cfRule type="cellIs" dxfId="35" priority="3" operator="equal">
      <formula>"In progress"</formula>
    </cfRule>
  </conditionalFormatting>
  <conditionalFormatting sqref="F4:F84 F251:F566 F569:F1007">
    <cfRule type="timePeriod" dxfId="34" priority="29" timePeriod="today">
      <formula>FLOOR(F4,1)=TODAY()</formula>
    </cfRule>
    <cfRule type="expression" dxfId="33" priority="30">
      <formula>AND($F4&lt;TODAY(), OR($D4="In progress", $D4="Not started"))</formula>
    </cfRule>
  </conditionalFormatting>
  <conditionalFormatting sqref="F85:F243">
    <cfRule type="timePeriod" dxfId="32" priority="5" timePeriod="today">
      <formula>FLOOR(F85,1)=TODAY()</formula>
    </cfRule>
    <cfRule type="expression" dxfId="31" priority="6">
      <formula>AND($F85&lt;TODAY(), OR($D85="In progress", $D85="Not started"))</formula>
    </cfRule>
  </conditionalFormatting>
  <conditionalFormatting sqref="F244:F250">
    <cfRule type="timePeriod" dxfId="30" priority="21" timePeriod="today">
      <formula>FLOOR(F244,1)=TODAY()</formula>
    </cfRule>
    <cfRule type="expression" dxfId="29" priority="22">
      <formula>AND($F244&lt;TODAY(), OR($D244="In progress", $D244="Not started"))</formula>
    </cfRule>
  </conditionalFormatting>
  <conditionalFormatting sqref="G4:G1007">
    <cfRule type="expression" dxfId="28" priority="1">
      <formula>AND(OR($D4="In progress",$D4="Not started" ),OR($G4=TODAY(), $G4=TODAY()+1))</formula>
    </cfRule>
  </conditionalFormatting>
  <conditionalFormatting sqref="G244:K551 A4:K84 A552:H566 A567:E568 A569:G715 A716:K1007 G501:G580 G567:H568 K552:K640 I552:J682 H569:H682 K651:K656 K659:K715 H683:J715">
    <cfRule type="expression" dxfId="27" priority="28">
      <formula>RegExMatch(($D4),"Done")</formula>
    </cfRule>
  </conditionalFormatting>
  <conditionalFormatting sqref="H84">
    <cfRule type="expression" dxfId="26" priority="23">
      <formula>AND(OR($D84="In progress",$D84="Not started" ),OR($G84=TODAY(), $G84=TODAY()+1))</formula>
    </cfRule>
  </conditionalFormatting>
  <conditionalFormatting sqref="H373">
    <cfRule type="expression" dxfId="25" priority="24">
      <formula>AND(OR($D373="In progress",$D373="Not started" ),OR($G373=TODAY(), $G373=TODAY()+1))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32AF1-A75B-48A1-9B85-D77380035EA5}">
  <sheetPr>
    <tabColor rgb="FFFFC000"/>
    <outlinePr summaryBelow="0" summaryRight="0"/>
    <pageSetUpPr fitToPage="1"/>
  </sheetPr>
  <dimension ref="A1:N1012"/>
  <sheetViews>
    <sheetView showGridLines="0" zoomScale="85" zoomScaleNormal="85" workbookViewId="0">
      <pane ySplit="3" topLeftCell="A219" activePane="bottomLeft" state="frozen"/>
      <selection activeCell="B1" sqref="B1"/>
      <selection pane="bottomLeft" activeCell="B1" sqref="B1"/>
    </sheetView>
  </sheetViews>
  <sheetFormatPr defaultColWidth="12.54296875" defaultRowHeight="15.75" customHeight="1" x14ac:dyDescent="0.4"/>
  <cols>
    <col min="1" max="1" width="12" style="3" customWidth="1"/>
    <col min="2" max="2" width="49.81640625" style="3" bestFit="1" customWidth="1"/>
    <col min="3" max="3" width="12.54296875" style="3" customWidth="1"/>
    <col min="4" max="4" width="19.453125" style="3" customWidth="1"/>
    <col min="5" max="5" width="12" style="69" customWidth="1"/>
    <col min="6" max="6" width="62" style="3" customWidth="1"/>
    <col min="7" max="7" width="20.7265625" style="3" customWidth="1"/>
    <col min="8" max="11" width="19.26953125" style="3" customWidth="1"/>
    <col min="12" max="13" width="12.81640625" style="3" bestFit="1" customWidth="1"/>
    <col min="14" max="14" width="34" style="3" customWidth="1"/>
    <col min="15" max="16384" width="12.54296875" style="3"/>
  </cols>
  <sheetData>
    <row r="1" spans="1:11" ht="12" customHeight="1" x14ac:dyDescent="0.4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1" ht="53.25" customHeight="1" x14ac:dyDescent="0.4">
      <c r="A2" s="114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4"/>
    </row>
    <row r="3" spans="1:11" ht="36" x14ac:dyDescent="0.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</row>
    <row r="4" spans="1:11" ht="18" x14ac:dyDescent="0.4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v>46069</v>
      </c>
      <c r="J4" s="11">
        <v>46066</v>
      </c>
      <c r="K4" s="13"/>
    </row>
    <row r="5" spans="1:11" ht="18" x14ac:dyDescent="0.4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v>46069</v>
      </c>
      <c r="J5" s="11">
        <v>46066</v>
      </c>
      <c r="K5" s="13"/>
    </row>
    <row r="6" spans="1:11" ht="18" x14ac:dyDescent="0.4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v>46069</v>
      </c>
      <c r="J6" s="11">
        <v>46066</v>
      </c>
      <c r="K6" s="13"/>
    </row>
    <row r="7" spans="1:11" ht="18" x14ac:dyDescent="0.4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v>46069</v>
      </c>
      <c r="J7" s="11">
        <v>46066</v>
      </c>
      <c r="K7" s="13"/>
    </row>
    <row r="8" spans="1:11" ht="18" x14ac:dyDescent="0.4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v>46069</v>
      </c>
      <c r="J8" s="11">
        <v>46066</v>
      </c>
      <c r="K8" s="13"/>
    </row>
    <row r="9" spans="1:11" ht="18" x14ac:dyDescent="0.4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v>46069</v>
      </c>
      <c r="J9" s="11">
        <v>46066</v>
      </c>
      <c r="K9" s="13"/>
    </row>
    <row r="10" spans="1:11" ht="18" x14ac:dyDescent="0.4">
      <c r="A10" s="57" t="s">
        <v>0</v>
      </c>
      <c r="B10" s="57" t="s">
        <v>697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v>46069</v>
      </c>
      <c r="J10" s="11">
        <v>46066</v>
      </c>
      <c r="K10" s="13"/>
    </row>
    <row r="11" spans="1:11" ht="18" x14ac:dyDescent="0.4">
      <c r="A11" s="57" t="s">
        <v>0</v>
      </c>
      <c r="B11" s="57" t="s">
        <v>697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v>46069</v>
      </c>
      <c r="J11" s="11">
        <v>46066</v>
      </c>
      <c r="K11" s="13"/>
    </row>
    <row r="12" spans="1:11" ht="18" x14ac:dyDescent="0.4">
      <c r="A12" s="57" t="s">
        <v>0</v>
      </c>
      <c r="B12" s="57" t="s">
        <v>697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v>46069</v>
      </c>
      <c r="J12" s="11">
        <v>46066</v>
      </c>
      <c r="K12" s="13"/>
    </row>
    <row r="13" spans="1:11" ht="18" x14ac:dyDescent="0.4">
      <c r="A13" s="57" t="s">
        <v>0</v>
      </c>
      <c r="B13" s="57" t="s">
        <v>697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v>46069</v>
      </c>
      <c r="J13" s="11">
        <v>46066</v>
      </c>
      <c r="K13" s="13"/>
    </row>
    <row r="14" spans="1:11" ht="18" x14ac:dyDescent="0.4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v>46069</v>
      </c>
      <c r="J14" s="11">
        <v>46066</v>
      </c>
      <c r="K14" s="13"/>
    </row>
    <row r="15" spans="1:11" ht="18" x14ac:dyDescent="0.4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v>46069</v>
      </c>
      <c r="J15" s="11">
        <v>46066</v>
      </c>
      <c r="K15" s="13"/>
    </row>
    <row r="16" spans="1:11" ht="18" x14ac:dyDescent="0.4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v>46069</v>
      </c>
      <c r="J16" s="11">
        <v>46066</v>
      </c>
      <c r="K16" s="13"/>
    </row>
    <row r="17" spans="1:11" ht="18" x14ac:dyDescent="0.4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v>46069</v>
      </c>
      <c r="J17" s="53">
        <v>46066</v>
      </c>
      <c r="K17" s="21"/>
    </row>
    <row r="18" spans="1:11" ht="18" x14ac:dyDescent="0.4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v>46069</v>
      </c>
      <c r="J18" s="53">
        <v>46066</v>
      </c>
      <c r="K18" s="21"/>
    </row>
    <row r="19" spans="1:11" ht="18" x14ac:dyDescent="0.4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v>46069</v>
      </c>
      <c r="J19" s="53">
        <v>46066</v>
      </c>
      <c r="K19" s="21"/>
    </row>
    <row r="20" spans="1:11" ht="18" x14ac:dyDescent="0.4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v>46069</v>
      </c>
      <c r="J20" s="53">
        <v>46066</v>
      </c>
      <c r="K20" s="21"/>
    </row>
    <row r="21" spans="1:11" ht="18" x14ac:dyDescent="0.4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v>46069</v>
      </c>
      <c r="J21" s="53">
        <v>46066</v>
      </c>
      <c r="K21" s="21"/>
    </row>
    <row r="22" spans="1:11" ht="18" x14ac:dyDescent="0.4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v>46069</v>
      </c>
      <c r="J22" s="53">
        <v>46066</v>
      </c>
      <c r="K22" s="21"/>
    </row>
    <row r="23" spans="1:11" ht="18" x14ac:dyDescent="0.4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v>46069</v>
      </c>
      <c r="J23" s="53">
        <v>46066</v>
      </c>
      <c r="K23" s="21"/>
    </row>
    <row r="24" spans="1:11" ht="18" x14ac:dyDescent="0.4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v>46069</v>
      </c>
      <c r="J24" s="53">
        <v>46066</v>
      </c>
      <c r="K24" s="21"/>
    </row>
    <row r="25" spans="1:11" ht="18" x14ac:dyDescent="0.4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v>46069</v>
      </c>
      <c r="J25" s="53">
        <v>46066</v>
      </c>
      <c r="K25" s="7"/>
    </row>
    <row r="26" spans="1:11" ht="18" x14ac:dyDescent="0.4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v>46069</v>
      </c>
      <c r="J26" s="53">
        <v>46066</v>
      </c>
      <c r="K26" s="21"/>
    </row>
    <row r="27" spans="1:11" ht="18" x14ac:dyDescent="0.4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v>46069</v>
      </c>
      <c r="J27" s="53">
        <v>46066</v>
      </c>
      <c r="K27" s="21"/>
    </row>
    <row r="28" spans="1:11" ht="18" x14ac:dyDescent="0.4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v>46069</v>
      </c>
      <c r="J28" s="53">
        <v>46066</v>
      </c>
      <c r="K28" s="21"/>
    </row>
    <row r="29" spans="1:11" ht="18" x14ac:dyDescent="0.4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v>46069</v>
      </c>
      <c r="J29" s="53">
        <v>46066</v>
      </c>
      <c r="K29" s="21"/>
    </row>
    <row r="30" spans="1:11" ht="18" x14ac:dyDescent="0.4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v>46069</v>
      </c>
      <c r="J30" s="53">
        <v>46066</v>
      </c>
      <c r="K30" s="21"/>
    </row>
    <row r="31" spans="1:11" ht="18" x14ac:dyDescent="0.4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v>46069</v>
      </c>
      <c r="J31" s="11">
        <v>46066</v>
      </c>
      <c r="K31" s="13"/>
    </row>
    <row r="32" spans="1:11" ht="18" x14ac:dyDescent="0.4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v>46069</v>
      </c>
      <c r="J32" s="11">
        <v>46066</v>
      </c>
      <c r="K32" s="13"/>
    </row>
    <row r="33" spans="1:11" ht="18" x14ac:dyDescent="0.4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v>46069</v>
      </c>
      <c r="J33" s="11">
        <v>46066</v>
      </c>
      <c r="K33" s="13"/>
    </row>
    <row r="34" spans="1:11" ht="18" x14ac:dyDescent="0.4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v>46069</v>
      </c>
      <c r="J34" s="53">
        <v>46066</v>
      </c>
      <c r="K34" s="21"/>
    </row>
    <row r="35" spans="1:11" ht="18" x14ac:dyDescent="0.4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v>46069</v>
      </c>
      <c r="J35" s="53">
        <v>46066</v>
      </c>
      <c r="K35" s="21"/>
    </row>
    <row r="36" spans="1:11" ht="18" x14ac:dyDescent="0.4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v>46069</v>
      </c>
      <c r="J36" s="53">
        <v>46066</v>
      </c>
      <c r="K36" s="21"/>
    </row>
    <row r="37" spans="1:11" ht="15.75" customHeight="1" x14ac:dyDescent="0.4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v>46069</v>
      </c>
      <c r="J37" s="53">
        <v>46066</v>
      </c>
      <c r="K37" s="21"/>
    </row>
    <row r="38" spans="1:11" ht="18" x14ac:dyDescent="0.4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v>46069</v>
      </c>
      <c r="J38" s="53">
        <v>46066</v>
      </c>
      <c r="K38" s="7"/>
    </row>
    <row r="39" spans="1:11" ht="18" x14ac:dyDescent="0.4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v>46069</v>
      </c>
      <c r="J39" s="53">
        <v>46066</v>
      </c>
      <c r="K39" s="21"/>
    </row>
    <row r="40" spans="1:11" ht="18" x14ac:dyDescent="0.4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v>46069</v>
      </c>
      <c r="J40" s="53">
        <v>46066</v>
      </c>
      <c r="K40" s="21"/>
    </row>
    <row r="41" spans="1:11" ht="18" x14ac:dyDescent="0.4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v>46069</v>
      </c>
      <c r="J41" s="53">
        <v>46066</v>
      </c>
      <c r="K41" s="21"/>
    </row>
    <row r="42" spans="1:11" ht="18" x14ac:dyDescent="0.4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v>46069</v>
      </c>
      <c r="J42" s="53">
        <v>46066</v>
      </c>
      <c r="K42" s="21"/>
    </row>
    <row r="43" spans="1:11" ht="18" x14ac:dyDescent="0.4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v>46069</v>
      </c>
      <c r="J43" s="53">
        <v>46066</v>
      </c>
      <c r="K43" s="21"/>
    </row>
    <row r="44" spans="1:11" ht="18" x14ac:dyDescent="0.4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v>46069</v>
      </c>
      <c r="J44" s="11">
        <v>46066</v>
      </c>
      <c r="K44" s="13"/>
    </row>
    <row r="45" spans="1:11" ht="18" x14ac:dyDescent="0.4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v>46069</v>
      </c>
      <c r="J45" s="11">
        <v>46066</v>
      </c>
      <c r="K45" s="13"/>
    </row>
    <row r="46" spans="1:11" ht="18" x14ac:dyDescent="0.4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v>46069</v>
      </c>
      <c r="J46" s="11">
        <v>46066</v>
      </c>
      <c r="K46" s="13"/>
    </row>
    <row r="47" spans="1:11" ht="18" x14ac:dyDescent="0.4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v>46069</v>
      </c>
      <c r="J47" s="11">
        <v>46066</v>
      </c>
      <c r="K47" s="13"/>
    </row>
    <row r="48" spans="1:11" ht="18" x14ac:dyDescent="0.4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v>46069</v>
      </c>
      <c r="J48" s="53">
        <v>46066</v>
      </c>
      <c r="K48" s="54"/>
    </row>
    <row r="49" spans="1:11" ht="18" x14ac:dyDescent="0.4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v>46069</v>
      </c>
      <c r="J49" s="53">
        <v>46066</v>
      </c>
      <c r="K49" s="21"/>
    </row>
    <row r="50" spans="1:11" ht="18" x14ac:dyDescent="0.4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v>46069</v>
      </c>
      <c r="J50" s="53">
        <v>46066</v>
      </c>
      <c r="K50" s="21"/>
    </row>
    <row r="51" spans="1:11" ht="18" x14ac:dyDescent="0.4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v>46069</v>
      </c>
      <c r="J51" s="53">
        <v>46066</v>
      </c>
      <c r="K51" s="7"/>
    </row>
    <row r="52" spans="1:11" ht="18" x14ac:dyDescent="0.4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v>46069</v>
      </c>
      <c r="J52" s="11">
        <v>46066</v>
      </c>
      <c r="K52" s="13"/>
    </row>
    <row r="53" spans="1:11" ht="18" x14ac:dyDescent="0.4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v>46069</v>
      </c>
      <c r="J53" s="11">
        <v>46066</v>
      </c>
      <c r="K53" s="13"/>
    </row>
    <row r="54" spans="1:11" ht="18" x14ac:dyDescent="0.4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v>46069</v>
      </c>
      <c r="J54" s="11">
        <v>46066</v>
      </c>
      <c r="K54" s="13"/>
    </row>
    <row r="55" spans="1:11" ht="18" x14ac:dyDescent="0.4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v>46069</v>
      </c>
      <c r="J55" s="11">
        <v>46066</v>
      </c>
      <c r="K55" s="13"/>
    </row>
    <row r="56" spans="1:11" ht="18" x14ac:dyDescent="0.4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v>46069</v>
      </c>
      <c r="J56" s="11">
        <v>46066</v>
      </c>
      <c r="K56" s="13"/>
    </row>
    <row r="57" spans="1:11" ht="18" x14ac:dyDescent="0.4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v>46069</v>
      </c>
      <c r="J57" s="53">
        <v>46066</v>
      </c>
      <c r="K57" s="21"/>
    </row>
    <row r="58" spans="1:11" ht="18" x14ac:dyDescent="0.4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v>46069</v>
      </c>
      <c r="J58" s="53">
        <v>46066</v>
      </c>
      <c r="K58" s="21"/>
    </row>
    <row r="59" spans="1:11" ht="18" x14ac:dyDescent="0.4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v>46069</v>
      </c>
      <c r="J59" s="53">
        <v>46066</v>
      </c>
      <c r="K59" s="7"/>
    </row>
    <row r="60" spans="1:11" ht="18" x14ac:dyDescent="0.4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v>46069</v>
      </c>
      <c r="J60" s="11">
        <v>46066</v>
      </c>
      <c r="K60" s="13"/>
    </row>
    <row r="61" spans="1:11" ht="18" x14ac:dyDescent="0.4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v>46069</v>
      </c>
      <c r="J61" s="11">
        <v>46066</v>
      </c>
      <c r="K61" s="13"/>
    </row>
    <row r="62" spans="1:11" ht="18" x14ac:dyDescent="0.4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v>46069</v>
      </c>
      <c r="J62" s="11">
        <v>46066</v>
      </c>
      <c r="K62" s="13"/>
    </row>
    <row r="63" spans="1:11" ht="18" x14ac:dyDescent="0.4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v>46069</v>
      </c>
      <c r="J63" s="53">
        <v>46066</v>
      </c>
      <c r="K63" s="21"/>
    </row>
    <row r="64" spans="1:11" ht="18" x14ac:dyDescent="0.4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v>46069</v>
      </c>
      <c r="J64" s="53">
        <v>46066</v>
      </c>
      <c r="K64" s="21"/>
    </row>
    <row r="65" spans="1:11" ht="18" x14ac:dyDescent="0.4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v>46069</v>
      </c>
      <c r="J65" s="53">
        <v>46066</v>
      </c>
      <c r="K65" s="21"/>
    </row>
    <row r="66" spans="1:11" ht="18" x14ac:dyDescent="0.4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v>46069</v>
      </c>
      <c r="J66" s="53">
        <v>46066</v>
      </c>
      <c r="K66" s="21"/>
    </row>
    <row r="67" spans="1:11" ht="18" x14ac:dyDescent="0.4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v>46069</v>
      </c>
      <c r="J67" s="11">
        <v>46066</v>
      </c>
      <c r="K67" s="13"/>
    </row>
    <row r="68" spans="1:11" ht="18" x14ac:dyDescent="0.4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1" si="1">+G68/E68</f>
        <v>0</v>
      </c>
      <c r="I68" s="53">
        <v>46069</v>
      </c>
      <c r="J68" s="53">
        <v>46066</v>
      </c>
      <c r="K68" s="21"/>
    </row>
    <row r="69" spans="1:11" ht="18" x14ac:dyDescent="0.4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1"/>
        <v>0</v>
      </c>
      <c r="I69" s="53">
        <v>46069</v>
      </c>
      <c r="J69" s="53">
        <v>46066</v>
      </c>
      <c r="K69" s="21"/>
    </row>
    <row r="70" spans="1:11" ht="18" x14ac:dyDescent="0.4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1"/>
        <v>0</v>
      </c>
      <c r="I70" s="53">
        <v>46069</v>
      </c>
      <c r="J70" s="53">
        <v>46066</v>
      </c>
      <c r="K70" s="21"/>
    </row>
    <row r="71" spans="1:11" ht="18" x14ac:dyDescent="0.4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1"/>
        <v>0</v>
      </c>
      <c r="I71" s="53">
        <v>46069</v>
      </c>
      <c r="J71" s="53">
        <v>46066</v>
      </c>
      <c r="K71" s="21"/>
    </row>
    <row r="72" spans="1:11" ht="18" x14ac:dyDescent="0.4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1"/>
        <v>0</v>
      </c>
      <c r="I72" s="53">
        <v>46069</v>
      </c>
      <c r="J72" s="53">
        <v>46066</v>
      </c>
      <c r="K72" s="21"/>
    </row>
    <row r="73" spans="1:11" ht="18" x14ac:dyDescent="0.4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1"/>
        <v>0</v>
      </c>
      <c r="I73" s="53">
        <v>46069</v>
      </c>
      <c r="J73" s="53">
        <v>46066</v>
      </c>
      <c r="K73" s="21"/>
    </row>
    <row r="74" spans="1:11" ht="18" x14ac:dyDescent="0.4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1"/>
        <v>0</v>
      </c>
      <c r="I74" s="53">
        <v>46069</v>
      </c>
      <c r="J74" s="53">
        <v>46066</v>
      </c>
      <c r="K74" s="21"/>
    </row>
    <row r="75" spans="1:11" ht="18" x14ac:dyDescent="0.4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1"/>
        <v>0</v>
      </c>
      <c r="I75" s="53">
        <v>46069</v>
      </c>
      <c r="J75" s="53">
        <v>46066</v>
      </c>
      <c r="K75" s="21"/>
    </row>
    <row r="76" spans="1:11" ht="18" x14ac:dyDescent="0.4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1"/>
        <v>0</v>
      </c>
      <c r="I76" s="53">
        <v>46069</v>
      </c>
      <c r="J76" s="53">
        <v>46066</v>
      </c>
      <c r="K76" s="21"/>
    </row>
    <row r="77" spans="1:11" ht="18" x14ac:dyDescent="0.4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0</v>
      </c>
      <c r="H77" s="70">
        <f t="shared" si="1"/>
        <v>0</v>
      </c>
      <c r="I77" s="53">
        <v>46069</v>
      </c>
      <c r="J77" s="53">
        <v>46066</v>
      </c>
      <c r="K77" s="21"/>
    </row>
    <row r="78" spans="1:11" ht="18" x14ac:dyDescent="0.4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1"/>
        <v>0</v>
      </c>
      <c r="I78" s="53">
        <v>46069</v>
      </c>
      <c r="J78" s="53">
        <v>46066</v>
      </c>
      <c r="K78" s="21"/>
    </row>
    <row r="79" spans="1:11" ht="18" x14ac:dyDescent="0.4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1"/>
        <v>0</v>
      </c>
      <c r="I79" s="53">
        <v>46069</v>
      </c>
      <c r="J79" s="53">
        <v>46066</v>
      </c>
      <c r="K79" s="21"/>
    </row>
    <row r="80" spans="1:11" ht="18" x14ac:dyDescent="0.4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1"/>
        <v>0</v>
      </c>
      <c r="I80" s="53">
        <v>46069</v>
      </c>
      <c r="J80" s="53">
        <v>46066</v>
      </c>
      <c r="K80" s="21"/>
    </row>
    <row r="81" spans="1:11" ht="18" x14ac:dyDescent="0.4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1"/>
        <v>0</v>
      </c>
      <c r="I81" s="53">
        <v>46069</v>
      </c>
      <c r="J81" s="53">
        <v>46066</v>
      </c>
      <c r="K81" s="21"/>
    </row>
    <row r="82" spans="1:11" ht="18" x14ac:dyDescent="0.4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1"/>
        <v>0</v>
      </c>
      <c r="I82" s="53">
        <v>46069</v>
      </c>
      <c r="J82" s="53">
        <v>46066</v>
      </c>
      <c r="K82" s="21"/>
    </row>
    <row r="83" spans="1:11" ht="18" x14ac:dyDescent="0.4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1"/>
        <v>0</v>
      </c>
      <c r="I83" s="53">
        <v>46069</v>
      </c>
      <c r="J83" s="53">
        <v>46066</v>
      </c>
      <c r="K83" s="21"/>
    </row>
    <row r="84" spans="1:11" ht="18" x14ac:dyDescent="0.4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1"/>
        <v>0</v>
      </c>
      <c r="I84" s="55">
        <v>46069</v>
      </c>
      <c r="J84" s="55">
        <v>46066</v>
      </c>
      <c r="K84" s="56"/>
    </row>
    <row r="85" spans="1:11" ht="18" x14ac:dyDescent="0.4">
      <c r="A85" s="7" t="s">
        <v>98</v>
      </c>
      <c r="B85" s="85" t="s">
        <v>99</v>
      </c>
      <c r="C85" s="8">
        <v>1097</v>
      </c>
      <c r="D85" s="9">
        <v>463606330</v>
      </c>
      <c r="E85" s="57">
        <v>32</v>
      </c>
      <c r="F85" s="10" t="s">
        <v>698</v>
      </c>
      <c r="G85" s="88">
        <v>0</v>
      </c>
      <c r="H85" s="70">
        <f t="shared" si="1"/>
        <v>0</v>
      </c>
      <c r="I85" s="11">
        <v>46069</v>
      </c>
      <c r="J85" s="11">
        <v>46066</v>
      </c>
      <c r="K85" s="13"/>
    </row>
    <row r="86" spans="1:11" ht="18" x14ac:dyDescent="0.4">
      <c r="A86" s="7" t="s">
        <v>98</v>
      </c>
      <c r="B86" s="86" t="s">
        <v>99</v>
      </c>
      <c r="C86" s="8">
        <v>1097</v>
      </c>
      <c r="D86" s="9">
        <v>463606290</v>
      </c>
      <c r="E86" s="57">
        <v>32</v>
      </c>
      <c r="F86" s="10" t="s">
        <v>698</v>
      </c>
      <c r="G86" s="88">
        <v>0</v>
      </c>
      <c r="H86" s="70">
        <f t="shared" si="1"/>
        <v>0</v>
      </c>
      <c r="I86" s="11">
        <v>46069</v>
      </c>
      <c r="J86" s="11">
        <v>46066</v>
      </c>
      <c r="K86" s="13"/>
    </row>
    <row r="87" spans="1:11" ht="18" x14ac:dyDescent="0.4">
      <c r="A87" s="7" t="s">
        <v>98</v>
      </c>
      <c r="B87" s="86" t="s">
        <v>99</v>
      </c>
      <c r="C87" s="8">
        <v>1097</v>
      </c>
      <c r="D87" s="9">
        <v>463563840</v>
      </c>
      <c r="E87" s="57">
        <v>24</v>
      </c>
      <c r="F87" s="10" t="s">
        <v>699</v>
      </c>
      <c r="G87" s="88">
        <v>0</v>
      </c>
      <c r="H87" s="70">
        <f t="shared" si="1"/>
        <v>0</v>
      </c>
      <c r="I87" s="11">
        <v>46069</v>
      </c>
      <c r="J87" s="11">
        <v>46066</v>
      </c>
      <c r="K87" s="13"/>
    </row>
    <row r="88" spans="1:11" ht="18" x14ac:dyDescent="0.4">
      <c r="A88" s="7" t="s">
        <v>98</v>
      </c>
      <c r="B88" s="85" t="s">
        <v>99</v>
      </c>
      <c r="C88" s="8">
        <v>1097</v>
      </c>
      <c r="D88" s="9">
        <v>463504300</v>
      </c>
      <c r="E88" s="57">
        <v>24</v>
      </c>
      <c r="F88" s="10" t="s">
        <v>699</v>
      </c>
      <c r="G88" s="88">
        <v>0</v>
      </c>
      <c r="H88" s="70">
        <f t="shared" si="1"/>
        <v>0</v>
      </c>
      <c r="I88" s="11">
        <v>46069</v>
      </c>
      <c r="J88" s="11">
        <v>46066</v>
      </c>
      <c r="K88" s="13"/>
    </row>
    <row r="89" spans="1:11" ht="18" x14ac:dyDescent="0.4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700</v>
      </c>
      <c r="G89" s="88">
        <v>0</v>
      </c>
      <c r="H89" s="70">
        <f t="shared" si="1"/>
        <v>0</v>
      </c>
      <c r="I89" s="11">
        <v>46069</v>
      </c>
      <c r="J89" s="11">
        <v>46066</v>
      </c>
      <c r="K89" s="13"/>
    </row>
    <row r="90" spans="1:11" ht="18" x14ac:dyDescent="0.4">
      <c r="A90" s="7" t="s">
        <v>98</v>
      </c>
      <c r="B90" s="85" t="s">
        <v>99</v>
      </c>
      <c r="C90" s="8">
        <v>1097</v>
      </c>
      <c r="D90" s="9">
        <v>463571360</v>
      </c>
      <c r="E90" s="57">
        <v>24</v>
      </c>
      <c r="F90" s="10" t="s">
        <v>700</v>
      </c>
      <c r="G90" s="88">
        <v>0</v>
      </c>
      <c r="H90" s="70">
        <f t="shared" si="1"/>
        <v>0</v>
      </c>
      <c r="I90" s="11">
        <v>46069</v>
      </c>
      <c r="J90" s="11">
        <v>46066</v>
      </c>
      <c r="K90" s="13"/>
    </row>
    <row r="91" spans="1:11" ht="18" x14ac:dyDescent="0.4">
      <c r="A91" s="7" t="s">
        <v>98</v>
      </c>
      <c r="B91" s="85" t="s">
        <v>99</v>
      </c>
      <c r="C91" s="8">
        <v>1097</v>
      </c>
      <c r="D91" s="9">
        <v>463602320</v>
      </c>
      <c r="E91" s="57">
        <v>500</v>
      </c>
      <c r="F91" s="10" t="s">
        <v>701</v>
      </c>
      <c r="G91" s="88">
        <v>0</v>
      </c>
      <c r="H91" s="70">
        <f t="shared" si="1"/>
        <v>0</v>
      </c>
      <c r="I91" s="11">
        <v>46069</v>
      </c>
      <c r="J91" s="11">
        <v>46066</v>
      </c>
      <c r="K91" s="13"/>
    </row>
    <row r="92" spans="1:11" ht="18" x14ac:dyDescent="0.4">
      <c r="A92" s="7" t="s">
        <v>98</v>
      </c>
      <c r="B92" s="85" t="s">
        <v>99</v>
      </c>
      <c r="C92" s="8">
        <v>1097</v>
      </c>
      <c r="D92" s="9">
        <v>463559530</v>
      </c>
      <c r="E92" s="57">
        <v>500</v>
      </c>
      <c r="F92" s="10" t="s">
        <v>702</v>
      </c>
      <c r="G92" s="88">
        <v>0</v>
      </c>
      <c r="H92" s="70">
        <f t="shared" si="1"/>
        <v>0</v>
      </c>
      <c r="I92" s="11">
        <v>46069</v>
      </c>
      <c r="J92" s="11">
        <v>46066</v>
      </c>
      <c r="K92" s="13"/>
    </row>
    <row r="93" spans="1:11" ht="18" x14ac:dyDescent="0.4">
      <c r="A93" s="7" t="s">
        <v>98</v>
      </c>
      <c r="B93" s="85" t="s">
        <v>108</v>
      </c>
      <c r="C93" s="8">
        <v>37866</v>
      </c>
      <c r="D93" s="9">
        <v>463535560</v>
      </c>
      <c r="E93" s="57">
        <v>800</v>
      </c>
      <c r="F93" s="10" t="s">
        <v>109</v>
      </c>
      <c r="G93" s="88">
        <v>0</v>
      </c>
      <c r="H93" s="70">
        <f t="shared" si="1"/>
        <v>0</v>
      </c>
      <c r="I93" s="11">
        <v>46069</v>
      </c>
      <c r="J93" s="11">
        <v>46066</v>
      </c>
      <c r="K93" s="13"/>
    </row>
    <row r="94" spans="1:11" ht="18" x14ac:dyDescent="0.4">
      <c r="A94" s="7" t="s">
        <v>98</v>
      </c>
      <c r="B94" s="85" t="s">
        <v>108</v>
      </c>
      <c r="C94" s="8">
        <v>37866</v>
      </c>
      <c r="D94" s="9">
        <v>463518180</v>
      </c>
      <c r="E94" s="57">
        <v>60</v>
      </c>
      <c r="F94" s="10" t="s">
        <v>110</v>
      </c>
      <c r="G94" s="88">
        <v>60</v>
      </c>
      <c r="H94" s="70">
        <f t="shared" si="1"/>
        <v>1</v>
      </c>
      <c r="I94" s="11">
        <v>46069</v>
      </c>
      <c r="J94" s="11">
        <v>46066</v>
      </c>
      <c r="K94" s="13"/>
    </row>
    <row r="95" spans="1:11" ht="18" x14ac:dyDescent="0.4">
      <c r="A95" s="7" t="s">
        <v>98</v>
      </c>
      <c r="B95" s="85" t="s">
        <v>108</v>
      </c>
      <c r="C95" s="8">
        <v>37866</v>
      </c>
      <c r="D95" s="9">
        <v>463480050</v>
      </c>
      <c r="E95" s="57">
        <v>800</v>
      </c>
      <c r="F95" s="10" t="s">
        <v>111</v>
      </c>
      <c r="G95" s="88">
        <v>0</v>
      </c>
      <c r="H95" s="70">
        <f t="shared" si="1"/>
        <v>0</v>
      </c>
      <c r="I95" s="11">
        <v>46069</v>
      </c>
      <c r="J95" s="11">
        <v>46066</v>
      </c>
      <c r="K95" s="13"/>
    </row>
    <row r="96" spans="1:11" ht="18" x14ac:dyDescent="0.4">
      <c r="A96" s="7" t="s">
        <v>98</v>
      </c>
      <c r="B96" s="85" t="s">
        <v>108</v>
      </c>
      <c r="C96" s="8">
        <v>37866</v>
      </c>
      <c r="D96" s="9">
        <v>463479660</v>
      </c>
      <c r="E96" s="57">
        <v>60</v>
      </c>
      <c r="F96" s="10" t="s">
        <v>110</v>
      </c>
      <c r="G96" s="88">
        <v>0</v>
      </c>
      <c r="H96" s="70">
        <f t="shared" si="1"/>
        <v>0</v>
      </c>
      <c r="I96" s="11">
        <v>46069</v>
      </c>
      <c r="J96" s="11">
        <v>46066</v>
      </c>
      <c r="K96" s="13"/>
    </row>
    <row r="97" spans="1:11" ht="18" x14ac:dyDescent="0.4">
      <c r="A97" s="7" t="s">
        <v>98</v>
      </c>
      <c r="B97" s="85" t="s">
        <v>108</v>
      </c>
      <c r="C97" s="8">
        <v>37866</v>
      </c>
      <c r="D97" s="9">
        <v>463542820</v>
      </c>
      <c r="E97" s="57">
        <v>60</v>
      </c>
      <c r="F97" s="10" t="s">
        <v>112</v>
      </c>
      <c r="G97" s="88">
        <v>0</v>
      </c>
      <c r="H97" s="70">
        <f t="shared" si="1"/>
        <v>0</v>
      </c>
      <c r="I97" s="11">
        <v>46069</v>
      </c>
      <c r="J97" s="11">
        <v>46066</v>
      </c>
      <c r="K97" s="13"/>
    </row>
    <row r="98" spans="1:11" ht="18" x14ac:dyDescent="0.4">
      <c r="A98" s="7" t="s">
        <v>98</v>
      </c>
      <c r="B98" s="85" t="s">
        <v>108</v>
      </c>
      <c r="C98" s="8">
        <v>37866</v>
      </c>
      <c r="D98" s="9">
        <v>463465610</v>
      </c>
      <c r="E98" s="57">
        <v>800</v>
      </c>
      <c r="F98" s="10" t="s">
        <v>113</v>
      </c>
      <c r="G98" s="88">
        <v>800</v>
      </c>
      <c r="H98" s="70">
        <f t="shared" si="1"/>
        <v>1</v>
      </c>
      <c r="I98" s="11">
        <v>46069</v>
      </c>
      <c r="J98" s="11">
        <v>46066</v>
      </c>
      <c r="K98" s="13"/>
    </row>
    <row r="99" spans="1:11" ht="18" x14ac:dyDescent="0.4">
      <c r="A99" s="7" t="s">
        <v>98</v>
      </c>
      <c r="B99" s="85" t="s">
        <v>108</v>
      </c>
      <c r="C99" s="8">
        <v>37866</v>
      </c>
      <c r="D99" s="9">
        <v>463599360</v>
      </c>
      <c r="E99" s="57">
        <v>60</v>
      </c>
      <c r="F99" s="10" t="s">
        <v>115</v>
      </c>
      <c r="G99" s="88">
        <v>60</v>
      </c>
      <c r="H99" s="70">
        <f t="shared" si="1"/>
        <v>1</v>
      </c>
      <c r="I99" s="11">
        <v>46069</v>
      </c>
      <c r="J99" s="11">
        <v>46066</v>
      </c>
      <c r="K99" s="13"/>
    </row>
    <row r="100" spans="1:11" ht="18" x14ac:dyDescent="0.4">
      <c r="A100" s="7" t="s">
        <v>98</v>
      </c>
      <c r="B100" s="85" t="s">
        <v>108</v>
      </c>
      <c r="C100" s="8">
        <v>37866</v>
      </c>
      <c r="D100" s="9">
        <v>463450640</v>
      </c>
      <c r="E100" s="57">
        <v>60</v>
      </c>
      <c r="F100" s="10" t="s">
        <v>116</v>
      </c>
      <c r="G100" s="88">
        <v>0</v>
      </c>
      <c r="H100" s="70">
        <f t="shared" si="1"/>
        <v>0</v>
      </c>
      <c r="I100" s="11">
        <v>46069</v>
      </c>
      <c r="J100" s="11">
        <v>46066</v>
      </c>
      <c r="K100" s="13"/>
    </row>
    <row r="101" spans="1:11" ht="18" x14ac:dyDescent="0.4">
      <c r="A101" s="7" t="s">
        <v>98</v>
      </c>
      <c r="B101" s="85" t="s">
        <v>108</v>
      </c>
      <c r="C101" s="8">
        <v>37866</v>
      </c>
      <c r="D101" s="9">
        <v>463497920</v>
      </c>
      <c r="E101" s="57">
        <v>60</v>
      </c>
      <c r="F101" s="10" t="s">
        <v>117</v>
      </c>
      <c r="G101" s="88">
        <v>0</v>
      </c>
      <c r="H101" s="70">
        <f t="shared" si="1"/>
        <v>0</v>
      </c>
      <c r="I101" s="11">
        <v>46069</v>
      </c>
      <c r="J101" s="11">
        <v>46066</v>
      </c>
      <c r="K101" s="13"/>
    </row>
    <row r="102" spans="1:11" ht="18" x14ac:dyDescent="0.4">
      <c r="A102" s="7" t="s">
        <v>98</v>
      </c>
      <c r="B102" s="85" t="s">
        <v>108</v>
      </c>
      <c r="C102" s="8">
        <v>37866</v>
      </c>
      <c r="D102" s="9">
        <v>463563850</v>
      </c>
      <c r="E102" s="57">
        <v>60</v>
      </c>
      <c r="F102" s="10" t="s">
        <v>117</v>
      </c>
      <c r="G102" s="88">
        <v>0</v>
      </c>
      <c r="H102" s="70">
        <f t="shared" si="1"/>
        <v>0</v>
      </c>
      <c r="I102" s="11">
        <v>46069</v>
      </c>
      <c r="J102" s="11">
        <v>46066</v>
      </c>
      <c r="K102" s="13"/>
    </row>
    <row r="103" spans="1:11" ht="18" x14ac:dyDescent="0.4">
      <c r="A103" s="7" t="s">
        <v>98</v>
      </c>
      <c r="B103" s="85" t="s">
        <v>108</v>
      </c>
      <c r="C103" s="8">
        <v>37866</v>
      </c>
      <c r="D103" s="9">
        <v>463564120</v>
      </c>
      <c r="E103" s="57">
        <v>60</v>
      </c>
      <c r="F103" s="10" t="s">
        <v>118</v>
      </c>
      <c r="G103" s="88">
        <v>0</v>
      </c>
      <c r="H103" s="70">
        <f t="shared" si="1"/>
        <v>0</v>
      </c>
      <c r="I103" s="11">
        <v>46069</v>
      </c>
      <c r="J103" s="11">
        <v>46066</v>
      </c>
      <c r="K103" s="13"/>
    </row>
    <row r="104" spans="1:11" ht="18" x14ac:dyDescent="0.4">
      <c r="A104" s="7" t="s">
        <v>98</v>
      </c>
      <c r="B104" s="85" t="s">
        <v>108</v>
      </c>
      <c r="C104" s="8">
        <v>37866</v>
      </c>
      <c r="D104" s="9">
        <v>463577620</v>
      </c>
      <c r="E104" s="57">
        <v>60</v>
      </c>
      <c r="F104" s="10" t="s">
        <v>119</v>
      </c>
      <c r="G104" s="88">
        <v>300</v>
      </c>
      <c r="H104" s="70">
        <f t="shared" si="1"/>
        <v>5</v>
      </c>
      <c r="I104" s="11">
        <v>46069</v>
      </c>
      <c r="J104" s="11">
        <v>46066</v>
      </c>
      <c r="K104" s="13"/>
    </row>
    <row r="105" spans="1:11" ht="18" x14ac:dyDescent="0.4">
      <c r="A105" s="7" t="s">
        <v>98</v>
      </c>
      <c r="B105" s="85" t="s">
        <v>108</v>
      </c>
      <c r="C105" s="8">
        <v>37866</v>
      </c>
      <c r="D105" s="9">
        <v>463578580</v>
      </c>
      <c r="E105" s="57">
        <v>60</v>
      </c>
      <c r="F105" s="10" t="s">
        <v>120</v>
      </c>
      <c r="G105" s="88">
        <v>0</v>
      </c>
      <c r="H105" s="70">
        <f t="shared" si="1"/>
        <v>0</v>
      </c>
      <c r="I105" s="11">
        <v>46069</v>
      </c>
      <c r="J105" s="11">
        <v>46066</v>
      </c>
      <c r="K105" s="13"/>
    </row>
    <row r="106" spans="1:11" ht="18" x14ac:dyDescent="0.4">
      <c r="A106" s="7" t="s">
        <v>98</v>
      </c>
      <c r="B106" s="85" t="s">
        <v>108</v>
      </c>
      <c r="C106" s="8">
        <v>37866</v>
      </c>
      <c r="D106" s="9">
        <v>463576540</v>
      </c>
      <c r="E106" s="57">
        <v>60</v>
      </c>
      <c r="F106" s="10" t="s">
        <v>121</v>
      </c>
      <c r="G106" s="88">
        <v>120</v>
      </c>
      <c r="H106" s="70">
        <f t="shared" si="1"/>
        <v>2</v>
      </c>
      <c r="I106" s="11">
        <v>46069</v>
      </c>
      <c r="J106" s="11">
        <v>46066</v>
      </c>
      <c r="K106" s="13"/>
    </row>
    <row r="107" spans="1:11" ht="18" x14ac:dyDescent="0.4">
      <c r="A107" s="7" t="s">
        <v>98</v>
      </c>
      <c r="B107" s="85" t="s">
        <v>108</v>
      </c>
      <c r="C107" s="8">
        <v>37866</v>
      </c>
      <c r="D107" s="9">
        <v>463571180</v>
      </c>
      <c r="E107" s="57">
        <v>60</v>
      </c>
      <c r="F107" s="10" t="s">
        <v>122</v>
      </c>
      <c r="G107" s="88">
        <v>420</v>
      </c>
      <c r="H107" s="70">
        <f t="shared" si="1"/>
        <v>7</v>
      </c>
      <c r="I107" s="11">
        <v>46069</v>
      </c>
      <c r="J107" s="11">
        <v>46066</v>
      </c>
      <c r="K107" s="13"/>
    </row>
    <row r="108" spans="1:11" ht="18" x14ac:dyDescent="0.4">
      <c r="A108" s="7" t="s">
        <v>98</v>
      </c>
      <c r="B108" s="85" t="s">
        <v>123</v>
      </c>
      <c r="C108" s="8">
        <v>27951</v>
      </c>
      <c r="D108" s="9">
        <v>463385060</v>
      </c>
      <c r="E108" s="57">
        <v>800</v>
      </c>
      <c r="F108" s="10" t="s">
        <v>124</v>
      </c>
      <c r="G108" s="88">
        <v>0</v>
      </c>
      <c r="H108" s="70">
        <f t="shared" si="1"/>
        <v>0</v>
      </c>
      <c r="I108" s="11">
        <v>46069</v>
      </c>
      <c r="J108" s="11">
        <v>46066</v>
      </c>
      <c r="K108" s="13"/>
    </row>
    <row r="109" spans="1:11" ht="18" x14ac:dyDescent="0.4">
      <c r="A109" s="7" t="s">
        <v>98</v>
      </c>
      <c r="B109" s="85" t="s">
        <v>123</v>
      </c>
      <c r="C109" s="8">
        <v>27951</v>
      </c>
      <c r="D109" s="9">
        <v>552821660</v>
      </c>
      <c r="E109" s="57">
        <v>600</v>
      </c>
      <c r="F109" s="10" t="s">
        <v>125</v>
      </c>
      <c r="G109" s="88">
        <v>0</v>
      </c>
      <c r="H109" s="70">
        <f t="shared" si="1"/>
        <v>0</v>
      </c>
      <c r="I109" s="11">
        <v>46069</v>
      </c>
      <c r="J109" s="11">
        <v>46066</v>
      </c>
      <c r="K109" s="13"/>
    </row>
    <row r="110" spans="1:11" ht="18" x14ac:dyDescent="0.4">
      <c r="A110" s="7" t="s">
        <v>98</v>
      </c>
      <c r="B110" s="85" t="s">
        <v>123</v>
      </c>
      <c r="C110" s="8">
        <v>27951</v>
      </c>
      <c r="D110" s="9">
        <v>552822750</v>
      </c>
      <c r="E110" s="57">
        <v>300</v>
      </c>
      <c r="F110" s="10" t="s">
        <v>126</v>
      </c>
      <c r="G110" s="88">
        <v>0</v>
      </c>
      <c r="H110" s="70">
        <f t="shared" si="1"/>
        <v>0</v>
      </c>
      <c r="I110" s="11">
        <v>46069</v>
      </c>
      <c r="J110" s="11">
        <v>46066</v>
      </c>
      <c r="K110" s="13"/>
    </row>
    <row r="111" spans="1:11" ht="18" x14ac:dyDescent="0.4">
      <c r="A111" s="7" t="s">
        <v>98</v>
      </c>
      <c r="B111" s="85" t="s">
        <v>123</v>
      </c>
      <c r="C111" s="8">
        <v>27951</v>
      </c>
      <c r="D111" s="9">
        <v>552821670</v>
      </c>
      <c r="E111" s="57">
        <v>100</v>
      </c>
      <c r="F111" s="10" t="s">
        <v>127</v>
      </c>
      <c r="G111" s="88">
        <v>0</v>
      </c>
      <c r="H111" s="70">
        <f t="shared" si="1"/>
        <v>0</v>
      </c>
      <c r="I111" s="11">
        <v>46069</v>
      </c>
      <c r="J111" s="11">
        <v>46066</v>
      </c>
      <c r="K111" s="13"/>
    </row>
    <row r="112" spans="1:11" ht="18" x14ac:dyDescent="0.4">
      <c r="A112" s="7" t="s">
        <v>98</v>
      </c>
      <c r="B112" s="85" t="s">
        <v>123</v>
      </c>
      <c r="C112" s="8">
        <v>27951</v>
      </c>
      <c r="D112" s="9">
        <v>552845970</v>
      </c>
      <c r="E112" s="57">
        <v>600</v>
      </c>
      <c r="F112" s="10" t="s">
        <v>127</v>
      </c>
      <c r="G112" s="88">
        <v>0</v>
      </c>
      <c r="H112" s="70">
        <f t="shared" si="1"/>
        <v>0</v>
      </c>
      <c r="I112" s="11">
        <v>46069</v>
      </c>
      <c r="J112" s="11">
        <v>46066</v>
      </c>
      <c r="K112" s="13"/>
    </row>
    <row r="113" spans="1:11" ht="18" x14ac:dyDescent="0.4">
      <c r="A113" s="7" t="s">
        <v>98</v>
      </c>
      <c r="B113" s="85" t="s">
        <v>123</v>
      </c>
      <c r="C113" s="8">
        <v>27951</v>
      </c>
      <c r="D113" s="9">
        <v>552798810</v>
      </c>
      <c r="E113" s="57">
        <v>250</v>
      </c>
      <c r="F113" s="10" t="s">
        <v>127</v>
      </c>
      <c r="G113" s="88">
        <v>0</v>
      </c>
      <c r="H113" s="70">
        <f t="shared" si="1"/>
        <v>0</v>
      </c>
      <c r="I113" s="11">
        <v>46069</v>
      </c>
      <c r="J113" s="11">
        <v>46066</v>
      </c>
      <c r="K113" s="13"/>
    </row>
    <row r="114" spans="1:11" ht="18" x14ac:dyDescent="0.4">
      <c r="A114" s="7" t="s">
        <v>98</v>
      </c>
      <c r="B114" s="85" t="s">
        <v>123</v>
      </c>
      <c r="C114" s="8">
        <v>27951</v>
      </c>
      <c r="D114" s="9">
        <v>552842340</v>
      </c>
      <c r="E114" s="57">
        <v>800</v>
      </c>
      <c r="F114" s="10" t="s">
        <v>127</v>
      </c>
      <c r="G114" s="88">
        <v>0</v>
      </c>
      <c r="H114" s="70">
        <f t="shared" si="1"/>
        <v>0</v>
      </c>
      <c r="I114" s="11">
        <v>46069</v>
      </c>
      <c r="J114" s="11">
        <v>46066</v>
      </c>
      <c r="K114" s="13"/>
    </row>
    <row r="115" spans="1:11" ht="18" x14ac:dyDescent="0.4">
      <c r="A115" s="7" t="s">
        <v>98</v>
      </c>
      <c r="B115" s="85" t="s">
        <v>123</v>
      </c>
      <c r="C115" s="8">
        <v>27951</v>
      </c>
      <c r="D115" s="9">
        <v>552822630</v>
      </c>
      <c r="E115" s="57">
        <v>600</v>
      </c>
      <c r="F115" s="10" t="s">
        <v>127</v>
      </c>
      <c r="G115" s="88">
        <v>0</v>
      </c>
      <c r="H115" s="70">
        <f t="shared" si="1"/>
        <v>0</v>
      </c>
      <c r="I115" s="11">
        <v>46069</v>
      </c>
      <c r="J115" s="11">
        <v>46066</v>
      </c>
      <c r="K115" s="13"/>
    </row>
    <row r="116" spans="1:11" ht="18" x14ac:dyDescent="0.4">
      <c r="A116" s="7" t="s">
        <v>98</v>
      </c>
      <c r="B116" s="85" t="s">
        <v>123</v>
      </c>
      <c r="C116" s="8">
        <v>27951</v>
      </c>
      <c r="D116" s="9">
        <v>552799020</v>
      </c>
      <c r="E116" s="57">
        <v>200</v>
      </c>
      <c r="F116" s="10" t="s">
        <v>127</v>
      </c>
      <c r="G116" s="88">
        <v>0</v>
      </c>
      <c r="H116" s="70">
        <f t="shared" si="1"/>
        <v>0</v>
      </c>
      <c r="I116" s="11">
        <v>46069</v>
      </c>
      <c r="J116" s="11">
        <v>46066</v>
      </c>
      <c r="K116" s="13"/>
    </row>
    <row r="117" spans="1:11" ht="18" x14ac:dyDescent="0.4">
      <c r="A117" s="7" t="s">
        <v>98</v>
      </c>
      <c r="B117" s="85" t="s">
        <v>123</v>
      </c>
      <c r="C117" s="8">
        <v>27951</v>
      </c>
      <c r="D117" s="9">
        <v>463369240</v>
      </c>
      <c r="E117" s="57">
        <v>500</v>
      </c>
      <c r="F117" s="10" t="s">
        <v>127</v>
      </c>
      <c r="G117" s="88">
        <v>0</v>
      </c>
      <c r="H117" s="70">
        <f t="shared" si="1"/>
        <v>0</v>
      </c>
      <c r="I117" s="11">
        <v>46069</v>
      </c>
      <c r="J117" s="11">
        <v>46066</v>
      </c>
      <c r="K117" s="13"/>
    </row>
    <row r="118" spans="1:11" ht="18" x14ac:dyDescent="0.4">
      <c r="A118" s="7" t="s">
        <v>98</v>
      </c>
      <c r="B118" s="85" t="s">
        <v>123</v>
      </c>
      <c r="C118" s="8">
        <v>27951</v>
      </c>
      <c r="D118" s="9">
        <v>463398780</v>
      </c>
      <c r="E118" s="57">
        <v>400</v>
      </c>
      <c r="F118" s="10" t="s">
        <v>128</v>
      </c>
      <c r="G118" s="88">
        <v>0</v>
      </c>
      <c r="H118" s="70">
        <f t="shared" si="1"/>
        <v>0</v>
      </c>
      <c r="I118" s="11">
        <v>46069</v>
      </c>
      <c r="J118" s="11">
        <v>46066</v>
      </c>
      <c r="K118" s="13"/>
    </row>
    <row r="119" spans="1:11" ht="18" x14ac:dyDescent="0.4">
      <c r="A119" s="7" t="s">
        <v>98</v>
      </c>
      <c r="B119" s="85" t="s">
        <v>123</v>
      </c>
      <c r="C119" s="8">
        <v>27951</v>
      </c>
      <c r="D119" s="9">
        <v>552822620</v>
      </c>
      <c r="E119" s="57">
        <v>800</v>
      </c>
      <c r="F119" s="10" t="s">
        <v>129</v>
      </c>
      <c r="G119" s="88">
        <v>0</v>
      </c>
      <c r="H119" s="70">
        <f t="shared" si="1"/>
        <v>0</v>
      </c>
      <c r="I119" s="11">
        <v>46069</v>
      </c>
      <c r="J119" s="11">
        <v>46066</v>
      </c>
      <c r="K119" s="13"/>
    </row>
    <row r="120" spans="1:11" ht="18" x14ac:dyDescent="0.4">
      <c r="A120" s="7" t="s">
        <v>98</v>
      </c>
      <c r="B120" s="85" t="s">
        <v>123</v>
      </c>
      <c r="C120" s="8">
        <v>27951</v>
      </c>
      <c r="D120" s="9">
        <v>463473640</v>
      </c>
      <c r="E120" s="57">
        <v>500</v>
      </c>
      <c r="F120" s="10" t="s">
        <v>130</v>
      </c>
      <c r="G120" s="88">
        <v>0</v>
      </c>
      <c r="H120" s="70">
        <f t="shared" si="1"/>
        <v>0</v>
      </c>
      <c r="I120" s="11">
        <v>46069</v>
      </c>
      <c r="J120" s="11">
        <v>46066</v>
      </c>
      <c r="K120" s="13"/>
    </row>
    <row r="121" spans="1:11" ht="18" x14ac:dyDescent="0.4">
      <c r="A121" s="7" t="s">
        <v>98</v>
      </c>
      <c r="B121" s="85" t="s">
        <v>123</v>
      </c>
      <c r="C121" s="8">
        <v>27951</v>
      </c>
      <c r="D121" s="9">
        <v>552831540</v>
      </c>
      <c r="E121" s="57">
        <v>400</v>
      </c>
      <c r="F121" s="10" t="s">
        <v>131</v>
      </c>
      <c r="G121" s="88">
        <v>0</v>
      </c>
      <c r="H121" s="70">
        <f t="shared" si="1"/>
        <v>0</v>
      </c>
      <c r="I121" s="11">
        <v>46069</v>
      </c>
      <c r="J121" s="11">
        <v>46066</v>
      </c>
      <c r="K121" s="13"/>
    </row>
    <row r="122" spans="1:11" ht="18" x14ac:dyDescent="0.4">
      <c r="A122" s="7" t="s">
        <v>98</v>
      </c>
      <c r="B122" s="85" t="s">
        <v>123</v>
      </c>
      <c r="C122" s="8">
        <v>27951</v>
      </c>
      <c r="D122" s="9">
        <v>187517280</v>
      </c>
      <c r="E122" s="57">
        <v>400</v>
      </c>
      <c r="F122" s="10" t="s">
        <v>132</v>
      </c>
      <c r="G122" s="88">
        <v>0</v>
      </c>
      <c r="H122" s="70">
        <f t="shared" si="1"/>
        <v>0</v>
      </c>
      <c r="I122" s="11">
        <v>46069</v>
      </c>
      <c r="J122" s="11">
        <v>46066</v>
      </c>
      <c r="K122" s="13"/>
    </row>
    <row r="123" spans="1:11" ht="18" x14ac:dyDescent="0.4">
      <c r="A123" s="7" t="s">
        <v>98</v>
      </c>
      <c r="B123" s="85" t="s">
        <v>123</v>
      </c>
      <c r="C123" s="8">
        <v>27951</v>
      </c>
      <c r="D123" s="9">
        <v>552822460</v>
      </c>
      <c r="E123" s="57">
        <v>650</v>
      </c>
      <c r="F123" s="10" t="s">
        <v>133</v>
      </c>
      <c r="G123" s="88">
        <v>0</v>
      </c>
      <c r="H123" s="70">
        <f t="shared" si="1"/>
        <v>0</v>
      </c>
      <c r="I123" s="11">
        <v>46069</v>
      </c>
      <c r="J123" s="11">
        <v>46066</v>
      </c>
      <c r="K123" s="13"/>
    </row>
    <row r="124" spans="1:11" ht="18" x14ac:dyDescent="0.4">
      <c r="A124" s="7" t="s">
        <v>98</v>
      </c>
      <c r="B124" s="85" t="s">
        <v>123</v>
      </c>
      <c r="C124" s="8">
        <v>27951</v>
      </c>
      <c r="D124" s="9">
        <v>552821610</v>
      </c>
      <c r="E124" s="57">
        <v>150</v>
      </c>
      <c r="F124" s="10" t="s">
        <v>134</v>
      </c>
      <c r="G124" s="88">
        <v>0</v>
      </c>
      <c r="H124" s="70">
        <f t="shared" si="1"/>
        <v>0</v>
      </c>
      <c r="I124" s="11">
        <v>46069</v>
      </c>
      <c r="J124" s="11">
        <v>46066</v>
      </c>
      <c r="K124" s="13"/>
    </row>
    <row r="125" spans="1:11" ht="18" x14ac:dyDescent="0.4">
      <c r="A125" s="7" t="s">
        <v>98</v>
      </c>
      <c r="B125" s="85" t="s">
        <v>123</v>
      </c>
      <c r="C125" s="8">
        <v>27951</v>
      </c>
      <c r="D125" s="9">
        <v>552842370</v>
      </c>
      <c r="E125" s="57">
        <v>400</v>
      </c>
      <c r="F125" s="10" t="s">
        <v>135</v>
      </c>
      <c r="G125" s="88">
        <v>0</v>
      </c>
      <c r="H125" s="70">
        <f t="shared" si="1"/>
        <v>0</v>
      </c>
      <c r="I125" s="11">
        <v>46069</v>
      </c>
      <c r="J125" s="11">
        <v>46066</v>
      </c>
      <c r="K125" s="13"/>
    </row>
    <row r="126" spans="1:11" ht="18" x14ac:dyDescent="0.4">
      <c r="A126" s="7" t="s">
        <v>98</v>
      </c>
      <c r="B126" s="86" t="s">
        <v>123</v>
      </c>
      <c r="C126" s="8">
        <v>27951</v>
      </c>
      <c r="D126" s="9">
        <v>552821600</v>
      </c>
      <c r="E126" s="57">
        <v>300</v>
      </c>
      <c r="F126" s="10" t="s">
        <v>136</v>
      </c>
      <c r="G126" s="88">
        <v>0</v>
      </c>
      <c r="H126" s="70">
        <f t="shared" si="1"/>
        <v>0</v>
      </c>
      <c r="I126" s="11">
        <v>46069</v>
      </c>
      <c r="J126" s="11">
        <v>46066</v>
      </c>
      <c r="K126" s="13"/>
    </row>
    <row r="127" spans="1:11" ht="18" x14ac:dyDescent="0.4">
      <c r="A127" s="7" t="s">
        <v>98</v>
      </c>
      <c r="B127" s="86" t="s">
        <v>137</v>
      </c>
      <c r="C127" s="8">
        <v>36019</v>
      </c>
      <c r="D127" s="9">
        <v>463375300</v>
      </c>
      <c r="E127" s="57">
        <v>1000</v>
      </c>
      <c r="F127" s="10" t="s">
        <v>390</v>
      </c>
      <c r="G127" s="88">
        <v>0</v>
      </c>
      <c r="H127" s="70">
        <f t="shared" si="1"/>
        <v>0</v>
      </c>
      <c r="I127" s="11">
        <v>46069</v>
      </c>
      <c r="J127" s="11">
        <v>46066</v>
      </c>
      <c r="K127" s="13"/>
    </row>
    <row r="128" spans="1:11" ht="18" x14ac:dyDescent="0.4">
      <c r="A128" s="7" t="s">
        <v>98</v>
      </c>
      <c r="B128" s="86" t="s">
        <v>137</v>
      </c>
      <c r="C128" s="8">
        <v>36019</v>
      </c>
      <c r="D128" s="9">
        <v>463385060</v>
      </c>
      <c r="E128" s="57">
        <v>800</v>
      </c>
      <c r="F128" s="10" t="s">
        <v>124</v>
      </c>
      <c r="G128" s="88">
        <v>0</v>
      </c>
      <c r="H128" s="70">
        <f t="shared" si="1"/>
        <v>0</v>
      </c>
      <c r="I128" s="11">
        <v>46069</v>
      </c>
      <c r="J128" s="11">
        <v>46066</v>
      </c>
      <c r="K128" s="13"/>
    </row>
    <row r="129" spans="1:11" ht="18" x14ac:dyDescent="0.4">
      <c r="A129" s="7" t="s">
        <v>98</v>
      </c>
      <c r="B129" s="86" t="s">
        <v>137</v>
      </c>
      <c r="C129" s="8">
        <v>36019</v>
      </c>
      <c r="D129" s="9">
        <v>552821660</v>
      </c>
      <c r="E129" s="57">
        <v>600</v>
      </c>
      <c r="F129" s="10" t="s">
        <v>125</v>
      </c>
      <c r="G129" s="88">
        <v>0</v>
      </c>
      <c r="H129" s="70">
        <f t="shared" si="1"/>
        <v>0</v>
      </c>
      <c r="I129" s="11">
        <v>46069</v>
      </c>
      <c r="J129" s="11">
        <v>46066</v>
      </c>
      <c r="K129" s="13"/>
    </row>
    <row r="130" spans="1:11" ht="18" x14ac:dyDescent="0.4">
      <c r="A130" s="7" t="s">
        <v>98</v>
      </c>
      <c r="B130" s="86" t="s">
        <v>137</v>
      </c>
      <c r="C130" s="8">
        <v>36019</v>
      </c>
      <c r="D130" s="9">
        <v>552822750</v>
      </c>
      <c r="E130" s="57">
        <v>300</v>
      </c>
      <c r="F130" s="10" t="s">
        <v>126</v>
      </c>
      <c r="G130" s="88">
        <v>0</v>
      </c>
      <c r="H130" s="70">
        <f t="shared" si="1"/>
        <v>0</v>
      </c>
      <c r="I130" s="11">
        <v>46069</v>
      </c>
      <c r="J130" s="11">
        <v>46066</v>
      </c>
      <c r="K130" s="13"/>
    </row>
    <row r="131" spans="1:11" ht="18" x14ac:dyDescent="0.4">
      <c r="A131" s="7" t="s">
        <v>98</v>
      </c>
      <c r="B131" s="86" t="s">
        <v>137</v>
      </c>
      <c r="C131" s="8">
        <v>36019</v>
      </c>
      <c r="D131" s="9">
        <v>552821670</v>
      </c>
      <c r="E131" s="57">
        <v>100</v>
      </c>
      <c r="F131" s="10" t="s">
        <v>127</v>
      </c>
      <c r="G131" s="88">
        <v>0</v>
      </c>
      <c r="H131" s="70">
        <f t="shared" si="1"/>
        <v>0</v>
      </c>
      <c r="I131" s="11">
        <v>46069</v>
      </c>
      <c r="J131" s="11">
        <v>46066</v>
      </c>
      <c r="K131" s="13"/>
    </row>
    <row r="132" spans="1:11" ht="18" x14ac:dyDescent="0.4">
      <c r="A132" s="7" t="s">
        <v>98</v>
      </c>
      <c r="B132" s="86" t="s">
        <v>137</v>
      </c>
      <c r="C132" s="8">
        <v>36019</v>
      </c>
      <c r="D132" s="9">
        <v>552845970</v>
      </c>
      <c r="E132" s="57">
        <v>600</v>
      </c>
      <c r="F132" s="10" t="s">
        <v>127</v>
      </c>
      <c r="G132" s="88">
        <v>0</v>
      </c>
      <c r="H132" s="70">
        <f t="shared" ref="H132:H219" si="2">+G132/E132</f>
        <v>0</v>
      </c>
      <c r="I132" s="11">
        <v>46069</v>
      </c>
      <c r="J132" s="11">
        <v>46066</v>
      </c>
      <c r="K132" s="13"/>
    </row>
    <row r="133" spans="1:11" ht="18" x14ac:dyDescent="0.4">
      <c r="A133" s="7" t="s">
        <v>98</v>
      </c>
      <c r="B133" s="86" t="s">
        <v>137</v>
      </c>
      <c r="C133" s="8">
        <v>36019</v>
      </c>
      <c r="D133" s="9">
        <v>552798810</v>
      </c>
      <c r="E133" s="57">
        <v>250</v>
      </c>
      <c r="F133" s="10" t="s">
        <v>127</v>
      </c>
      <c r="G133" s="88">
        <v>0</v>
      </c>
      <c r="H133" s="70">
        <f t="shared" si="2"/>
        <v>0</v>
      </c>
      <c r="I133" s="11">
        <v>46069</v>
      </c>
      <c r="J133" s="11">
        <v>46066</v>
      </c>
      <c r="K133" s="13"/>
    </row>
    <row r="134" spans="1:11" ht="18" x14ac:dyDescent="0.4">
      <c r="A134" s="7" t="s">
        <v>98</v>
      </c>
      <c r="B134" s="86" t="s">
        <v>137</v>
      </c>
      <c r="C134" s="8">
        <v>36019</v>
      </c>
      <c r="D134" s="9">
        <v>552842340</v>
      </c>
      <c r="E134" s="57">
        <v>800</v>
      </c>
      <c r="F134" s="10" t="s">
        <v>127</v>
      </c>
      <c r="G134" s="88">
        <v>0</v>
      </c>
      <c r="H134" s="70">
        <f t="shared" si="2"/>
        <v>0</v>
      </c>
      <c r="I134" s="11">
        <v>46069</v>
      </c>
      <c r="J134" s="11">
        <v>46066</v>
      </c>
      <c r="K134" s="13"/>
    </row>
    <row r="135" spans="1:11" ht="18" x14ac:dyDescent="0.4">
      <c r="A135" s="7" t="s">
        <v>98</v>
      </c>
      <c r="B135" s="86" t="s">
        <v>137</v>
      </c>
      <c r="C135" s="8">
        <v>36019</v>
      </c>
      <c r="D135" s="9">
        <v>552822630</v>
      </c>
      <c r="E135" s="57">
        <v>600</v>
      </c>
      <c r="F135" s="10" t="s">
        <v>127</v>
      </c>
      <c r="G135" s="88">
        <v>0</v>
      </c>
      <c r="H135" s="70">
        <f t="shared" si="2"/>
        <v>0</v>
      </c>
      <c r="I135" s="11">
        <v>46069</v>
      </c>
      <c r="J135" s="11">
        <v>46066</v>
      </c>
      <c r="K135" s="13"/>
    </row>
    <row r="136" spans="1:11" ht="18" x14ac:dyDescent="0.4">
      <c r="A136" s="7" t="s">
        <v>98</v>
      </c>
      <c r="B136" s="86" t="s">
        <v>137</v>
      </c>
      <c r="C136" s="8">
        <v>36019</v>
      </c>
      <c r="D136" s="9">
        <v>552799020</v>
      </c>
      <c r="E136" s="57">
        <v>200</v>
      </c>
      <c r="F136" s="10" t="s">
        <v>127</v>
      </c>
      <c r="G136" s="88">
        <v>0</v>
      </c>
      <c r="H136" s="70">
        <f t="shared" si="2"/>
        <v>0</v>
      </c>
      <c r="I136" s="11">
        <v>46069</v>
      </c>
      <c r="J136" s="11">
        <v>46066</v>
      </c>
      <c r="K136" s="13"/>
    </row>
    <row r="137" spans="1:11" ht="18" x14ac:dyDescent="0.4">
      <c r="A137" s="7" t="s">
        <v>98</v>
      </c>
      <c r="B137" s="86" t="s">
        <v>137</v>
      </c>
      <c r="C137" s="8">
        <v>36019</v>
      </c>
      <c r="D137" s="9">
        <v>463369240</v>
      </c>
      <c r="E137" s="57">
        <v>500</v>
      </c>
      <c r="F137" s="10" t="s">
        <v>127</v>
      </c>
      <c r="G137" s="88">
        <v>0</v>
      </c>
      <c r="H137" s="70">
        <f t="shared" si="2"/>
        <v>0</v>
      </c>
      <c r="I137" s="11">
        <v>46069</v>
      </c>
      <c r="J137" s="11">
        <v>46066</v>
      </c>
      <c r="K137" s="13"/>
    </row>
    <row r="138" spans="1:11" ht="18" x14ac:dyDescent="0.4">
      <c r="A138" s="7" t="s">
        <v>98</v>
      </c>
      <c r="B138" s="86" t="s">
        <v>137</v>
      </c>
      <c r="C138" s="8">
        <v>36019</v>
      </c>
      <c r="D138" s="9">
        <v>463398780</v>
      </c>
      <c r="E138" s="57">
        <v>400</v>
      </c>
      <c r="F138" s="10" t="s">
        <v>128</v>
      </c>
      <c r="G138" s="88">
        <v>0</v>
      </c>
      <c r="H138" s="70">
        <f t="shared" si="2"/>
        <v>0</v>
      </c>
      <c r="I138" s="11">
        <v>46069</v>
      </c>
      <c r="J138" s="11">
        <v>46066</v>
      </c>
      <c r="K138" s="13"/>
    </row>
    <row r="139" spans="1:11" ht="18" x14ac:dyDescent="0.4">
      <c r="A139" s="7" t="s">
        <v>98</v>
      </c>
      <c r="B139" s="86" t="s">
        <v>137</v>
      </c>
      <c r="C139" s="8">
        <v>36019</v>
      </c>
      <c r="D139" s="9">
        <v>552822620</v>
      </c>
      <c r="E139" s="57">
        <v>800</v>
      </c>
      <c r="F139" s="10" t="s">
        <v>129</v>
      </c>
      <c r="G139" s="88">
        <v>0</v>
      </c>
      <c r="H139" s="70">
        <f t="shared" si="2"/>
        <v>0</v>
      </c>
      <c r="I139" s="11">
        <v>46069</v>
      </c>
      <c r="J139" s="11">
        <v>46066</v>
      </c>
      <c r="K139" s="13"/>
    </row>
    <row r="140" spans="1:11" ht="18" x14ac:dyDescent="0.4">
      <c r="A140" s="7" t="s">
        <v>98</v>
      </c>
      <c r="B140" s="86" t="s">
        <v>137</v>
      </c>
      <c r="C140" s="8">
        <v>36019</v>
      </c>
      <c r="D140" s="9">
        <v>463473640</v>
      </c>
      <c r="E140" s="57">
        <v>500</v>
      </c>
      <c r="F140" s="10" t="s">
        <v>130</v>
      </c>
      <c r="G140" s="88">
        <v>0</v>
      </c>
      <c r="H140" s="70">
        <f t="shared" si="2"/>
        <v>0</v>
      </c>
      <c r="I140" s="11">
        <v>46069</v>
      </c>
      <c r="J140" s="11">
        <v>46066</v>
      </c>
      <c r="K140" s="13"/>
    </row>
    <row r="141" spans="1:11" ht="18" x14ac:dyDescent="0.4">
      <c r="A141" s="7" t="s">
        <v>98</v>
      </c>
      <c r="B141" s="86" t="s">
        <v>137</v>
      </c>
      <c r="C141" s="8">
        <v>36019</v>
      </c>
      <c r="D141" s="9">
        <v>552831540</v>
      </c>
      <c r="E141" s="57">
        <v>400</v>
      </c>
      <c r="F141" s="10" t="s">
        <v>131</v>
      </c>
      <c r="G141" s="88">
        <v>0</v>
      </c>
      <c r="H141" s="70">
        <f t="shared" si="2"/>
        <v>0</v>
      </c>
      <c r="I141" s="11">
        <v>46069</v>
      </c>
      <c r="J141" s="11">
        <v>46066</v>
      </c>
      <c r="K141" s="13"/>
    </row>
    <row r="142" spans="1:11" ht="18" x14ac:dyDescent="0.4">
      <c r="A142" s="7" t="s">
        <v>98</v>
      </c>
      <c r="B142" s="86" t="s">
        <v>137</v>
      </c>
      <c r="C142" s="8">
        <v>36019</v>
      </c>
      <c r="D142" s="9">
        <v>187517280</v>
      </c>
      <c r="E142" s="57">
        <v>400</v>
      </c>
      <c r="F142" s="10" t="s">
        <v>132</v>
      </c>
      <c r="G142" s="88">
        <v>0</v>
      </c>
      <c r="H142" s="70">
        <f t="shared" si="2"/>
        <v>0</v>
      </c>
      <c r="I142" s="11">
        <v>46069</v>
      </c>
      <c r="J142" s="11">
        <v>46066</v>
      </c>
      <c r="K142" s="13"/>
    </row>
    <row r="143" spans="1:11" ht="18" x14ac:dyDescent="0.4">
      <c r="A143" s="7" t="s">
        <v>98</v>
      </c>
      <c r="B143" s="86" t="s">
        <v>137</v>
      </c>
      <c r="C143" s="8">
        <v>36019</v>
      </c>
      <c r="D143" s="9">
        <v>552822460</v>
      </c>
      <c r="E143" s="57">
        <v>650</v>
      </c>
      <c r="F143" s="10" t="s">
        <v>133</v>
      </c>
      <c r="G143" s="88">
        <v>0</v>
      </c>
      <c r="H143" s="70">
        <f t="shared" si="2"/>
        <v>0</v>
      </c>
      <c r="I143" s="11">
        <v>46069</v>
      </c>
      <c r="J143" s="11">
        <v>46066</v>
      </c>
      <c r="K143" s="13"/>
    </row>
    <row r="144" spans="1:11" ht="18" x14ac:dyDescent="0.4">
      <c r="A144" s="7" t="s">
        <v>98</v>
      </c>
      <c r="B144" s="86" t="s">
        <v>137</v>
      </c>
      <c r="C144" s="8">
        <v>36019</v>
      </c>
      <c r="D144" s="9">
        <v>552821610</v>
      </c>
      <c r="E144" s="57">
        <v>150</v>
      </c>
      <c r="F144" s="10" t="s">
        <v>134</v>
      </c>
      <c r="G144" s="88">
        <v>0</v>
      </c>
      <c r="H144" s="70">
        <f t="shared" si="2"/>
        <v>0</v>
      </c>
      <c r="I144" s="11">
        <v>46069</v>
      </c>
      <c r="J144" s="11">
        <v>46066</v>
      </c>
      <c r="K144" s="13"/>
    </row>
    <row r="145" spans="1:11" ht="18" x14ac:dyDescent="0.4">
      <c r="A145" s="7" t="s">
        <v>98</v>
      </c>
      <c r="B145" s="86" t="s">
        <v>137</v>
      </c>
      <c r="C145" s="8">
        <v>36019</v>
      </c>
      <c r="D145" s="9">
        <v>552842370</v>
      </c>
      <c r="E145" s="57">
        <v>400</v>
      </c>
      <c r="F145" s="10" t="s">
        <v>135</v>
      </c>
      <c r="G145" s="88">
        <v>0</v>
      </c>
      <c r="H145" s="70">
        <f t="shared" si="2"/>
        <v>0</v>
      </c>
      <c r="I145" s="11">
        <v>46069</v>
      </c>
      <c r="J145" s="11">
        <v>46066</v>
      </c>
      <c r="K145" s="13"/>
    </row>
    <row r="146" spans="1:11" ht="18" x14ac:dyDescent="0.4">
      <c r="A146" s="7" t="s">
        <v>98</v>
      </c>
      <c r="B146" s="86" t="s">
        <v>137</v>
      </c>
      <c r="C146" s="8">
        <v>36019</v>
      </c>
      <c r="D146" s="9">
        <v>552821600</v>
      </c>
      <c r="E146" s="57">
        <v>300</v>
      </c>
      <c r="F146" s="10" t="s">
        <v>136</v>
      </c>
      <c r="G146" s="88">
        <v>0</v>
      </c>
      <c r="H146" s="70">
        <f t="shared" si="2"/>
        <v>0</v>
      </c>
      <c r="I146" s="11">
        <v>46069</v>
      </c>
      <c r="J146" s="11">
        <v>46066</v>
      </c>
      <c r="K146" s="13"/>
    </row>
    <row r="147" spans="1:11" ht="18" x14ac:dyDescent="0.4">
      <c r="A147" s="7" t="s">
        <v>98</v>
      </c>
      <c r="B147" s="86" t="s">
        <v>137</v>
      </c>
      <c r="C147" s="8">
        <v>36019</v>
      </c>
      <c r="D147" s="9">
        <v>463532640</v>
      </c>
      <c r="E147" s="57">
        <v>1100</v>
      </c>
      <c r="F147" s="10" t="s">
        <v>194</v>
      </c>
      <c r="G147" s="88">
        <v>0</v>
      </c>
      <c r="H147" s="70">
        <f t="shared" si="2"/>
        <v>0</v>
      </c>
      <c r="I147" s="11">
        <v>46069</v>
      </c>
      <c r="J147" s="11">
        <v>46066</v>
      </c>
      <c r="K147" s="13"/>
    </row>
    <row r="148" spans="1:11" ht="18" x14ac:dyDescent="0.4">
      <c r="A148" s="7" t="s">
        <v>98</v>
      </c>
      <c r="B148" s="86" t="s">
        <v>137</v>
      </c>
      <c r="C148" s="8">
        <v>36019</v>
      </c>
      <c r="D148" s="9">
        <v>463532650</v>
      </c>
      <c r="E148" s="57">
        <v>800</v>
      </c>
      <c r="F148" s="10" t="s">
        <v>195</v>
      </c>
      <c r="G148" s="88">
        <v>0</v>
      </c>
      <c r="H148" s="70">
        <f t="shared" si="2"/>
        <v>0</v>
      </c>
      <c r="I148" s="11">
        <v>46069</v>
      </c>
      <c r="J148" s="11">
        <v>46066</v>
      </c>
      <c r="K148" s="13"/>
    </row>
    <row r="149" spans="1:11" ht="18" x14ac:dyDescent="0.4">
      <c r="A149" s="7" t="s">
        <v>98</v>
      </c>
      <c r="B149" s="86" t="s">
        <v>703</v>
      </c>
      <c r="C149" s="8">
        <v>51658</v>
      </c>
      <c r="D149" s="9">
        <v>463485610</v>
      </c>
      <c r="E149" s="57">
        <v>600</v>
      </c>
      <c r="F149" s="10" t="s">
        <v>404</v>
      </c>
      <c r="G149" s="88">
        <v>0</v>
      </c>
      <c r="H149" s="70">
        <f t="shared" si="2"/>
        <v>0</v>
      </c>
      <c r="I149" s="11">
        <v>46069</v>
      </c>
      <c r="J149" s="11">
        <v>46066</v>
      </c>
      <c r="K149" s="13"/>
    </row>
    <row r="150" spans="1:11" ht="18" x14ac:dyDescent="0.4">
      <c r="A150" s="7" t="s">
        <v>98</v>
      </c>
      <c r="B150" s="86" t="s">
        <v>703</v>
      </c>
      <c r="C150" s="8">
        <v>51658</v>
      </c>
      <c r="D150" s="9">
        <v>463485620</v>
      </c>
      <c r="E150" s="57">
        <v>600</v>
      </c>
      <c r="F150" s="10" t="s">
        <v>405</v>
      </c>
      <c r="G150" s="88">
        <v>0</v>
      </c>
      <c r="H150" s="70">
        <f t="shared" si="2"/>
        <v>0</v>
      </c>
      <c r="I150" s="11">
        <v>46069</v>
      </c>
      <c r="J150" s="11">
        <v>46066</v>
      </c>
      <c r="K150" s="13"/>
    </row>
    <row r="151" spans="1:11" ht="18" x14ac:dyDescent="0.4">
      <c r="A151" s="7" t="s">
        <v>98</v>
      </c>
      <c r="B151" s="86" t="s">
        <v>703</v>
      </c>
      <c r="C151" s="8">
        <v>51658</v>
      </c>
      <c r="D151" s="9">
        <v>463485630</v>
      </c>
      <c r="E151" s="57">
        <v>600</v>
      </c>
      <c r="F151" s="10" t="s">
        <v>406</v>
      </c>
      <c r="G151" s="88">
        <v>0</v>
      </c>
      <c r="H151" s="70">
        <f t="shared" si="2"/>
        <v>0</v>
      </c>
      <c r="I151" s="11">
        <v>46069</v>
      </c>
      <c r="J151" s="11">
        <v>46066</v>
      </c>
      <c r="K151" s="13"/>
    </row>
    <row r="152" spans="1:11" ht="18" x14ac:dyDescent="0.4">
      <c r="A152" s="7" t="s">
        <v>98</v>
      </c>
      <c r="B152" s="86" t="s">
        <v>703</v>
      </c>
      <c r="C152" s="8">
        <v>51658</v>
      </c>
      <c r="D152" s="9">
        <v>463485640</v>
      </c>
      <c r="E152" s="57">
        <v>600</v>
      </c>
      <c r="F152" s="10" t="s">
        <v>704</v>
      </c>
      <c r="G152" s="88">
        <v>0</v>
      </c>
      <c r="H152" s="70">
        <f t="shared" si="2"/>
        <v>0</v>
      </c>
      <c r="I152" s="11">
        <v>46069</v>
      </c>
      <c r="J152" s="11">
        <v>46066</v>
      </c>
      <c r="K152" s="13"/>
    </row>
    <row r="153" spans="1:11" ht="18" x14ac:dyDescent="0.4">
      <c r="A153" s="7" t="s">
        <v>98</v>
      </c>
      <c r="B153" s="86" t="s">
        <v>703</v>
      </c>
      <c r="C153" s="8">
        <v>51658</v>
      </c>
      <c r="D153" s="9">
        <v>463485650</v>
      </c>
      <c r="E153" s="57">
        <v>600</v>
      </c>
      <c r="F153" s="10" t="s">
        <v>704</v>
      </c>
      <c r="G153" s="88">
        <v>0</v>
      </c>
      <c r="H153" s="70">
        <f t="shared" si="2"/>
        <v>0</v>
      </c>
      <c r="I153" s="11">
        <v>46069</v>
      </c>
      <c r="J153" s="11">
        <v>46066</v>
      </c>
      <c r="K153" s="13"/>
    </row>
    <row r="154" spans="1:11" ht="18" x14ac:dyDescent="0.4">
      <c r="A154" s="7" t="s">
        <v>98</v>
      </c>
      <c r="B154" s="86" t="s">
        <v>703</v>
      </c>
      <c r="C154" s="8">
        <v>51658</v>
      </c>
      <c r="D154" s="9">
        <v>463485660</v>
      </c>
      <c r="E154" s="57">
        <v>600</v>
      </c>
      <c r="F154" s="10" t="s">
        <v>704</v>
      </c>
      <c r="G154" s="88">
        <v>0</v>
      </c>
      <c r="H154" s="70">
        <f t="shared" si="2"/>
        <v>0</v>
      </c>
      <c r="I154" s="11">
        <v>46069</v>
      </c>
      <c r="J154" s="11">
        <v>46066</v>
      </c>
      <c r="K154" s="13"/>
    </row>
    <row r="155" spans="1:11" ht="18" x14ac:dyDescent="0.4">
      <c r="A155" s="7" t="s">
        <v>98</v>
      </c>
      <c r="B155" s="86" t="s">
        <v>703</v>
      </c>
      <c r="C155" s="8">
        <v>51658</v>
      </c>
      <c r="D155" s="9">
        <v>463485380</v>
      </c>
      <c r="E155" s="57">
        <v>400</v>
      </c>
      <c r="F155" s="10" t="s">
        <v>144</v>
      </c>
      <c r="G155" s="88">
        <v>0</v>
      </c>
      <c r="H155" s="70">
        <f t="shared" si="2"/>
        <v>0</v>
      </c>
      <c r="I155" s="11">
        <v>46069</v>
      </c>
      <c r="J155" s="11">
        <v>46066</v>
      </c>
      <c r="K155" s="13"/>
    </row>
    <row r="156" spans="1:11" ht="18" x14ac:dyDescent="0.4">
      <c r="A156" s="7" t="s">
        <v>98</v>
      </c>
      <c r="B156" s="86" t="s">
        <v>703</v>
      </c>
      <c r="C156" s="8">
        <v>51658</v>
      </c>
      <c r="D156" s="9">
        <v>463485390</v>
      </c>
      <c r="E156" s="57">
        <v>400</v>
      </c>
      <c r="F156" s="10" t="s">
        <v>145</v>
      </c>
      <c r="G156" s="88">
        <v>0</v>
      </c>
      <c r="H156" s="70">
        <f t="shared" si="2"/>
        <v>0</v>
      </c>
      <c r="I156" s="11">
        <v>46069</v>
      </c>
      <c r="J156" s="11">
        <v>46066</v>
      </c>
      <c r="K156" s="13"/>
    </row>
    <row r="157" spans="1:11" ht="18" x14ac:dyDescent="0.4">
      <c r="A157" s="7" t="s">
        <v>98</v>
      </c>
      <c r="B157" s="86" t="s">
        <v>703</v>
      </c>
      <c r="C157" s="8">
        <v>51658</v>
      </c>
      <c r="D157" s="9">
        <v>463485400</v>
      </c>
      <c r="E157" s="57">
        <v>400</v>
      </c>
      <c r="F157" s="10" t="s">
        <v>146</v>
      </c>
      <c r="G157" s="88">
        <v>0</v>
      </c>
      <c r="H157" s="70">
        <f t="shared" si="2"/>
        <v>0</v>
      </c>
      <c r="I157" s="11">
        <v>46069</v>
      </c>
      <c r="J157" s="11">
        <v>46066</v>
      </c>
      <c r="K157" s="13"/>
    </row>
    <row r="158" spans="1:11" ht="18" x14ac:dyDescent="0.4">
      <c r="A158" s="7" t="s">
        <v>98</v>
      </c>
      <c r="B158" s="86" t="s">
        <v>703</v>
      </c>
      <c r="C158" s="8">
        <v>51658</v>
      </c>
      <c r="D158" s="9">
        <v>463485440</v>
      </c>
      <c r="E158" s="57">
        <v>400</v>
      </c>
      <c r="F158" s="10" t="s">
        <v>147</v>
      </c>
      <c r="G158" s="88">
        <v>0</v>
      </c>
      <c r="H158" s="70">
        <f t="shared" si="2"/>
        <v>0</v>
      </c>
      <c r="I158" s="11">
        <v>46069</v>
      </c>
      <c r="J158" s="11">
        <v>46066</v>
      </c>
      <c r="K158" s="13"/>
    </row>
    <row r="159" spans="1:11" ht="18" x14ac:dyDescent="0.4">
      <c r="A159" s="7" t="s">
        <v>98</v>
      </c>
      <c r="B159" s="86" t="s">
        <v>703</v>
      </c>
      <c r="C159" s="8">
        <v>51658</v>
      </c>
      <c r="D159" s="9">
        <v>463485450</v>
      </c>
      <c r="E159" s="57">
        <v>400</v>
      </c>
      <c r="F159" s="10" t="s">
        <v>148</v>
      </c>
      <c r="G159" s="88">
        <v>0</v>
      </c>
      <c r="H159" s="70">
        <f t="shared" si="2"/>
        <v>0</v>
      </c>
      <c r="I159" s="11">
        <v>46069</v>
      </c>
      <c r="J159" s="11">
        <v>46066</v>
      </c>
      <c r="K159" s="13"/>
    </row>
    <row r="160" spans="1:11" ht="18" x14ac:dyDescent="0.4">
      <c r="A160" s="7" t="s">
        <v>98</v>
      </c>
      <c r="B160" s="86" t="s">
        <v>703</v>
      </c>
      <c r="C160" s="8">
        <v>51658</v>
      </c>
      <c r="D160" s="9">
        <v>463485460</v>
      </c>
      <c r="E160" s="57">
        <v>400</v>
      </c>
      <c r="F160" s="10" t="s">
        <v>149</v>
      </c>
      <c r="G160" s="88">
        <v>0</v>
      </c>
      <c r="H160" s="70">
        <f t="shared" si="2"/>
        <v>0</v>
      </c>
      <c r="I160" s="11">
        <v>46069</v>
      </c>
      <c r="J160" s="11">
        <v>46066</v>
      </c>
      <c r="K160" s="13"/>
    </row>
    <row r="161" spans="1:11" ht="18" x14ac:dyDescent="0.4">
      <c r="A161" s="7" t="s">
        <v>98</v>
      </c>
      <c r="B161" s="86" t="s">
        <v>703</v>
      </c>
      <c r="C161" s="8">
        <v>51658</v>
      </c>
      <c r="D161" s="9">
        <v>463563890</v>
      </c>
      <c r="E161" s="57">
        <v>400</v>
      </c>
      <c r="F161" s="10" t="s">
        <v>149</v>
      </c>
      <c r="G161" s="88">
        <v>0</v>
      </c>
      <c r="H161" s="70">
        <f t="shared" si="2"/>
        <v>0</v>
      </c>
      <c r="I161" s="11">
        <v>46069</v>
      </c>
      <c r="J161" s="11">
        <v>46066</v>
      </c>
      <c r="K161" s="13"/>
    </row>
    <row r="162" spans="1:11" ht="18" x14ac:dyDescent="0.4">
      <c r="A162" s="7" t="s">
        <v>98</v>
      </c>
      <c r="B162" s="86" t="s">
        <v>703</v>
      </c>
      <c r="C162" s="8">
        <v>51658</v>
      </c>
      <c r="D162" s="9">
        <v>463563900</v>
      </c>
      <c r="E162" s="57">
        <v>400</v>
      </c>
      <c r="F162" s="10" t="s">
        <v>149</v>
      </c>
      <c r="G162" s="88">
        <v>0</v>
      </c>
      <c r="H162" s="70">
        <f t="shared" si="2"/>
        <v>0</v>
      </c>
      <c r="I162" s="11">
        <v>46069</v>
      </c>
      <c r="J162" s="11">
        <v>46066</v>
      </c>
      <c r="K162" s="13"/>
    </row>
    <row r="163" spans="1:11" ht="18" x14ac:dyDescent="0.4">
      <c r="A163" s="7" t="s">
        <v>98</v>
      </c>
      <c r="B163" s="86" t="s">
        <v>703</v>
      </c>
      <c r="C163" s="8">
        <v>51658</v>
      </c>
      <c r="D163" s="9">
        <v>463563910</v>
      </c>
      <c r="E163" s="57">
        <v>400</v>
      </c>
      <c r="F163" s="10" t="s">
        <v>149</v>
      </c>
      <c r="G163" s="88">
        <v>0</v>
      </c>
      <c r="H163" s="70">
        <f t="shared" si="2"/>
        <v>0</v>
      </c>
      <c r="I163" s="11">
        <v>46069</v>
      </c>
      <c r="J163" s="11">
        <v>46066</v>
      </c>
      <c r="K163" s="13"/>
    </row>
    <row r="164" spans="1:11" ht="18" x14ac:dyDescent="0.4">
      <c r="A164" s="7" t="s">
        <v>98</v>
      </c>
      <c r="B164" s="85" t="s">
        <v>703</v>
      </c>
      <c r="C164" s="8">
        <v>51658</v>
      </c>
      <c r="D164" s="9">
        <v>463563950</v>
      </c>
      <c r="E164" s="57">
        <v>400</v>
      </c>
      <c r="F164" s="10" t="s">
        <v>149</v>
      </c>
      <c r="G164" s="88">
        <v>0</v>
      </c>
      <c r="H164" s="70">
        <f t="shared" si="2"/>
        <v>0</v>
      </c>
      <c r="I164" s="11">
        <v>46069</v>
      </c>
      <c r="J164" s="11">
        <v>46066</v>
      </c>
      <c r="K164" s="13"/>
    </row>
    <row r="165" spans="1:11" ht="18" x14ac:dyDescent="0.4">
      <c r="A165" s="7" t="s">
        <v>98</v>
      </c>
      <c r="B165" s="85" t="s">
        <v>703</v>
      </c>
      <c r="C165" s="8">
        <v>51658</v>
      </c>
      <c r="D165" s="9">
        <v>463563960</v>
      </c>
      <c r="E165" s="57">
        <v>400</v>
      </c>
      <c r="F165" s="10" t="s">
        <v>149</v>
      </c>
      <c r="G165" s="88">
        <v>0</v>
      </c>
      <c r="H165" s="70">
        <f t="shared" si="2"/>
        <v>0</v>
      </c>
      <c r="I165" s="11">
        <v>46069</v>
      </c>
      <c r="J165" s="11">
        <v>46066</v>
      </c>
      <c r="K165" s="13"/>
    </row>
    <row r="166" spans="1:11" ht="18" x14ac:dyDescent="0.4">
      <c r="A166" s="7" t="s">
        <v>98</v>
      </c>
      <c r="B166" s="85" t="s">
        <v>703</v>
      </c>
      <c r="C166" s="8">
        <v>51658</v>
      </c>
      <c r="D166" s="9">
        <v>463563970</v>
      </c>
      <c r="E166" s="57">
        <v>400</v>
      </c>
      <c r="F166" s="10" t="s">
        <v>149</v>
      </c>
      <c r="G166" s="88">
        <v>0</v>
      </c>
      <c r="H166" s="70">
        <f t="shared" si="2"/>
        <v>0</v>
      </c>
      <c r="I166" s="11">
        <v>46069</v>
      </c>
      <c r="J166" s="11">
        <v>46066</v>
      </c>
      <c r="K166" s="13"/>
    </row>
    <row r="167" spans="1:11" ht="18" x14ac:dyDescent="0.4">
      <c r="A167" s="7" t="s">
        <v>98</v>
      </c>
      <c r="B167" s="85" t="s">
        <v>703</v>
      </c>
      <c r="C167" s="8">
        <v>51620</v>
      </c>
      <c r="D167" s="9">
        <v>463485280</v>
      </c>
      <c r="E167" s="57">
        <v>840</v>
      </c>
      <c r="F167" s="10" t="s">
        <v>150</v>
      </c>
      <c r="G167" s="88">
        <v>0</v>
      </c>
      <c r="H167" s="70">
        <f t="shared" si="2"/>
        <v>0</v>
      </c>
      <c r="I167" s="11">
        <v>46069</v>
      </c>
      <c r="J167" s="11">
        <v>46066</v>
      </c>
      <c r="K167" s="13"/>
    </row>
    <row r="168" spans="1:11" ht="18" x14ac:dyDescent="0.4">
      <c r="A168" s="7" t="s">
        <v>98</v>
      </c>
      <c r="B168" s="85" t="s">
        <v>703</v>
      </c>
      <c r="C168" s="8">
        <v>51620</v>
      </c>
      <c r="D168" s="9">
        <v>463485300</v>
      </c>
      <c r="E168" s="57">
        <v>840</v>
      </c>
      <c r="F168" s="10" t="s">
        <v>151</v>
      </c>
      <c r="G168" s="88">
        <v>5040</v>
      </c>
      <c r="H168" s="70">
        <f t="shared" si="2"/>
        <v>6</v>
      </c>
      <c r="I168" s="11">
        <v>46069</v>
      </c>
      <c r="J168" s="11">
        <v>46066</v>
      </c>
      <c r="K168" s="13"/>
    </row>
    <row r="169" spans="1:11" ht="18" x14ac:dyDescent="0.4">
      <c r="A169" s="7" t="s">
        <v>98</v>
      </c>
      <c r="B169" s="85" t="s">
        <v>703</v>
      </c>
      <c r="C169" s="8">
        <v>51620</v>
      </c>
      <c r="D169" s="9">
        <v>463485320</v>
      </c>
      <c r="E169" s="57">
        <v>840</v>
      </c>
      <c r="F169" s="10" t="s">
        <v>152</v>
      </c>
      <c r="G169" s="88">
        <v>0</v>
      </c>
      <c r="H169" s="70">
        <f t="shared" si="2"/>
        <v>0</v>
      </c>
      <c r="I169" s="11">
        <v>46069</v>
      </c>
      <c r="J169" s="11">
        <v>46066</v>
      </c>
      <c r="K169" s="13"/>
    </row>
    <row r="170" spans="1:11" ht="18" x14ac:dyDescent="0.4">
      <c r="A170" s="7" t="s">
        <v>98</v>
      </c>
      <c r="B170" s="85" t="s">
        <v>705</v>
      </c>
      <c r="C170" s="8">
        <v>73860</v>
      </c>
      <c r="D170" s="9">
        <v>463592990</v>
      </c>
      <c r="E170" s="57">
        <v>500</v>
      </c>
      <c r="F170" s="10" t="s">
        <v>706</v>
      </c>
      <c r="G170" s="88">
        <v>0</v>
      </c>
      <c r="H170" s="70">
        <f t="shared" si="2"/>
        <v>0</v>
      </c>
      <c r="I170" s="11">
        <v>46069</v>
      </c>
      <c r="J170" s="11">
        <v>46066</v>
      </c>
      <c r="K170" s="13"/>
    </row>
    <row r="171" spans="1:11" ht="18" x14ac:dyDescent="0.4">
      <c r="A171" s="7" t="s">
        <v>98</v>
      </c>
      <c r="B171" s="85" t="s">
        <v>705</v>
      </c>
      <c r="C171" s="8">
        <v>73860</v>
      </c>
      <c r="D171" s="9">
        <v>463593000</v>
      </c>
      <c r="E171" s="57">
        <v>500</v>
      </c>
      <c r="F171" s="10" t="s">
        <v>706</v>
      </c>
      <c r="G171" s="88">
        <v>0</v>
      </c>
      <c r="H171" s="70">
        <f t="shared" si="2"/>
        <v>0</v>
      </c>
      <c r="I171" s="11">
        <v>46069</v>
      </c>
      <c r="J171" s="11">
        <v>46066</v>
      </c>
      <c r="K171" s="13"/>
    </row>
    <row r="172" spans="1:11" ht="18" x14ac:dyDescent="0.4">
      <c r="A172" s="7" t="s">
        <v>98</v>
      </c>
      <c r="B172" s="85" t="s">
        <v>707</v>
      </c>
      <c r="C172" s="8">
        <v>49630</v>
      </c>
      <c r="D172" s="9">
        <v>463476050</v>
      </c>
      <c r="E172" s="57">
        <v>720</v>
      </c>
      <c r="F172" s="10" t="s">
        <v>157</v>
      </c>
      <c r="G172" s="88">
        <v>0</v>
      </c>
      <c r="H172" s="70">
        <f t="shared" si="2"/>
        <v>0</v>
      </c>
      <c r="I172" s="11">
        <v>46069</v>
      </c>
      <c r="J172" s="11">
        <v>46066</v>
      </c>
      <c r="K172" s="8"/>
    </row>
    <row r="173" spans="1:11" ht="18" x14ac:dyDescent="0.4">
      <c r="A173" s="7" t="s">
        <v>98</v>
      </c>
      <c r="B173" s="85" t="s">
        <v>708</v>
      </c>
      <c r="C173" s="8">
        <v>73850</v>
      </c>
      <c r="D173" s="9">
        <v>463491430</v>
      </c>
      <c r="E173" s="57">
        <v>600</v>
      </c>
      <c r="F173" s="10" t="s">
        <v>159</v>
      </c>
      <c r="G173" s="88">
        <v>0</v>
      </c>
      <c r="H173" s="70">
        <f t="shared" si="2"/>
        <v>0</v>
      </c>
      <c r="I173" s="11">
        <v>46069</v>
      </c>
      <c r="J173" s="11">
        <v>46066</v>
      </c>
      <c r="K173" s="8"/>
    </row>
    <row r="174" spans="1:11" ht="18" x14ac:dyDescent="0.4">
      <c r="A174" s="7" t="s">
        <v>98</v>
      </c>
      <c r="B174" s="85" t="s">
        <v>708</v>
      </c>
      <c r="C174" s="8">
        <v>73850</v>
      </c>
      <c r="D174" s="9">
        <v>552822510</v>
      </c>
      <c r="E174" s="57">
        <v>1500</v>
      </c>
      <c r="F174" s="10" t="s">
        <v>709</v>
      </c>
      <c r="G174" s="88">
        <v>0</v>
      </c>
      <c r="H174" s="70">
        <f t="shared" si="2"/>
        <v>0</v>
      </c>
      <c r="I174" s="11">
        <v>46069</v>
      </c>
      <c r="J174" s="11">
        <v>46066</v>
      </c>
      <c r="K174" s="8"/>
    </row>
    <row r="175" spans="1:11" ht="18" x14ac:dyDescent="0.4">
      <c r="A175" s="7" t="s">
        <v>98</v>
      </c>
      <c r="B175" s="85" t="s">
        <v>708</v>
      </c>
      <c r="C175" s="8">
        <v>73850</v>
      </c>
      <c r="D175" s="9">
        <v>552823610</v>
      </c>
      <c r="E175" s="57">
        <v>1500</v>
      </c>
      <c r="F175" s="10" t="s">
        <v>710</v>
      </c>
      <c r="G175" s="88">
        <v>0</v>
      </c>
      <c r="H175" s="70">
        <f t="shared" si="2"/>
        <v>0</v>
      </c>
      <c r="I175" s="11">
        <v>46069</v>
      </c>
      <c r="J175" s="11">
        <v>46066</v>
      </c>
      <c r="K175" s="8"/>
    </row>
    <row r="176" spans="1:11" ht="18" x14ac:dyDescent="0.4">
      <c r="A176" s="7" t="s">
        <v>98</v>
      </c>
      <c r="B176" s="85" t="s">
        <v>233</v>
      </c>
      <c r="C176" s="8">
        <v>33132</v>
      </c>
      <c r="D176" s="9">
        <v>552823610</v>
      </c>
      <c r="E176" s="57">
        <v>900</v>
      </c>
      <c r="F176" s="10" t="s">
        <v>234</v>
      </c>
      <c r="G176" s="88">
        <v>0</v>
      </c>
      <c r="H176" s="70">
        <f t="shared" si="2"/>
        <v>0</v>
      </c>
      <c r="I176" s="11">
        <v>46069</v>
      </c>
      <c r="J176" s="11">
        <v>46066</v>
      </c>
      <c r="K176" s="8"/>
    </row>
    <row r="177" spans="1:11" ht="18" x14ac:dyDescent="0.4">
      <c r="A177" s="7" t="s">
        <v>98</v>
      </c>
      <c r="B177" s="85" t="s">
        <v>160</v>
      </c>
      <c r="C177" s="8">
        <v>40870</v>
      </c>
      <c r="D177" s="9">
        <v>463479340</v>
      </c>
      <c r="E177" s="57">
        <v>100</v>
      </c>
      <c r="F177" s="10" t="s">
        <v>161</v>
      </c>
      <c r="G177" s="88">
        <v>0</v>
      </c>
      <c r="H177" s="70">
        <f t="shared" si="2"/>
        <v>0</v>
      </c>
      <c r="I177" s="11">
        <v>46069</v>
      </c>
      <c r="J177" s="11">
        <v>46066</v>
      </c>
      <c r="K177" s="8"/>
    </row>
    <row r="178" spans="1:11" ht="18" x14ac:dyDescent="0.4">
      <c r="A178" s="7" t="s">
        <v>98</v>
      </c>
      <c r="B178" s="85" t="s">
        <v>160</v>
      </c>
      <c r="C178" s="8">
        <v>40870</v>
      </c>
      <c r="D178" s="9">
        <v>463479350</v>
      </c>
      <c r="E178" s="57">
        <v>100</v>
      </c>
      <c r="F178" s="10" t="s">
        <v>162</v>
      </c>
      <c r="G178" s="88">
        <v>0</v>
      </c>
      <c r="H178" s="70">
        <f t="shared" si="2"/>
        <v>0</v>
      </c>
      <c r="I178" s="11">
        <v>46069</v>
      </c>
      <c r="J178" s="11">
        <v>46066</v>
      </c>
      <c r="K178" s="8"/>
    </row>
    <row r="179" spans="1:11" ht="18" x14ac:dyDescent="0.4">
      <c r="A179" s="7" t="s">
        <v>98</v>
      </c>
      <c r="B179" s="85" t="s">
        <v>163</v>
      </c>
      <c r="C179" s="8">
        <v>10675</v>
      </c>
      <c r="D179" s="9">
        <v>552822300</v>
      </c>
      <c r="E179" s="57">
        <v>4320</v>
      </c>
      <c r="F179" s="10" t="s">
        <v>164</v>
      </c>
      <c r="G179" s="88">
        <v>0</v>
      </c>
      <c r="H179" s="70">
        <f t="shared" si="2"/>
        <v>0</v>
      </c>
      <c r="I179" s="11">
        <v>46069</v>
      </c>
      <c r="J179" s="11">
        <v>46066</v>
      </c>
      <c r="K179" s="8"/>
    </row>
    <row r="180" spans="1:11" ht="18" x14ac:dyDescent="0.4">
      <c r="A180" s="7" t="s">
        <v>98</v>
      </c>
      <c r="B180" s="85" t="s">
        <v>163</v>
      </c>
      <c r="C180" s="8">
        <v>10675</v>
      </c>
      <c r="D180" s="9">
        <v>552822310</v>
      </c>
      <c r="E180" s="57">
        <v>4320</v>
      </c>
      <c r="F180" s="10" t="s">
        <v>165</v>
      </c>
      <c r="G180" s="88">
        <v>0</v>
      </c>
      <c r="H180" s="70">
        <f t="shared" si="2"/>
        <v>0</v>
      </c>
      <c r="I180" s="11">
        <v>46069</v>
      </c>
      <c r="J180" s="11">
        <v>46066</v>
      </c>
      <c r="K180" s="8"/>
    </row>
    <row r="181" spans="1:11" ht="18" x14ac:dyDescent="0.4">
      <c r="A181" s="7" t="s">
        <v>98</v>
      </c>
      <c r="B181" s="85" t="s">
        <v>167</v>
      </c>
      <c r="C181" s="8">
        <v>64641</v>
      </c>
      <c r="D181" s="9">
        <v>463543900</v>
      </c>
      <c r="E181" s="57">
        <v>20000</v>
      </c>
      <c r="F181" s="10" t="s">
        <v>168</v>
      </c>
      <c r="G181" s="88">
        <v>0</v>
      </c>
      <c r="H181" s="70">
        <f t="shared" si="2"/>
        <v>0</v>
      </c>
      <c r="I181" s="11">
        <v>46069</v>
      </c>
      <c r="J181" s="11">
        <v>46066</v>
      </c>
      <c r="K181" s="13"/>
    </row>
    <row r="182" spans="1:11" ht="18" x14ac:dyDescent="0.4">
      <c r="A182" s="7" t="s">
        <v>98</v>
      </c>
      <c r="B182" s="85" t="s">
        <v>703</v>
      </c>
      <c r="C182" s="8">
        <v>15565</v>
      </c>
      <c r="D182" s="9">
        <v>463526200</v>
      </c>
      <c r="E182" s="57">
        <v>30</v>
      </c>
      <c r="F182" s="10" t="s">
        <v>155</v>
      </c>
      <c r="G182" s="88">
        <v>0</v>
      </c>
      <c r="H182" s="70">
        <f t="shared" si="2"/>
        <v>0</v>
      </c>
      <c r="I182" s="11">
        <v>46069</v>
      </c>
      <c r="J182" s="11">
        <v>46066</v>
      </c>
      <c r="K182" s="13"/>
    </row>
    <row r="183" spans="1:11" ht="18" x14ac:dyDescent="0.4">
      <c r="A183" s="7" t="s">
        <v>98</v>
      </c>
      <c r="B183" s="85" t="s">
        <v>703</v>
      </c>
      <c r="C183" s="8">
        <v>15565</v>
      </c>
      <c r="D183" s="9">
        <v>463548380</v>
      </c>
      <c r="E183" s="57">
        <v>30</v>
      </c>
      <c r="F183" s="10" t="s">
        <v>155</v>
      </c>
      <c r="G183" s="88">
        <v>0</v>
      </c>
      <c r="H183" s="70">
        <f t="shared" si="2"/>
        <v>0</v>
      </c>
      <c r="I183" s="11">
        <v>46069</v>
      </c>
      <c r="J183" s="11">
        <v>46066</v>
      </c>
      <c r="K183" s="8"/>
    </row>
    <row r="184" spans="1:11" ht="18" x14ac:dyDescent="0.4">
      <c r="A184" s="7" t="s">
        <v>98</v>
      </c>
      <c r="B184" s="85" t="s">
        <v>703</v>
      </c>
      <c r="C184" s="8">
        <v>15565</v>
      </c>
      <c r="D184" s="9">
        <v>463496640</v>
      </c>
      <c r="E184" s="57">
        <v>30</v>
      </c>
      <c r="F184" s="10" t="s">
        <v>155</v>
      </c>
      <c r="G184" s="88">
        <v>0</v>
      </c>
      <c r="H184" s="70">
        <f t="shared" si="2"/>
        <v>0</v>
      </c>
      <c r="I184" s="11">
        <v>46069</v>
      </c>
      <c r="J184" s="11">
        <v>46066</v>
      </c>
      <c r="K184" s="13"/>
    </row>
    <row r="185" spans="1:11" ht="18" x14ac:dyDescent="0.4">
      <c r="A185" s="7" t="s">
        <v>98</v>
      </c>
      <c r="B185" s="85" t="s">
        <v>169</v>
      </c>
      <c r="C185" s="8">
        <v>31610</v>
      </c>
      <c r="D185" s="9">
        <v>463595330</v>
      </c>
      <c r="E185" s="57">
        <v>40</v>
      </c>
      <c r="F185" s="10" t="s">
        <v>711</v>
      </c>
      <c r="G185" s="88">
        <v>0</v>
      </c>
      <c r="H185" s="70">
        <v>0</v>
      </c>
      <c r="I185" s="11">
        <v>46069</v>
      </c>
      <c r="J185" s="11">
        <v>46008</v>
      </c>
      <c r="K185" s="8"/>
    </row>
    <row r="186" spans="1:11" ht="18" x14ac:dyDescent="0.4">
      <c r="A186" s="7" t="s">
        <v>98</v>
      </c>
      <c r="B186" s="85" t="s">
        <v>169</v>
      </c>
      <c r="C186" s="8">
        <v>31610</v>
      </c>
      <c r="D186" s="9">
        <v>552822380</v>
      </c>
      <c r="E186" s="57">
        <v>600</v>
      </c>
      <c r="F186" s="10" t="s">
        <v>170</v>
      </c>
      <c r="G186" s="88">
        <v>0</v>
      </c>
      <c r="H186" s="70">
        <f t="shared" si="2"/>
        <v>0</v>
      </c>
      <c r="I186" s="11">
        <v>46069</v>
      </c>
      <c r="J186" s="11">
        <v>46066</v>
      </c>
      <c r="K186" s="13"/>
    </row>
    <row r="187" spans="1:11" ht="18" x14ac:dyDescent="0.4">
      <c r="A187" s="7" t="s">
        <v>98</v>
      </c>
      <c r="B187" s="85" t="s">
        <v>169</v>
      </c>
      <c r="C187" s="8">
        <v>31610</v>
      </c>
      <c r="D187" s="9">
        <v>463572030</v>
      </c>
      <c r="E187" s="57">
        <v>600</v>
      </c>
      <c r="F187" s="10" t="s">
        <v>171</v>
      </c>
      <c r="G187" s="88">
        <v>0</v>
      </c>
      <c r="H187" s="70">
        <f t="shared" si="2"/>
        <v>0</v>
      </c>
      <c r="I187" s="11">
        <v>46069</v>
      </c>
      <c r="J187" s="11">
        <v>46066</v>
      </c>
      <c r="K187" s="13"/>
    </row>
    <row r="188" spans="1:11" ht="18" x14ac:dyDescent="0.4">
      <c r="A188" s="7" t="s">
        <v>98</v>
      </c>
      <c r="B188" s="85" t="s">
        <v>169</v>
      </c>
      <c r="C188" s="8">
        <v>31610</v>
      </c>
      <c r="D188" s="9">
        <v>463572050</v>
      </c>
      <c r="E188" s="57">
        <v>600</v>
      </c>
      <c r="F188" s="10" t="s">
        <v>172</v>
      </c>
      <c r="G188" s="88">
        <v>0</v>
      </c>
      <c r="H188" s="70">
        <f t="shared" si="2"/>
        <v>0</v>
      </c>
      <c r="I188" s="11">
        <v>46069</v>
      </c>
      <c r="J188" s="11">
        <v>46066</v>
      </c>
      <c r="K188" s="13"/>
    </row>
    <row r="189" spans="1:11" ht="18" x14ac:dyDescent="0.4">
      <c r="A189" s="7" t="s">
        <v>98</v>
      </c>
      <c r="B189" s="85" t="s">
        <v>169</v>
      </c>
      <c r="C189" s="8">
        <v>31610</v>
      </c>
      <c r="D189" s="9">
        <v>552823560</v>
      </c>
      <c r="E189" s="57">
        <v>600</v>
      </c>
      <c r="F189" s="10" t="s">
        <v>173</v>
      </c>
      <c r="G189" s="88">
        <v>0</v>
      </c>
      <c r="H189" s="70">
        <f t="shared" si="2"/>
        <v>0</v>
      </c>
      <c r="I189" s="11">
        <v>46069</v>
      </c>
      <c r="J189" s="11">
        <v>46066</v>
      </c>
      <c r="K189" s="13"/>
    </row>
    <row r="190" spans="1:11" ht="18" x14ac:dyDescent="0.4">
      <c r="A190" s="7" t="s">
        <v>98</v>
      </c>
      <c r="B190" s="85" t="s">
        <v>169</v>
      </c>
      <c r="C190" s="8">
        <v>31610</v>
      </c>
      <c r="D190" s="9">
        <v>463572040</v>
      </c>
      <c r="E190" s="57">
        <v>600</v>
      </c>
      <c r="F190" s="10" t="s">
        <v>174</v>
      </c>
      <c r="G190" s="88">
        <v>0</v>
      </c>
      <c r="H190" s="70">
        <f t="shared" si="2"/>
        <v>0</v>
      </c>
      <c r="I190" s="11">
        <v>46069</v>
      </c>
      <c r="J190" s="11">
        <v>46066</v>
      </c>
      <c r="K190" s="13"/>
    </row>
    <row r="191" spans="1:11" ht="18" x14ac:dyDescent="0.4">
      <c r="A191" s="7" t="s">
        <v>98</v>
      </c>
      <c r="B191" s="85" t="s">
        <v>169</v>
      </c>
      <c r="C191" s="8">
        <v>31610</v>
      </c>
      <c r="D191" s="9">
        <v>463595330</v>
      </c>
      <c r="E191" s="57">
        <v>600</v>
      </c>
      <c r="F191" s="10" t="s">
        <v>175</v>
      </c>
      <c r="G191" s="88">
        <v>0</v>
      </c>
      <c r="H191" s="70">
        <f t="shared" si="2"/>
        <v>0</v>
      </c>
      <c r="I191" s="11">
        <v>46069</v>
      </c>
      <c r="J191" s="11">
        <v>46066</v>
      </c>
      <c r="K191" s="13"/>
    </row>
    <row r="192" spans="1:11" ht="18" x14ac:dyDescent="0.4">
      <c r="A192" s="7" t="s">
        <v>98</v>
      </c>
      <c r="B192" s="85" t="s">
        <v>176</v>
      </c>
      <c r="C192" s="8">
        <v>50111</v>
      </c>
      <c r="D192" s="9">
        <v>552833910</v>
      </c>
      <c r="E192" s="57">
        <v>9000</v>
      </c>
      <c r="F192" s="10" t="s">
        <v>177</v>
      </c>
      <c r="G192" s="88">
        <v>0</v>
      </c>
      <c r="H192" s="70">
        <f t="shared" si="2"/>
        <v>0</v>
      </c>
      <c r="I192" s="11">
        <v>46069</v>
      </c>
      <c r="J192" s="11">
        <v>46066</v>
      </c>
      <c r="K192" s="13"/>
    </row>
    <row r="193" spans="1:11" ht="18" x14ac:dyDescent="0.4">
      <c r="A193" s="7" t="s">
        <v>98</v>
      </c>
      <c r="B193" s="85" t="s">
        <v>178</v>
      </c>
      <c r="C193" s="8">
        <v>56589</v>
      </c>
      <c r="D193" s="9">
        <v>463384907</v>
      </c>
      <c r="E193" s="57">
        <v>30</v>
      </c>
      <c r="F193" s="10" t="s">
        <v>179</v>
      </c>
      <c r="G193" s="88">
        <v>900</v>
      </c>
      <c r="H193" s="70">
        <f t="shared" si="2"/>
        <v>30</v>
      </c>
      <c r="I193" s="11">
        <v>46069</v>
      </c>
      <c r="J193" s="11">
        <v>46066</v>
      </c>
      <c r="K193" s="13"/>
    </row>
    <row r="194" spans="1:11" ht="18" x14ac:dyDescent="0.4">
      <c r="A194" s="7" t="s">
        <v>98</v>
      </c>
      <c r="B194" s="85" t="s">
        <v>178</v>
      </c>
      <c r="C194" s="8">
        <v>56589</v>
      </c>
      <c r="D194" s="9">
        <v>463384997</v>
      </c>
      <c r="E194" s="57">
        <v>30</v>
      </c>
      <c r="F194" s="10" t="s">
        <v>180</v>
      </c>
      <c r="G194" s="88">
        <v>600</v>
      </c>
      <c r="H194" s="70">
        <f t="shared" si="2"/>
        <v>20</v>
      </c>
      <c r="I194" s="11">
        <v>46069</v>
      </c>
      <c r="J194" s="11">
        <v>46066</v>
      </c>
      <c r="K194" s="13"/>
    </row>
    <row r="195" spans="1:11" ht="18" x14ac:dyDescent="0.4">
      <c r="A195" s="7" t="s">
        <v>98</v>
      </c>
      <c r="B195" s="85" t="s">
        <v>181</v>
      </c>
      <c r="C195" s="8">
        <v>50050</v>
      </c>
      <c r="D195" s="9">
        <v>463529270</v>
      </c>
      <c r="E195" s="57">
        <v>432</v>
      </c>
      <c r="F195" s="10" t="s">
        <v>182</v>
      </c>
      <c r="G195" s="88">
        <v>1296</v>
      </c>
      <c r="H195" s="70">
        <f t="shared" si="2"/>
        <v>3</v>
      </c>
      <c r="I195" s="11">
        <v>46069</v>
      </c>
      <c r="J195" s="11">
        <v>46066</v>
      </c>
      <c r="K195" s="13"/>
    </row>
    <row r="196" spans="1:11" ht="18" x14ac:dyDescent="0.4">
      <c r="A196" s="7" t="s">
        <v>98</v>
      </c>
      <c r="B196" s="85" t="s">
        <v>183</v>
      </c>
      <c r="C196" s="8">
        <v>30467</v>
      </c>
      <c r="D196" s="9">
        <v>552806540</v>
      </c>
      <c r="E196" s="57">
        <v>1200</v>
      </c>
      <c r="F196" s="10" t="s">
        <v>184</v>
      </c>
      <c r="G196" s="88">
        <v>0</v>
      </c>
      <c r="H196" s="70">
        <f t="shared" si="2"/>
        <v>0</v>
      </c>
      <c r="I196" s="11">
        <v>46069</v>
      </c>
      <c r="J196" s="11">
        <v>46066</v>
      </c>
      <c r="K196" s="13"/>
    </row>
    <row r="197" spans="1:11" ht="18" x14ac:dyDescent="0.4">
      <c r="A197" s="7" t="s">
        <v>98</v>
      </c>
      <c r="B197" s="85" t="s">
        <v>183</v>
      </c>
      <c r="C197" s="8">
        <v>30467</v>
      </c>
      <c r="D197" s="9">
        <v>463389730</v>
      </c>
      <c r="E197" s="57">
        <v>400</v>
      </c>
      <c r="F197" s="10" t="s">
        <v>185</v>
      </c>
      <c r="G197" s="88">
        <v>0</v>
      </c>
      <c r="H197" s="70">
        <f t="shared" si="2"/>
        <v>0</v>
      </c>
      <c r="I197" s="11">
        <v>46069</v>
      </c>
      <c r="J197" s="11">
        <v>46066</v>
      </c>
      <c r="K197" s="13"/>
    </row>
    <row r="198" spans="1:11" ht="18" x14ac:dyDescent="0.4">
      <c r="A198" s="7" t="s">
        <v>98</v>
      </c>
      <c r="B198" s="85" t="s">
        <v>183</v>
      </c>
      <c r="C198" s="8">
        <v>30467</v>
      </c>
      <c r="D198" s="9">
        <v>463532630</v>
      </c>
      <c r="E198" s="57">
        <v>250</v>
      </c>
      <c r="F198" s="10" t="s">
        <v>187</v>
      </c>
      <c r="G198" s="88">
        <v>0</v>
      </c>
      <c r="H198" s="70">
        <f t="shared" si="2"/>
        <v>0</v>
      </c>
      <c r="I198" s="11">
        <v>46069</v>
      </c>
      <c r="J198" s="11">
        <v>46066</v>
      </c>
      <c r="K198" s="13"/>
    </row>
    <row r="199" spans="1:11" ht="18" x14ac:dyDescent="0.4">
      <c r="A199" s="7" t="s">
        <v>98</v>
      </c>
      <c r="B199" s="85" t="s">
        <v>183</v>
      </c>
      <c r="C199" s="8">
        <v>30467</v>
      </c>
      <c r="D199" s="9">
        <v>552821810</v>
      </c>
      <c r="E199" s="57">
        <v>350</v>
      </c>
      <c r="F199" s="10" t="s">
        <v>188</v>
      </c>
      <c r="G199" s="88">
        <v>0</v>
      </c>
      <c r="H199" s="70">
        <f t="shared" si="2"/>
        <v>0</v>
      </c>
      <c r="I199" s="11">
        <v>46069</v>
      </c>
      <c r="J199" s="11">
        <v>46066</v>
      </c>
      <c r="K199" s="13"/>
    </row>
    <row r="200" spans="1:11" ht="18" x14ac:dyDescent="0.4">
      <c r="A200" s="7" t="s">
        <v>98</v>
      </c>
      <c r="B200" s="52" t="s">
        <v>189</v>
      </c>
      <c r="C200" s="49">
        <v>5934</v>
      </c>
      <c r="D200" s="50">
        <v>463384870</v>
      </c>
      <c r="E200" s="49">
        <v>1000</v>
      </c>
      <c r="F200" s="51" t="s">
        <v>190</v>
      </c>
      <c r="G200" s="88">
        <v>0</v>
      </c>
      <c r="H200" s="70">
        <f t="shared" si="2"/>
        <v>0</v>
      </c>
      <c r="I200" s="11">
        <v>46069</v>
      </c>
      <c r="J200" s="11">
        <v>46066</v>
      </c>
      <c r="K200" s="13"/>
    </row>
    <row r="201" spans="1:11" ht="18" x14ac:dyDescent="0.4">
      <c r="A201" s="7" t="s">
        <v>98</v>
      </c>
      <c r="B201" s="52" t="s">
        <v>189</v>
      </c>
      <c r="C201" s="49">
        <v>5934</v>
      </c>
      <c r="D201" s="50">
        <v>463516230</v>
      </c>
      <c r="E201" s="49">
        <v>80</v>
      </c>
      <c r="F201" s="51" t="s">
        <v>191</v>
      </c>
      <c r="G201" s="88">
        <v>0</v>
      </c>
      <c r="H201" s="70">
        <f t="shared" si="2"/>
        <v>0</v>
      </c>
      <c r="I201" s="11">
        <v>46069</v>
      </c>
      <c r="J201" s="11">
        <v>46066</v>
      </c>
      <c r="K201" s="13"/>
    </row>
    <row r="202" spans="1:11" ht="18" x14ac:dyDescent="0.4">
      <c r="A202" s="7" t="s">
        <v>98</v>
      </c>
      <c r="B202" s="85" t="s">
        <v>189</v>
      </c>
      <c r="C202" s="8">
        <v>5934</v>
      </c>
      <c r="D202" s="9">
        <v>552841160</v>
      </c>
      <c r="E202" s="57">
        <v>1000</v>
      </c>
      <c r="F202" s="10" t="s">
        <v>192</v>
      </c>
      <c r="G202" s="88">
        <v>0</v>
      </c>
      <c r="H202" s="70">
        <f t="shared" si="2"/>
        <v>0</v>
      </c>
      <c r="I202" s="11">
        <v>46069</v>
      </c>
      <c r="J202" s="11">
        <v>46066</v>
      </c>
      <c r="K202" s="13"/>
    </row>
    <row r="203" spans="1:11" ht="18" x14ac:dyDescent="0.4">
      <c r="A203" s="7" t="s">
        <v>98</v>
      </c>
      <c r="B203" s="85" t="s">
        <v>193</v>
      </c>
      <c r="C203" s="8">
        <v>19414</v>
      </c>
      <c r="D203" s="9">
        <v>463532640</v>
      </c>
      <c r="E203" s="57">
        <v>1100</v>
      </c>
      <c r="F203" s="10" t="s">
        <v>194</v>
      </c>
      <c r="G203" s="88">
        <v>0</v>
      </c>
      <c r="H203" s="70">
        <f t="shared" si="2"/>
        <v>0</v>
      </c>
      <c r="I203" s="11">
        <v>46069</v>
      </c>
      <c r="J203" s="11">
        <v>46066</v>
      </c>
      <c r="K203" s="13"/>
    </row>
    <row r="204" spans="1:11" ht="18" x14ac:dyDescent="0.4">
      <c r="A204" s="7" t="s">
        <v>98</v>
      </c>
      <c r="B204" s="85" t="s">
        <v>193</v>
      </c>
      <c r="C204" s="8">
        <v>19414</v>
      </c>
      <c r="D204" s="9">
        <v>463532650</v>
      </c>
      <c r="E204" s="57">
        <v>800</v>
      </c>
      <c r="F204" s="10" t="s">
        <v>195</v>
      </c>
      <c r="G204" s="88">
        <v>0</v>
      </c>
      <c r="H204" s="70">
        <f t="shared" si="2"/>
        <v>0</v>
      </c>
      <c r="I204" s="11">
        <v>46069</v>
      </c>
      <c r="J204" s="11">
        <v>46066</v>
      </c>
      <c r="K204" s="13"/>
    </row>
    <row r="205" spans="1:11" ht="18" x14ac:dyDescent="0.4">
      <c r="A205" s="7" t="s">
        <v>98</v>
      </c>
      <c r="B205" s="85" t="s">
        <v>193</v>
      </c>
      <c r="C205" s="8">
        <v>19414</v>
      </c>
      <c r="D205" s="9">
        <v>162970240</v>
      </c>
      <c r="E205" s="57">
        <v>500</v>
      </c>
      <c r="F205" s="10" t="s">
        <v>196</v>
      </c>
      <c r="G205" s="88">
        <v>0</v>
      </c>
      <c r="H205" s="70">
        <f t="shared" si="2"/>
        <v>0</v>
      </c>
      <c r="I205" s="11">
        <v>46069</v>
      </c>
      <c r="J205" s="11">
        <v>46066</v>
      </c>
      <c r="K205" s="13"/>
    </row>
    <row r="206" spans="1:11" ht="18" x14ac:dyDescent="0.4">
      <c r="A206" s="7" t="s">
        <v>98</v>
      </c>
      <c r="B206" s="85" t="s">
        <v>197</v>
      </c>
      <c r="C206" s="8">
        <v>1020</v>
      </c>
      <c r="D206" s="9">
        <v>463379748</v>
      </c>
      <c r="E206" s="57">
        <v>18</v>
      </c>
      <c r="F206" s="10" t="s">
        <v>198</v>
      </c>
      <c r="G206" s="88">
        <v>320</v>
      </c>
      <c r="H206" s="70">
        <f t="shared" si="2"/>
        <v>17.777777777777779</v>
      </c>
      <c r="I206" s="11">
        <v>46069</v>
      </c>
      <c r="J206" s="11">
        <v>46066</v>
      </c>
      <c r="K206" s="13"/>
    </row>
    <row r="207" spans="1:11" ht="18" x14ac:dyDescent="0.4">
      <c r="A207" s="7" t="s">
        <v>98</v>
      </c>
      <c r="B207" s="85" t="s">
        <v>197</v>
      </c>
      <c r="C207" s="8">
        <v>1020</v>
      </c>
      <c r="D207" s="9">
        <v>463379778</v>
      </c>
      <c r="E207" s="57">
        <v>18</v>
      </c>
      <c r="F207" s="10" t="s">
        <v>199</v>
      </c>
      <c r="G207" s="88">
        <v>600</v>
      </c>
      <c r="H207" s="70">
        <f t="shared" si="2"/>
        <v>33.333333333333336</v>
      </c>
      <c r="I207" s="11">
        <v>46069</v>
      </c>
      <c r="J207" s="11">
        <v>46066</v>
      </c>
      <c r="K207" s="13"/>
    </row>
    <row r="208" spans="1:11" ht="18" x14ac:dyDescent="0.4">
      <c r="A208" s="7" t="s">
        <v>98</v>
      </c>
      <c r="B208" s="85" t="s">
        <v>200</v>
      </c>
      <c r="C208" s="8">
        <v>1073</v>
      </c>
      <c r="D208" s="9">
        <v>463576288</v>
      </c>
      <c r="E208" s="57">
        <v>27</v>
      </c>
      <c r="F208" s="10" t="s">
        <v>201</v>
      </c>
      <c r="G208" s="88">
        <v>0</v>
      </c>
      <c r="H208" s="70">
        <f t="shared" si="2"/>
        <v>0</v>
      </c>
      <c r="I208" s="11">
        <v>46069</v>
      </c>
      <c r="J208" s="11">
        <v>46066</v>
      </c>
      <c r="K208" s="13"/>
    </row>
    <row r="209" spans="1:11" ht="18" x14ac:dyDescent="0.4">
      <c r="A209" s="7" t="s">
        <v>98</v>
      </c>
      <c r="B209" s="85" t="s">
        <v>200</v>
      </c>
      <c r="C209" s="8">
        <v>1073</v>
      </c>
      <c r="D209" s="9">
        <v>463576277</v>
      </c>
      <c r="E209" s="57">
        <v>36</v>
      </c>
      <c r="F209" s="10" t="s">
        <v>202</v>
      </c>
      <c r="G209" s="88">
        <v>0</v>
      </c>
      <c r="H209" s="70">
        <f t="shared" si="2"/>
        <v>0</v>
      </c>
      <c r="I209" s="11">
        <v>46069</v>
      </c>
      <c r="J209" s="11">
        <v>46066</v>
      </c>
      <c r="K209" s="13"/>
    </row>
    <row r="210" spans="1:11" ht="18" x14ac:dyDescent="0.4">
      <c r="A210" s="7" t="s">
        <v>98</v>
      </c>
      <c r="B210" s="85" t="s">
        <v>197</v>
      </c>
      <c r="C210" s="8">
        <v>1020</v>
      </c>
      <c r="D210" s="9">
        <v>463384927</v>
      </c>
      <c r="E210" s="57">
        <v>32</v>
      </c>
      <c r="F210" s="10" t="s">
        <v>203</v>
      </c>
      <c r="G210" s="88">
        <v>0</v>
      </c>
      <c r="H210" s="70">
        <f t="shared" si="2"/>
        <v>0</v>
      </c>
      <c r="I210" s="11">
        <v>46069</v>
      </c>
      <c r="J210" s="11">
        <v>46066</v>
      </c>
      <c r="K210" s="13"/>
    </row>
    <row r="211" spans="1:11" ht="18" x14ac:dyDescent="0.4">
      <c r="A211" s="7" t="s">
        <v>98</v>
      </c>
      <c r="B211" s="85" t="s">
        <v>197</v>
      </c>
      <c r="C211" s="8">
        <v>1020</v>
      </c>
      <c r="D211" s="9">
        <v>463489077</v>
      </c>
      <c r="E211" s="57">
        <v>32</v>
      </c>
      <c r="F211" s="10" t="s">
        <v>204</v>
      </c>
      <c r="G211" s="88">
        <v>320</v>
      </c>
      <c r="H211" s="70">
        <f t="shared" si="2"/>
        <v>10</v>
      </c>
      <c r="I211" s="11">
        <v>46069</v>
      </c>
      <c r="J211" s="11">
        <v>46066</v>
      </c>
      <c r="K211" s="13"/>
    </row>
    <row r="212" spans="1:11" ht="18" x14ac:dyDescent="0.4">
      <c r="A212" s="7" t="s">
        <v>98</v>
      </c>
      <c r="B212" s="85" t="s">
        <v>205</v>
      </c>
      <c r="C212" s="8">
        <v>11431</v>
      </c>
      <c r="D212" s="9">
        <v>463526240</v>
      </c>
      <c r="E212" s="57">
        <v>800</v>
      </c>
      <c r="F212" s="10" t="s">
        <v>206</v>
      </c>
      <c r="G212" s="88">
        <v>0</v>
      </c>
      <c r="H212" s="70">
        <f t="shared" si="2"/>
        <v>0</v>
      </c>
      <c r="I212" s="11">
        <v>46069</v>
      </c>
      <c r="J212" s="11">
        <v>46066</v>
      </c>
      <c r="K212" s="13"/>
    </row>
    <row r="213" spans="1:11" ht="18" x14ac:dyDescent="0.4">
      <c r="A213" s="7" t="s">
        <v>98</v>
      </c>
      <c r="B213" s="85" t="s">
        <v>205</v>
      </c>
      <c r="C213" s="8">
        <v>11431</v>
      </c>
      <c r="D213" s="9">
        <v>463496660</v>
      </c>
      <c r="E213" s="57">
        <v>800</v>
      </c>
      <c r="F213" s="10" t="s">
        <v>206</v>
      </c>
      <c r="G213" s="88">
        <v>0</v>
      </c>
      <c r="H213" s="70">
        <f t="shared" si="2"/>
        <v>0</v>
      </c>
      <c r="I213" s="11">
        <v>46069</v>
      </c>
      <c r="J213" s="11">
        <v>46066</v>
      </c>
      <c r="K213" s="13"/>
    </row>
    <row r="214" spans="1:11" ht="18" x14ac:dyDescent="0.4">
      <c r="A214" s="7" t="s">
        <v>98</v>
      </c>
      <c r="B214" s="85" t="s">
        <v>205</v>
      </c>
      <c r="C214" s="8">
        <v>11431</v>
      </c>
      <c r="D214" s="9">
        <v>463492670</v>
      </c>
      <c r="E214" s="57">
        <v>800</v>
      </c>
      <c r="F214" s="10" t="s">
        <v>206</v>
      </c>
      <c r="G214" s="88">
        <v>800</v>
      </c>
      <c r="H214" s="70">
        <f t="shared" si="2"/>
        <v>1</v>
      </c>
      <c r="I214" s="11">
        <v>46069</v>
      </c>
      <c r="J214" s="11">
        <v>46066</v>
      </c>
      <c r="K214" s="13"/>
    </row>
    <row r="215" spans="1:11" ht="18" x14ac:dyDescent="0.4">
      <c r="A215" s="7" t="s">
        <v>98</v>
      </c>
      <c r="B215" s="85" t="s">
        <v>207</v>
      </c>
      <c r="C215" s="8">
        <v>14928</v>
      </c>
      <c r="D215" s="9">
        <v>463556950</v>
      </c>
      <c r="E215" s="57">
        <v>40</v>
      </c>
      <c r="F215" s="10" t="s">
        <v>208</v>
      </c>
      <c r="G215" s="88">
        <v>0</v>
      </c>
      <c r="H215" s="70">
        <f t="shared" si="2"/>
        <v>0</v>
      </c>
      <c r="I215" s="11">
        <v>46069</v>
      </c>
      <c r="J215" s="11">
        <v>46066</v>
      </c>
      <c r="K215" s="13"/>
    </row>
    <row r="216" spans="1:11" ht="18" x14ac:dyDescent="0.4">
      <c r="A216" s="7" t="s">
        <v>98</v>
      </c>
      <c r="B216" s="85" t="s">
        <v>207</v>
      </c>
      <c r="C216" s="8">
        <v>14928</v>
      </c>
      <c r="D216" s="9">
        <v>463526220</v>
      </c>
      <c r="E216" s="57">
        <v>40</v>
      </c>
      <c r="F216" s="10" t="s">
        <v>209</v>
      </c>
      <c r="G216" s="88">
        <v>0</v>
      </c>
      <c r="H216" s="70">
        <f t="shared" si="2"/>
        <v>0</v>
      </c>
      <c r="I216" s="11">
        <v>46069</v>
      </c>
      <c r="J216" s="11">
        <v>46066</v>
      </c>
      <c r="K216" s="13"/>
    </row>
    <row r="217" spans="1:11" ht="18" x14ac:dyDescent="0.4">
      <c r="A217" s="7" t="s">
        <v>98</v>
      </c>
      <c r="B217" s="85" t="s">
        <v>207</v>
      </c>
      <c r="C217" s="8">
        <v>14928</v>
      </c>
      <c r="D217" s="9">
        <v>463496630</v>
      </c>
      <c r="E217" s="57">
        <v>40</v>
      </c>
      <c r="F217" s="10" t="s">
        <v>210</v>
      </c>
      <c r="G217" s="88">
        <v>320</v>
      </c>
      <c r="H217" s="70">
        <f t="shared" si="2"/>
        <v>8</v>
      </c>
      <c r="I217" s="11">
        <v>46069</v>
      </c>
      <c r="J217" s="11">
        <v>46066</v>
      </c>
      <c r="K217" s="13"/>
    </row>
    <row r="218" spans="1:11" ht="18" x14ac:dyDescent="0.4">
      <c r="A218" s="7" t="s">
        <v>98</v>
      </c>
      <c r="B218" s="85" t="s">
        <v>207</v>
      </c>
      <c r="C218" s="8">
        <v>14928</v>
      </c>
      <c r="D218" s="9">
        <v>463358702</v>
      </c>
      <c r="E218" s="57">
        <v>100</v>
      </c>
      <c r="F218" s="10" t="s">
        <v>211</v>
      </c>
      <c r="G218" s="88">
        <v>320</v>
      </c>
      <c r="H218" s="70">
        <f t="shared" si="2"/>
        <v>3.2</v>
      </c>
      <c r="I218" s="11">
        <v>46069</v>
      </c>
      <c r="J218" s="11">
        <v>46066</v>
      </c>
      <c r="K218" s="13"/>
    </row>
    <row r="219" spans="1:11" ht="18" x14ac:dyDescent="0.4">
      <c r="A219" s="7" t="s">
        <v>98</v>
      </c>
      <c r="B219" s="85" t="s">
        <v>207</v>
      </c>
      <c r="C219" s="8">
        <v>14928</v>
      </c>
      <c r="D219" s="9">
        <v>463564010</v>
      </c>
      <c r="E219" s="57">
        <v>100</v>
      </c>
      <c r="F219" s="10" t="s">
        <v>212</v>
      </c>
      <c r="G219" s="88">
        <v>130</v>
      </c>
      <c r="H219" s="70">
        <f t="shared" si="2"/>
        <v>1.3</v>
      </c>
      <c r="I219" s="11">
        <v>46069</v>
      </c>
      <c r="J219" s="11">
        <v>46066</v>
      </c>
      <c r="K219" s="13"/>
    </row>
    <row r="220" spans="1:11" ht="18" x14ac:dyDescent="0.4">
      <c r="A220" s="7" t="s">
        <v>98</v>
      </c>
      <c r="B220" s="85" t="s">
        <v>207</v>
      </c>
      <c r="C220" s="8">
        <v>14928</v>
      </c>
      <c r="D220" s="9">
        <v>463383610</v>
      </c>
      <c r="E220" s="57">
        <v>40</v>
      </c>
      <c r="F220" s="10" t="s">
        <v>213</v>
      </c>
      <c r="G220" s="88">
        <v>1000</v>
      </c>
      <c r="H220" s="70">
        <f t="shared" ref="H220:H287" si="3">+G220/E220</f>
        <v>25</v>
      </c>
      <c r="I220" s="11">
        <v>46069</v>
      </c>
      <c r="J220" s="11">
        <v>46066</v>
      </c>
      <c r="K220" s="13"/>
    </row>
    <row r="221" spans="1:11" ht="18" x14ac:dyDescent="0.4">
      <c r="A221" s="7" t="s">
        <v>98</v>
      </c>
      <c r="B221" s="85" t="s">
        <v>214</v>
      </c>
      <c r="C221" s="8">
        <v>21342</v>
      </c>
      <c r="D221" s="9">
        <v>463485520</v>
      </c>
      <c r="E221" s="57">
        <v>480</v>
      </c>
      <c r="F221" s="10" t="s">
        <v>215</v>
      </c>
      <c r="G221" s="88">
        <v>1440</v>
      </c>
      <c r="H221" s="70">
        <f t="shared" si="3"/>
        <v>3</v>
      </c>
      <c r="I221" s="11">
        <v>46069</v>
      </c>
      <c r="J221" s="11">
        <v>46066</v>
      </c>
      <c r="K221" s="13"/>
    </row>
    <row r="222" spans="1:11" ht="18" x14ac:dyDescent="0.4">
      <c r="A222" s="7" t="s">
        <v>98</v>
      </c>
      <c r="B222" s="85" t="s">
        <v>214</v>
      </c>
      <c r="C222" s="8">
        <v>21342</v>
      </c>
      <c r="D222" s="9">
        <v>463496650</v>
      </c>
      <c r="E222" s="57">
        <v>25</v>
      </c>
      <c r="F222" s="10" t="s">
        <v>216</v>
      </c>
      <c r="G222" s="88">
        <v>0</v>
      </c>
      <c r="H222" s="70">
        <f t="shared" si="3"/>
        <v>0</v>
      </c>
      <c r="I222" s="11">
        <v>46069</v>
      </c>
      <c r="J222" s="11">
        <v>46066</v>
      </c>
      <c r="K222" s="13"/>
    </row>
    <row r="223" spans="1:11" ht="18" x14ac:dyDescent="0.4">
      <c r="A223" s="7" t="s">
        <v>98</v>
      </c>
      <c r="B223" s="85" t="s">
        <v>214</v>
      </c>
      <c r="C223" s="8">
        <v>21342</v>
      </c>
      <c r="D223" s="9">
        <v>463581750</v>
      </c>
      <c r="E223" s="57">
        <v>25</v>
      </c>
      <c r="F223" s="10" t="s">
        <v>216</v>
      </c>
      <c r="G223" s="88">
        <v>800</v>
      </c>
      <c r="H223" s="70">
        <f t="shared" si="3"/>
        <v>32</v>
      </c>
      <c r="I223" s="11">
        <v>46069</v>
      </c>
      <c r="J223" s="11">
        <v>46066</v>
      </c>
      <c r="K223" s="13"/>
    </row>
    <row r="224" spans="1:11" ht="18" x14ac:dyDescent="0.4">
      <c r="A224" s="7" t="s">
        <v>98</v>
      </c>
      <c r="B224" s="85" t="s">
        <v>214</v>
      </c>
      <c r="C224" s="8">
        <v>21342</v>
      </c>
      <c r="D224" s="9">
        <v>463491660</v>
      </c>
      <c r="E224" s="57">
        <v>300</v>
      </c>
      <c r="F224" s="10" t="s">
        <v>217</v>
      </c>
      <c r="G224" s="88">
        <v>0</v>
      </c>
      <c r="H224" s="70">
        <f t="shared" si="3"/>
        <v>0</v>
      </c>
      <c r="I224" s="11">
        <v>46069</v>
      </c>
      <c r="J224" s="11">
        <v>46066</v>
      </c>
      <c r="K224" s="13"/>
    </row>
    <row r="225" spans="1:11" ht="18" x14ac:dyDescent="0.4">
      <c r="A225" s="7" t="s">
        <v>98</v>
      </c>
      <c r="B225" s="85" t="s">
        <v>218</v>
      </c>
      <c r="C225" s="8">
        <v>23480</v>
      </c>
      <c r="D225" s="9">
        <v>552849890</v>
      </c>
      <c r="E225" s="57">
        <v>180</v>
      </c>
      <c r="F225" s="10" t="s">
        <v>219</v>
      </c>
      <c r="G225" s="88">
        <v>0</v>
      </c>
      <c r="H225" s="70">
        <f t="shared" si="3"/>
        <v>0</v>
      </c>
      <c r="I225" s="11">
        <v>46069</v>
      </c>
      <c r="J225" s="11">
        <v>46066</v>
      </c>
      <c r="K225" s="13"/>
    </row>
    <row r="226" spans="1:11" ht="18" x14ac:dyDescent="0.4">
      <c r="A226" s="7" t="s">
        <v>98</v>
      </c>
      <c r="B226" s="85" t="s">
        <v>218</v>
      </c>
      <c r="C226" s="8">
        <v>23480</v>
      </c>
      <c r="D226" s="9">
        <v>463357980</v>
      </c>
      <c r="E226" s="57">
        <v>1000</v>
      </c>
      <c r="F226" s="10" t="s">
        <v>712</v>
      </c>
      <c r="G226" s="88">
        <v>0</v>
      </c>
      <c r="H226" s="70">
        <f t="shared" si="3"/>
        <v>0</v>
      </c>
      <c r="I226" s="11">
        <v>46069</v>
      </c>
      <c r="J226" s="11">
        <v>46066</v>
      </c>
      <c r="K226" s="13"/>
    </row>
    <row r="227" spans="1:11" ht="18" x14ac:dyDescent="0.4">
      <c r="A227" s="7" t="s">
        <v>98</v>
      </c>
      <c r="B227" s="85" t="s">
        <v>218</v>
      </c>
      <c r="C227" s="8">
        <v>23480</v>
      </c>
      <c r="D227" s="9">
        <v>463482030</v>
      </c>
      <c r="E227" s="57">
        <v>200</v>
      </c>
      <c r="F227" s="10" t="s">
        <v>221</v>
      </c>
      <c r="G227" s="88">
        <v>0</v>
      </c>
      <c r="H227" s="70">
        <f t="shared" si="3"/>
        <v>0</v>
      </c>
      <c r="I227" s="11">
        <v>46069</v>
      </c>
      <c r="J227" s="11">
        <v>46066</v>
      </c>
      <c r="K227" s="13"/>
    </row>
    <row r="228" spans="1:11" ht="18" x14ac:dyDescent="0.4">
      <c r="A228" s="7" t="s">
        <v>98</v>
      </c>
      <c r="B228" s="85" t="s">
        <v>218</v>
      </c>
      <c r="C228" s="8">
        <v>23480</v>
      </c>
      <c r="D228" s="9">
        <v>144576860</v>
      </c>
      <c r="E228" s="57">
        <v>1500</v>
      </c>
      <c r="F228" s="10" t="s">
        <v>713</v>
      </c>
      <c r="G228" s="88">
        <v>0</v>
      </c>
      <c r="H228" s="70">
        <f t="shared" si="3"/>
        <v>0</v>
      </c>
      <c r="I228" s="11">
        <v>46069</v>
      </c>
      <c r="J228" s="11">
        <v>46066</v>
      </c>
      <c r="K228" s="13"/>
    </row>
    <row r="229" spans="1:11" ht="18" x14ac:dyDescent="0.4">
      <c r="A229" s="7" t="s">
        <v>98</v>
      </c>
      <c r="B229" s="85" t="s">
        <v>218</v>
      </c>
      <c r="C229" s="8">
        <v>23481</v>
      </c>
      <c r="D229" s="9">
        <v>463526250</v>
      </c>
      <c r="E229" s="57">
        <v>500</v>
      </c>
      <c r="F229" s="10" t="s">
        <v>224</v>
      </c>
      <c r="G229" s="88">
        <v>0</v>
      </c>
      <c r="H229" s="70">
        <f t="shared" si="3"/>
        <v>0</v>
      </c>
      <c r="I229" s="11">
        <v>46069</v>
      </c>
      <c r="J229" s="11">
        <v>46066</v>
      </c>
      <c r="K229" s="13"/>
    </row>
    <row r="230" spans="1:11" ht="18" x14ac:dyDescent="0.4">
      <c r="A230" s="7" t="s">
        <v>98</v>
      </c>
      <c r="B230" s="85" t="s">
        <v>218</v>
      </c>
      <c r="C230" s="8">
        <v>23481</v>
      </c>
      <c r="D230" s="9">
        <v>463399250</v>
      </c>
      <c r="E230" s="57">
        <v>500</v>
      </c>
      <c r="F230" s="10" t="s">
        <v>224</v>
      </c>
      <c r="G230" s="88">
        <v>0</v>
      </c>
      <c r="H230" s="70">
        <f t="shared" si="3"/>
        <v>0</v>
      </c>
      <c r="I230" s="11">
        <v>46069</v>
      </c>
      <c r="J230" s="11">
        <v>46066</v>
      </c>
      <c r="K230" s="13"/>
    </row>
    <row r="231" spans="1:11" ht="18" x14ac:dyDescent="0.4">
      <c r="A231" s="7" t="s">
        <v>98</v>
      </c>
      <c r="B231" s="85" t="s">
        <v>225</v>
      </c>
      <c r="C231" s="8">
        <v>27986</v>
      </c>
      <c r="D231" s="9">
        <v>463526190</v>
      </c>
      <c r="E231" s="57">
        <v>400</v>
      </c>
      <c r="F231" s="10" t="s">
        <v>226</v>
      </c>
      <c r="G231" s="88">
        <v>0</v>
      </c>
      <c r="H231" s="70">
        <f t="shared" si="3"/>
        <v>0</v>
      </c>
      <c r="I231" s="11">
        <v>46069</v>
      </c>
      <c r="J231" s="11">
        <v>46066</v>
      </c>
      <c r="K231" s="13"/>
    </row>
    <row r="232" spans="1:11" ht="18" x14ac:dyDescent="0.4">
      <c r="A232" s="7" t="s">
        <v>98</v>
      </c>
      <c r="B232" s="85" t="s">
        <v>225</v>
      </c>
      <c r="C232" s="8">
        <v>27986</v>
      </c>
      <c r="D232" s="9">
        <v>463524600</v>
      </c>
      <c r="E232" s="57">
        <v>500</v>
      </c>
      <c r="F232" s="10" t="s">
        <v>227</v>
      </c>
      <c r="G232" s="88">
        <v>0</v>
      </c>
      <c r="H232" s="70">
        <f t="shared" si="3"/>
        <v>0</v>
      </c>
      <c r="I232" s="11">
        <v>46069</v>
      </c>
      <c r="J232" s="11">
        <v>46066</v>
      </c>
      <c r="K232" s="13"/>
    </row>
    <row r="233" spans="1:11" ht="18" x14ac:dyDescent="0.4">
      <c r="A233" s="7" t="s">
        <v>98</v>
      </c>
      <c r="B233" s="85" t="s">
        <v>225</v>
      </c>
      <c r="C233" s="8">
        <v>27986</v>
      </c>
      <c r="D233" s="9">
        <v>552849810</v>
      </c>
      <c r="E233" s="57">
        <v>500</v>
      </c>
      <c r="F233" s="10" t="s">
        <v>228</v>
      </c>
      <c r="G233" s="88">
        <v>0</v>
      </c>
      <c r="H233" s="70">
        <f t="shared" si="3"/>
        <v>0</v>
      </c>
      <c r="I233" s="11">
        <v>46069</v>
      </c>
      <c r="J233" s="11">
        <v>46066</v>
      </c>
      <c r="K233" s="13"/>
    </row>
    <row r="234" spans="1:11" ht="18" x14ac:dyDescent="0.4">
      <c r="A234" s="7" t="s">
        <v>98</v>
      </c>
      <c r="B234" s="85" t="s">
        <v>225</v>
      </c>
      <c r="C234" s="8">
        <v>27986</v>
      </c>
      <c r="D234" s="9">
        <v>463355140</v>
      </c>
      <c r="E234" s="57">
        <v>500</v>
      </c>
      <c r="F234" s="10" t="s">
        <v>228</v>
      </c>
      <c r="G234" s="88">
        <v>0</v>
      </c>
      <c r="H234" s="70">
        <f t="shared" si="3"/>
        <v>0</v>
      </c>
      <c r="I234" s="11">
        <v>46069</v>
      </c>
      <c r="J234" s="11">
        <v>46066</v>
      </c>
      <c r="K234" s="13"/>
    </row>
    <row r="235" spans="1:11" ht="18" x14ac:dyDescent="0.4">
      <c r="A235" s="7" t="s">
        <v>98</v>
      </c>
      <c r="B235" s="85" t="s">
        <v>229</v>
      </c>
      <c r="C235" s="8">
        <v>32059</v>
      </c>
      <c r="D235" s="9">
        <v>552822590</v>
      </c>
      <c r="E235" s="57">
        <v>2800</v>
      </c>
      <c r="F235" s="10" t="s">
        <v>230</v>
      </c>
      <c r="G235" s="88">
        <v>0</v>
      </c>
      <c r="H235" s="70">
        <f t="shared" si="3"/>
        <v>0</v>
      </c>
      <c r="I235" s="11">
        <v>46069</v>
      </c>
      <c r="J235" s="11">
        <v>46066</v>
      </c>
      <c r="K235" s="13"/>
    </row>
    <row r="236" spans="1:11" ht="18" x14ac:dyDescent="0.4">
      <c r="A236" s="7" t="s">
        <v>98</v>
      </c>
      <c r="B236" s="85" t="s">
        <v>231</v>
      </c>
      <c r="C236" s="8">
        <v>32572</v>
      </c>
      <c r="D236" s="9">
        <v>552820870</v>
      </c>
      <c r="E236" s="57">
        <v>720</v>
      </c>
      <c r="F236" s="10" t="s">
        <v>232</v>
      </c>
      <c r="G236" s="88">
        <v>0</v>
      </c>
      <c r="H236" s="70">
        <f t="shared" si="3"/>
        <v>0</v>
      </c>
      <c r="I236" s="11">
        <v>46069</v>
      </c>
      <c r="J236" s="11">
        <v>46066</v>
      </c>
      <c r="K236" s="13"/>
    </row>
    <row r="237" spans="1:11" ht="18" x14ac:dyDescent="0.4">
      <c r="A237" s="7" t="s">
        <v>98</v>
      </c>
      <c r="B237" s="85" t="s">
        <v>714</v>
      </c>
      <c r="C237" s="8">
        <v>33518</v>
      </c>
      <c r="D237" s="9">
        <v>463496670</v>
      </c>
      <c r="E237" s="57">
        <v>48</v>
      </c>
      <c r="F237" s="10" t="s">
        <v>236</v>
      </c>
      <c r="G237" s="88">
        <v>0</v>
      </c>
      <c r="H237" s="70">
        <f t="shared" si="3"/>
        <v>0</v>
      </c>
      <c r="I237" s="11">
        <v>46069</v>
      </c>
      <c r="J237" s="11">
        <v>46066</v>
      </c>
      <c r="K237" s="13"/>
    </row>
    <row r="238" spans="1:11" ht="18" x14ac:dyDescent="0.4">
      <c r="A238" s="7" t="s">
        <v>98</v>
      </c>
      <c r="B238" s="85" t="s">
        <v>714</v>
      </c>
      <c r="C238" s="8">
        <v>33518</v>
      </c>
      <c r="D238" s="9">
        <v>463433880</v>
      </c>
      <c r="E238" s="57">
        <v>48</v>
      </c>
      <c r="F238" s="10" t="s">
        <v>237</v>
      </c>
      <c r="G238" s="88">
        <v>480</v>
      </c>
      <c r="H238" s="70">
        <f t="shared" si="3"/>
        <v>10</v>
      </c>
      <c r="I238" s="11">
        <v>46069</v>
      </c>
      <c r="J238" s="11">
        <v>46066</v>
      </c>
      <c r="K238" s="13"/>
    </row>
    <row r="239" spans="1:11" ht="18" x14ac:dyDescent="0.4">
      <c r="A239" s="7" t="s">
        <v>98</v>
      </c>
      <c r="B239" s="85" t="s">
        <v>715</v>
      </c>
      <c r="C239" s="8">
        <v>58696</v>
      </c>
      <c r="D239" s="9">
        <v>463495790</v>
      </c>
      <c r="E239" s="57">
        <v>1200</v>
      </c>
      <c r="F239" s="10" t="s">
        <v>239</v>
      </c>
      <c r="G239" s="88">
        <v>2400</v>
      </c>
      <c r="H239" s="70">
        <f t="shared" si="3"/>
        <v>2</v>
      </c>
      <c r="I239" s="11">
        <v>46069</v>
      </c>
      <c r="J239" s="11">
        <v>46066</v>
      </c>
      <c r="K239" s="13"/>
    </row>
    <row r="240" spans="1:11" ht="18" x14ac:dyDescent="0.4">
      <c r="A240" s="7" t="s">
        <v>98</v>
      </c>
      <c r="B240" s="85" t="s">
        <v>697</v>
      </c>
      <c r="C240" s="8">
        <v>47104</v>
      </c>
      <c r="D240" s="9">
        <v>552840970</v>
      </c>
      <c r="E240" s="57">
        <v>240</v>
      </c>
      <c r="F240" s="10" t="s">
        <v>240</v>
      </c>
      <c r="G240" s="88">
        <v>240</v>
      </c>
      <c r="H240" s="70">
        <f t="shared" si="3"/>
        <v>1</v>
      </c>
      <c r="I240" s="11">
        <v>46069</v>
      </c>
      <c r="J240" s="11">
        <v>46066</v>
      </c>
      <c r="K240" s="13"/>
    </row>
    <row r="241" spans="1:11" ht="18" x14ac:dyDescent="0.4">
      <c r="A241" s="7" t="s">
        <v>98</v>
      </c>
      <c r="B241" s="85" t="s">
        <v>697</v>
      </c>
      <c r="C241" s="8">
        <v>47104</v>
      </c>
      <c r="D241" s="9">
        <v>552840960</v>
      </c>
      <c r="E241" s="57">
        <v>240</v>
      </c>
      <c r="F241" s="10" t="s">
        <v>241</v>
      </c>
      <c r="G241" s="88">
        <v>960</v>
      </c>
      <c r="H241" s="70">
        <f t="shared" si="3"/>
        <v>4</v>
      </c>
      <c r="I241" s="11">
        <v>46069</v>
      </c>
      <c r="J241" s="11">
        <v>46066</v>
      </c>
      <c r="K241" s="13"/>
    </row>
    <row r="242" spans="1:11" ht="18" x14ac:dyDescent="0.4">
      <c r="A242" s="7" t="s">
        <v>98</v>
      </c>
      <c r="B242" s="85" t="s">
        <v>716</v>
      </c>
      <c r="C242" s="8">
        <v>35657</v>
      </c>
      <c r="D242" s="9">
        <v>463370940</v>
      </c>
      <c r="E242" s="57">
        <v>500</v>
      </c>
      <c r="F242" s="10" t="s">
        <v>243</v>
      </c>
      <c r="G242" s="88">
        <v>0</v>
      </c>
      <c r="H242" s="70">
        <f t="shared" si="3"/>
        <v>0</v>
      </c>
      <c r="I242" s="11">
        <v>46069</v>
      </c>
      <c r="J242" s="11">
        <v>46066</v>
      </c>
      <c r="K242" s="13"/>
    </row>
    <row r="243" spans="1:11" ht="18" x14ac:dyDescent="0.4">
      <c r="A243" s="7" t="s">
        <v>98</v>
      </c>
      <c r="B243" s="85" t="s">
        <v>716</v>
      </c>
      <c r="C243" s="8">
        <v>35657</v>
      </c>
      <c r="D243" s="9">
        <v>463488490</v>
      </c>
      <c r="E243" s="57">
        <v>500</v>
      </c>
      <c r="F243" s="10" t="s">
        <v>243</v>
      </c>
      <c r="G243" s="88">
        <v>0</v>
      </c>
      <c r="H243" s="70">
        <f t="shared" si="3"/>
        <v>0</v>
      </c>
      <c r="I243" s="11">
        <v>46069</v>
      </c>
      <c r="J243" s="11">
        <v>46066</v>
      </c>
      <c r="K243" s="13"/>
    </row>
    <row r="244" spans="1:11" ht="18" x14ac:dyDescent="0.4">
      <c r="A244" s="7" t="s">
        <v>98</v>
      </c>
      <c r="B244" s="85" t="s">
        <v>244</v>
      </c>
      <c r="C244" s="8">
        <v>40840</v>
      </c>
      <c r="D244" s="9">
        <v>552822730</v>
      </c>
      <c r="E244" s="57">
        <v>750</v>
      </c>
      <c r="F244" s="10" t="s">
        <v>245</v>
      </c>
      <c r="G244" s="88">
        <v>0</v>
      </c>
      <c r="H244" s="70">
        <f t="shared" si="3"/>
        <v>0</v>
      </c>
      <c r="I244" s="11">
        <v>46069</v>
      </c>
      <c r="J244" s="11">
        <v>46066</v>
      </c>
      <c r="K244" s="13"/>
    </row>
    <row r="245" spans="1:11" ht="18" x14ac:dyDescent="0.4">
      <c r="A245" s="7" t="s">
        <v>98</v>
      </c>
      <c r="B245" s="85" t="s">
        <v>244</v>
      </c>
      <c r="C245" s="8">
        <v>40840</v>
      </c>
      <c r="D245" s="9">
        <v>552822450</v>
      </c>
      <c r="E245" s="57">
        <v>700</v>
      </c>
      <c r="F245" s="10" t="s">
        <v>717</v>
      </c>
      <c r="G245" s="88">
        <v>0</v>
      </c>
      <c r="H245" s="70">
        <f t="shared" si="3"/>
        <v>0</v>
      </c>
      <c r="I245" s="11">
        <v>46069</v>
      </c>
      <c r="J245" s="11">
        <v>46066</v>
      </c>
      <c r="K245" s="13"/>
    </row>
    <row r="246" spans="1:11" ht="18" x14ac:dyDescent="0.4">
      <c r="A246" s="7" t="s">
        <v>98</v>
      </c>
      <c r="B246" s="85" t="s">
        <v>244</v>
      </c>
      <c r="C246" s="8">
        <v>40840</v>
      </c>
      <c r="D246" s="9">
        <v>552822810</v>
      </c>
      <c r="E246" s="57">
        <v>400</v>
      </c>
      <c r="F246" s="10" t="s">
        <v>247</v>
      </c>
      <c r="G246" s="88">
        <v>0</v>
      </c>
      <c r="H246" s="70">
        <f t="shared" si="3"/>
        <v>0</v>
      </c>
      <c r="I246" s="11">
        <v>46069</v>
      </c>
      <c r="J246" s="11">
        <v>46066</v>
      </c>
      <c r="K246" s="13"/>
    </row>
    <row r="247" spans="1:11" ht="18" x14ac:dyDescent="0.4">
      <c r="A247" s="7" t="s">
        <v>98</v>
      </c>
      <c r="B247" s="85" t="s">
        <v>244</v>
      </c>
      <c r="C247" s="8">
        <v>40840</v>
      </c>
      <c r="D247" s="9">
        <v>463384870</v>
      </c>
      <c r="E247" s="57">
        <v>500</v>
      </c>
      <c r="F247" s="10" t="s">
        <v>718</v>
      </c>
      <c r="G247" s="88">
        <v>0</v>
      </c>
      <c r="H247" s="70">
        <f t="shared" si="3"/>
        <v>0</v>
      </c>
      <c r="I247" s="11">
        <v>46069</v>
      </c>
      <c r="J247" s="11">
        <v>46066</v>
      </c>
      <c r="K247" s="13"/>
    </row>
    <row r="248" spans="1:11" ht="18" x14ac:dyDescent="0.4">
      <c r="A248" s="32" t="s">
        <v>98</v>
      </c>
      <c r="B248" s="87" t="s">
        <v>244</v>
      </c>
      <c r="C248" s="33">
        <v>40840</v>
      </c>
      <c r="D248" s="34">
        <v>162970240</v>
      </c>
      <c r="E248" s="62">
        <v>250</v>
      </c>
      <c r="F248" s="35" t="s">
        <v>196</v>
      </c>
      <c r="G248" s="89">
        <v>0</v>
      </c>
      <c r="H248" s="70">
        <f t="shared" si="3"/>
        <v>0</v>
      </c>
      <c r="I248" s="55">
        <v>46069</v>
      </c>
      <c r="J248" s="55">
        <v>46066</v>
      </c>
      <c r="K248" s="56"/>
    </row>
    <row r="249" spans="1:11" ht="18" x14ac:dyDescent="0.4">
      <c r="A249" s="7" t="s">
        <v>0</v>
      </c>
      <c r="B249" s="60" t="s">
        <v>248</v>
      </c>
      <c r="C249" s="57">
        <v>72958</v>
      </c>
      <c r="D249" s="70">
        <v>463526030</v>
      </c>
      <c r="E249" s="57">
        <v>120</v>
      </c>
      <c r="F249" s="71" t="s">
        <v>249</v>
      </c>
      <c r="G249" s="91">
        <v>0</v>
      </c>
      <c r="H249" s="70">
        <f t="shared" si="3"/>
        <v>0</v>
      </c>
      <c r="I249" s="53">
        <v>46069</v>
      </c>
      <c r="J249" s="53">
        <v>46066</v>
      </c>
      <c r="K249" s="21"/>
    </row>
    <row r="250" spans="1:11" ht="18" x14ac:dyDescent="0.4">
      <c r="A250" s="7" t="s">
        <v>0</v>
      </c>
      <c r="B250" s="60" t="s">
        <v>248</v>
      </c>
      <c r="C250" s="57">
        <v>72958</v>
      </c>
      <c r="D250" s="70">
        <v>463523670</v>
      </c>
      <c r="E250" s="57">
        <v>120</v>
      </c>
      <c r="F250" s="71" t="s">
        <v>249</v>
      </c>
      <c r="G250" s="61">
        <v>0</v>
      </c>
      <c r="H250" s="70">
        <f t="shared" si="3"/>
        <v>0</v>
      </c>
      <c r="I250" s="53">
        <v>46069</v>
      </c>
      <c r="J250" s="53">
        <v>46066</v>
      </c>
      <c r="K250" s="21"/>
    </row>
    <row r="251" spans="1:11" ht="18" x14ac:dyDescent="0.4">
      <c r="A251" s="7" t="s">
        <v>0</v>
      </c>
      <c r="B251" s="60" t="s">
        <v>248</v>
      </c>
      <c r="C251" s="57">
        <v>72958</v>
      </c>
      <c r="D251" s="70">
        <v>463523680</v>
      </c>
      <c r="E251" s="57">
        <v>120</v>
      </c>
      <c r="F251" s="71" t="s">
        <v>249</v>
      </c>
      <c r="G251" s="61">
        <v>0</v>
      </c>
      <c r="H251" s="70">
        <f t="shared" si="3"/>
        <v>0</v>
      </c>
      <c r="I251" s="53">
        <v>46069</v>
      </c>
      <c r="J251" s="53">
        <v>46066</v>
      </c>
      <c r="K251" s="21"/>
    </row>
    <row r="252" spans="1:11" ht="18" x14ac:dyDescent="0.4">
      <c r="A252" s="7" t="s">
        <v>0</v>
      </c>
      <c r="B252" s="60" t="s">
        <v>248</v>
      </c>
      <c r="C252" s="57">
        <v>72958</v>
      </c>
      <c r="D252" s="70">
        <v>463524370</v>
      </c>
      <c r="E252" s="57">
        <v>120</v>
      </c>
      <c r="F252" s="71" t="s">
        <v>249</v>
      </c>
      <c r="G252" s="61">
        <v>0</v>
      </c>
      <c r="H252" s="70">
        <f t="shared" si="3"/>
        <v>0</v>
      </c>
      <c r="I252" s="53">
        <v>46069</v>
      </c>
      <c r="J252" s="53">
        <v>46066</v>
      </c>
      <c r="K252" s="7"/>
    </row>
    <row r="253" spans="1:11" ht="18" x14ac:dyDescent="0.4">
      <c r="A253" s="7" t="s">
        <v>0</v>
      </c>
      <c r="B253" s="60" t="s">
        <v>248</v>
      </c>
      <c r="C253" s="57">
        <v>72958</v>
      </c>
      <c r="D253" s="70">
        <v>463524380</v>
      </c>
      <c r="E253" s="57">
        <v>120</v>
      </c>
      <c r="F253" s="71" t="s">
        <v>249</v>
      </c>
      <c r="G253" s="61">
        <v>0</v>
      </c>
      <c r="H253" s="70">
        <f t="shared" si="3"/>
        <v>0</v>
      </c>
      <c r="I253" s="53">
        <v>46069</v>
      </c>
      <c r="J253" s="53">
        <v>46066</v>
      </c>
      <c r="K253" s="7"/>
    </row>
    <row r="254" spans="1:11" ht="18" x14ac:dyDescent="0.4">
      <c r="A254" s="7" t="s">
        <v>0</v>
      </c>
      <c r="B254" s="60" t="s">
        <v>250</v>
      </c>
      <c r="C254" s="57">
        <v>37866</v>
      </c>
      <c r="D254" s="70">
        <v>463453590</v>
      </c>
      <c r="E254" s="57">
        <v>120</v>
      </c>
      <c r="F254" s="71" t="s">
        <v>249</v>
      </c>
      <c r="G254" s="61">
        <v>0</v>
      </c>
      <c r="H254" s="70">
        <f t="shared" si="3"/>
        <v>0</v>
      </c>
      <c r="I254" s="53">
        <v>46069</v>
      </c>
      <c r="J254" s="53">
        <v>46066</v>
      </c>
      <c r="K254" s="21"/>
    </row>
    <row r="255" spans="1:11" ht="18" x14ac:dyDescent="0.4">
      <c r="A255" s="7" t="s">
        <v>0</v>
      </c>
      <c r="B255" s="81" t="s">
        <v>250</v>
      </c>
      <c r="C255" s="57">
        <v>37866</v>
      </c>
      <c r="D255" s="70">
        <v>463453600</v>
      </c>
      <c r="E255" s="57">
        <v>120</v>
      </c>
      <c r="F255" s="71" t="s">
        <v>251</v>
      </c>
      <c r="G255" s="61">
        <v>0</v>
      </c>
      <c r="H255" s="70">
        <f t="shared" si="3"/>
        <v>0</v>
      </c>
      <c r="I255" s="53">
        <v>46069</v>
      </c>
      <c r="J255" s="53">
        <v>46066</v>
      </c>
      <c r="K255" s="21"/>
    </row>
    <row r="256" spans="1:11" ht="18" x14ac:dyDescent="0.4">
      <c r="A256" s="7" t="s">
        <v>0</v>
      </c>
      <c r="B256" s="81" t="s">
        <v>250</v>
      </c>
      <c r="C256" s="57">
        <v>37866</v>
      </c>
      <c r="D256" s="70">
        <v>463453610</v>
      </c>
      <c r="E256" s="57">
        <v>120</v>
      </c>
      <c r="F256" s="71" t="s">
        <v>252</v>
      </c>
      <c r="G256" s="61">
        <v>0</v>
      </c>
      <c r="H256" s="70">
        <f t="shared" si="3"/>
        <v>0</v>
      </c>
      <c r="I256" s="53">
        <v>46069</v>
      </c>
      <c r="J256" s="53">
        <v>46066</v>
      </c>
      <c r="K256" s="21"/>
    </row>
    <row r="257" spans="1:11" ht="18" x14ac:dyDescent="0.4">
      <c r="A257" s="7" t="s">
        <v>0</v>
      </c>
      <c r="B257" s="81" t="s">
        <v>250</v>
      </c>
      <c r="C257" s="57">
        <v>37866</v>
      </c>
      <c r="D257" s="70">
        <v>463453620</v>
      </c>
      <c r="E257" s="57">
        <v>120</v>
      </c>
      <c r="F257" s="71" t="s">
        <v>253</v>
      </c>
      <c r="G257" s="61">
        <v>0</v>
      </c>
      <c r="H257" s="70">
        <f t="shared" si="3"/>
        <v>0</v>
      </c>
      <c r="I257" s="53">
        <v>46069</v>
      </c>
      <c r="J257" s="53">
        <v>46066</v>
      </c>
      <c r="K257" s="21"/>
    </row>
    <row r="258" spans="1:11" ht="18" x14ac:dyDescent="0.4">
      <c r="A258" s="7" t="s">
        <v>0</v>
      </c>
      <c r="B258" s="81" t="s">
        <v>250</v>
      </c>
      <c r="C258" s="57">
        <v>37866</v>
      </c>
      <c r="D258" s="70">
        <v>463453580</v>
      </c>
      <c r="E258" s="57">
        <v>120</v>
      </c>
      <c r="F258" s="71" t="s">
        <v>249</v>
      </c>
      <c r="G258" s="61">
        <v>0</v>
      </c>
      <c r="H258" s="70">
        <f t="shared" si="3"/>
        <v>0</v>
      </c>
      <c r="I258" s="53">
        <v>46069</v>
      </c>
      <c r="J258" s="53">
        <v>46066</v>
      </c>
      <c r="K258" s="7"/>
    </row>
    <row r="259" spans="1:11" ht="18" x14ac:dyDescent="0.4">
      <c r="A259" s="7" t="s">
        <v>0</v>
      </c>
      <c r="B259" s="81" t="s">
        <v>250</v>
      </c>
      <c r="C259" s="57">
        <v>37866</v>
      </c>
      <c r="D259" s="70">
        <v>463453570</v>
      </c>
      <c r="E259" s="57">
        <v>120</v>
      </c>
      <c r="F259" s="71" t="s">
        <v>249</v>
      </c>
      <c r="G259" s="61">
        <v>0</v>
      </c>
      <c r="H259" s="70">
        <f t="shared" si="3"/>
        <v>0</v>
      </c>
      <c r="I259" s="53">
        <v>46069</v>
      </c>
      <c r="J259" s="53">
        <v>46066</v>
      </c>
      <c r="K259" s="21"/>
    </row>
    <row r="260" spans="1:11" ht="18" x14ac:dyDescent="0.4">
      <c r="A260" s="7" t="s">
        <v>0</v>
      </c>
      <c r="B260" s="81" t="s">
        <v>250</v>
      </c>
      <c r="C260" s="57">
        <v>37866</v>
      </c>
      <c r="D260" s="70">
        <v>463522020</v>
      </c>
      <c r="E260" s="57">
        <v>120</v>
      </c>
      <c r="F260" s="71" t="s">
        <v>249</v>
      </c>
      <c r="G260" s="61">
        <v>0</v>
      </c>
      <c r="H260" s="70">
        <f t="shared" si="3"/>
        <v>0</v>
      </c>
      <c r="I260" s="53">
        <v>46069</v>
      </c>
      <c r="J260" s="53">
        <v>46066</v>
      </c>
      <c r="K260" s="21"/>
    </row>
    <row r="261" spans="1:11" ht="18" x14ac:dyDescent="0.4">
      <c r="A261" s="7" t="s">
        <v>0</v>
      </c>
      <c r="B261" s="81" t="s">
        <v>250</v>
      </c>
      <c r="C261" s="57">
        <v>37866</v>
      </c>
      <c r="D261" s="70">
        <v>463522030</v>
      </c>
      <c r="E261" s="57">
        <v>120</v>
      </c>
      <c r="F261" s="71" t="s">
        <v>249</v>
      </c>
      <c r="G261" s="61">
        <v>0</v>
      </c>
      <c r="H261" s="70">
        <f t="shared" si="3"/>
        <v>0</v>
      </c>
      <c r="I261" s="53">
        <v>46069</v>
      </c>
      <c r="J261" s="53">
        <v>46066</v>
      </c>
      <c r="K261" s="7"/>
    </row>
    <row r="262" spans="1:11" ht="18" x14ac:dyDescent="0.4">
      <c r="A262" s="7" t="s">
        <v>0</v>
      </c>
      <c r="B262" s="81" t="s">
        <v>254</v>
      </c>
      <c r="C262" s="57">
        <v>1097</v>
      </c>
      <c r="D262" s="70">
        <v>552172560</v>
      </c>
      <c r="E262" s="57">
        <v>32</v>
      </c>
      <c r="F262" s="71" t="s">
        <v>255</v>
      </c>
      <c r="G262" s="61">
        <v>0</v>
      </c>
      <c r="H262" s="70">
        <f t="shared" si="3"/>
        <v>0</v>
      </c>
      <c r="I262" s="53">
        <v>46069</v>
      </c>
      <c r="J262" s="53">
        <v>46066</v>
      </c>
      <c r="K262" s="21"/>
    </row>
    <row r="263" spans="1:11" ht="18" x14ac:dyDescent="0.4">
      <c r="A263" s="7" t="s">
        <v>0</v>
      </c>
      <c r="B263" s="60" t="s">
        <v>254</v>
      </c>
      <c r="C263" s="57">
        <v>1097</v>
      </c>
      <c r="D263" s="70">
        <v>552172570</v>
      </c>
      <c r="E263" s="57">
        <v>32</v>
      </c>
      <c r="F263" s="71" t="s">
        <v>256</v>
      </c>
      <c r="G263" s="61">
        <v>0</v>
      </c>
      <c r="H263" s="70">
        <f t="shared" si="3"/>
        <v>0</v>
      </c>
      <c r="I263" s="53">
        <v>46069</v>
      </c>
      <c r="J263" s="53">
        <v>46066</v>
      </c>
      <c r="K263" s="21"/>
    </row>
    <row r="264" spans="1:11" ht="18" x14ac:dyDescent="0.4">
      <c r="A264" s="7" t="s">
        <v>0</v>
      </c>
      <c r="B264" s="60" t="s">
        <v>254</v>
      </c>
      <c r="C264" s="57">
        <v>1097</v>
      </c>
      <c r="D264" s="70">
        <v>463497420</v>
      </c>
      <c r="E264" s="57">
        <v>32</v>
      </c>
      <c r="F264" s="71" t="s">
        <v>257</v>
      </c>
      <c r="G264" s="61">
        <v>0</v>
      </c>
      <c r="H264" s="70">
        <f t="shared" si="3"/>
        <v>0</v>
      </c>
      <c r="I264" s="53">
        <v>46069</v>
      </c>
      <c r="J264" s="53">
        <v>46066</v>
      </c>
      <c r="K264" s="21"/>
    </row>
    <row r="265" spans="1:11" ht="18" x14ac:dyDescent="0.4">
      <c r="A265" s="7" t="s">
        <v>0</v>
      </c>
      <c r="B265" s="60" t="s">
        <v>254</v>
      </c>
      <c r="C265" s="57">
        <v>1097</v>
      </c>
      <c r="D265" s="70">
        <v>463497440</v>
      </c>
      <c r="E265" s="57">
        <v>32</v>
      </c>
      <c r="F265" s="71" t="s">
        <v>258</v>
      </c>
      <c r="G265" s="61">
        <v>0</v>
      </c>
      <c r="H265" s="70">
        <f t="shared" si="3"/>
        <v>0</v>
      </c>
      <c r="I265" s="53">
        <v>46069</v>
      </c>
      <c r="J265" s="53">
        <v>46066</v>
      </c>
      <c r="K265" s="21"/>
    </row>
    <row r="266" spans="1:11" ht="18" x14ac:dyDescent="0.4">
      <c r="A266" s="7" t="s">
        <v>0</v>
      </c>
      <c r="B266" s="60" t="s">
        <v>254</v>
      </c>
      <c r="C266" s="57">
        <v>1097</v>
      </c>
      <c r="D266" s="70">
        <v>552168990</v>
      </c>
      <c r="E266" s="57">
        <v>32</v>
      </c>
      <c r="F266" s="71" t="s">
        <v>257</v>
      </c>
      <c r="G266" s="61">
        <v>0</v>
      </c>
      <c r="H266" s="70">
        <f t="shared" si="3"/>
        <v>0</v>
      </c>
      <c r="I266" s="53">
        <v>46069</v>
      </c>
      <c r="J266" s="53">
        <v>46066</v>
      </c>
      <c r="K266" s="21"/>
    </row>
    <row r="267" spans="1:11" ht="18" x14ac:dyDescent="0.4">
      <c r="A267" s="7" t="s">
        <v>0</v>
      </c>
      <c r="B267" s="60" t="s">
        <v>254</v>
      </c>
      <c r="C267" s="57">
        <v>1097</v>
      </c>
      <c r="D267" s="70">
        <v>463478520</v>
      </c>
      <c r="E267" s="57">
        <v>32</v>
      </c>
      <c r="F267" s="71" t="s">
        <v>259</v>
      </c>
      <c r="G267" s="61">
        <v>0</v>
      </c>
      <c r="H267" s="70">
        <f t="shared" si="3"/>
        <v>0</v>
      </c>
      <c r="I267" s="53">
        <v>46069</v>
      </c>
      <c r="J267" s="53">
        <v>46066</v>
      </c>
      <c r="K267" s="21"/>
    </row>
    <row r="268" spans="1:11" ht="18" x14ac:dyDescent="0.4">
      <c r="A268" s="7" t="s">
        <v>0</v>
      </c>
      <c r="B268" s="60" t="s">
        <v>254</v>
      </c>
      <c r="C268" s="57">
        <v>1097</v>
      </c>
      <c r="D268" s="70">
        <v>463478480</v>
      </c>
      <c r="E268" s="57">
        <v>32</v>
      </c>
      <c r="F268" s="71" t="s">
        <v>260</v>
      </c>
      <c r="G268" s="61">
        <v>0</v>
      </c>
      <c r="H268" s="70">
        <f t="shared" si="3"/>
        <v>0</v>
      </c>
      <c r="I268" s="53">
        <v>46069</v>
      </c>
      <c r="J268" s="53">
        <v>46066</v>
      </c>
      <c r="K268" s="21"/>
    </row>
    <row r="269" spans="1:11" ht="18" x14ac:dyDescent="0.4">
      <c r="A269" s="7" t="s">
        <v>0</v>
      </c>
      <c r="B269" s="60" t="s">
        <v>254</v>
      </c>
      <c r="C269" s="57">
        <v>1097</v>
      </c>
      <c r="D269" s="70">
        <v>463478560</v>
      </c>
      <c r="E269" s="57">
        <v>32</v>
      </c>
      <c r="F269" s="71" t="s">
        <v>261</v>
      </c>
      <c r="G269" s="61">
        <v>0</v>
      </c>
      <c r="H269" s="70">
        <f t="shared" si="3"/>
        <v>0</v>
      </c>
      <c r="I269" s="53">
        <v>46069</v>
      </c>
      <c r="J269" s="53">
        <v>46066</v>
      </c>
      <c r="K269" s="21"/>
    </row>
    <row r="270" spans="1:11" ht="18" x14ac:dyDescent="0.4">
      <c r="A270" s="7" t="s">
        <v>0</v>
      </c>
      <c r="B270" s="60" t="s">
        <v>254</v>
      </c>
      <c r="C270" s="57">
        <v>1097</v>
      </c>
      <c r="D270" s="70">
        <v>463478590</v>
      </c>
      <c r="E270" s="57">
        <v>32</v>
      </c>
      <c r="F270" s="71" t="s">
        <v>262</v>
      </c>
      <c r="G270" s="61">
        <v>0</v>
      </c>
      <c r="H270" s="70">
        <f t="shared" si="3"/>
        <v>0</v>
      </c>
      <c r="I270" s="53">
        <v>46069</v>
      </c>
      <c r="J270" s="53">
        <v>46066</v>
      </c>
      <c r="K270" s="7"/>
    </row>
    <row r="271" spans="1:11" ht="18" x14ac:dyDescent="0.4">
      <c r="A271" s="7" t="s">
        <v>0</v>
      </c>
      <c r="B271" s="60" t="s">
        <v>254</v>
      </c>
      <c r="C271" s="57">
        <v>1097</v>
      </c>
      <c r="D271" s="70">
        <v>463526890</v>
      </c>
      <c r="E271" s="57">
        <v>32</v>
      </c>
      <c r="F271" s="71" t="s">
        <v>263</v>
      </c>
      <c r="G271" s="61">
        <v>0</v>
      </c>
      <c r="H271" s="70">
        <f t="shared" si="3"/>
        <v>0</v>
      </c>
      <c r="I271" s="53">
        <v>46069</v>
      </c>
      <c r="J271" s="53">
        <v>46066</v>
      </c>
      <c r="K271" s="7"/>
    </row>
    <row r="272" spans="1:11" ht="18" x14ac:dyDescent="0.4">
      <c r="A272" s="7" t="s">
        <v>0</v>
      </c>
      <c r="B272" s="60" t="s">
        <v>254</v>
      </c>
      <c r="C272" s="57">
        <v>1097</v>
      </c>
      <c r="D272" s="70">
        <v>463534080</v>
      </c>
      <c r="E272" s="57">
        <v>32</v>
      </c>
      <c r="F272" s="71" t="s">
        <v>263</v>
      </c>
      <c r="G272" s="61">
        <v>0</v>
      </c>
      <c r="H272" s="70">
        <f t="shared" si="3"/>
        <v>0</v>
      </c>
      <c r="I272" s="53">
        <v>46069</v>
      </c>
      <c r="J272" s="53">
        <v>46066</v>
      </c>
      <c r="K272" s="21"/>
    </row>
    <row r="273" spans="1:11" ht="18" x14ac:dyDescent="0.4">
      <c r="A273" s="7" t="s">
        <v>0</v>
      </c>
      <c r="B273" s="60" t="s">
        <v>264</v>
      </c>
      <c r="C273" s="7">
        <v>39667</v>
      </c>
      <c r="D273" s="9">
        <v>552809780</v>
      </c>
      <c r="E273" s="7">
        <v>360</v>
      </c>
      <c r="F273" s="19" t="s">
        <v>265</v>
      </c>
      <c r="G273" s="61">
        <v>0</v>
      </c>
      <c r="H273" s="70">
        <f t="shared" si="3"/>
        <v>0</v>
      </c>
      <c r="I273" s="53">
        <v>46069</v>
      </c>
      <c r="J273" s="53">
        <v>46066</v>
      </c>
      <c r="K273" s="21"/>
    </row>
    <row r="274" spans="1:11" ht="18" x14ac:dyDescent="0.4">
      <c r="A274" s="7" t="s">
        <v>0</v>
      </c>
      <c r="B274" s="81" t="s">
        <v>266</v>
      </c>
      <c r="C274" s="57">
        <v>35281</v>
      </c>
      <c r="D274" s="70">
        <v>521498190</v>
      </c>
      <c r="E274" s="57">
        <v>100</v>
      </c>
      <c r="F274" s="71" t="s">
        <v>267</v>
      </c>
      <c r="G274" s="61">
        <v>0</v>
      </c>
      <c r="H274" s="70">
        <f t="shared" si="3"/>
        <v>0</v>
      </c>
      <c r="I274" s="53">
        <v>46069</v>
      </c>
      <c r="J274" s="53">
        <v>46066</v>
      </c>
      <c r="K274" s="7"/>
    </row>
    <row r="275" spans="1:11" ht="18" x14ac:dyDescent="0.4">
      <c r="A275" s="7" t="s">
        <v>0</v>
      </c>
      <c r="B275" s="81" t="s">
        <v>266</v>
      </c>
      <c r="C275" s="57">
        <v>35281</v>
      </c>
      <c r="D275" s="70">
        <v>521641510</v>
      </c>
      <c r="E275" s="57">
        <v>100</v>
      </c>
      <c r="F275" s="71" t="s">
        <v>268</v>
      </c>
      <c r="G275" s="61">
        <v>0</v>
      </c>
      <c r="H275" s="70">
        <f t="shared" si="3"/>
        <v>0</v>
      </c>
      <c r="I275" s="53">
        <v>46069</v>
      </c>
      <c r="J275" s="53">
        <v>46066</v>
      </c>
      <c r="K275" s="7"/>
    </row>
    <row r="276" spans="1:11" ht="18" x14ac:dyDescent="0.4">
      <c r="A276" s="7" t="s">
        <v>0</v>
      </c>
      <c r="B276" s="81" t="s">
        <v>269</v>
      </c>
      <c r="C276" s="57">
        <v>64680</v>
      </c>
      <c r="D276" s="70">
        <v>552364550</v>
      </c>
      <c r="E276" s="57">
        <v>2160</v>
      </c>
      <c r="F276" s="71" t="s">
        <v>270</v>
      </c>
      <c r="G276" s="61">
        <v>0</v>
      </c>
      <c r="H276" s="70">
        <f t="shared" si="3"/>
        <v>0</v>
      </c>
      <c r="I276" s="53">
        <v>46069</v>
      </c>
      <c r="J276" s="53">
        <v>46066</v>
      </c>
      <c r="K276" s="21"/>
    </row>
    <row r="277" spans="1:11" ht="18" x14ac:dyDescent="0.4">
      <c r="A277" s="7" t="s">
        <v>0</v>
      </c>
      <c r="B277" s="81" t="s">
        <v>269</v>
      </c>
      <c r="C277" s="57">
        <v>64680</v>
      </c>
      <c r="D277" s="70">
        <v>552597520</v>
      </c>
      <c r="E277" s="57">
        <v>3600</v>
      </c>
      <c r="F277" s="71" t="s">
        <v>271</v>
      </c>
      <c r="G277" s="61">
        <v>0</v>
      </c>
      <c r="H277" s="70">
        <f t="shared" si="3"/>
        <v>0</v>
      </c>
      <c r="I277" s="53">
        <v>46069</v>
      </c>
      <c r="J277" s="53">
        <v>46066</v>
      </c>
      <c r="K277" s="21"/>
    </row>
    <row r="278" spans="1:11" ht="18" x14ac:dyDescent="0.4">
      <c r="A278" s="7" t="s">
        <v>0</v>
      </c>
      <c r="B278" s="81" t="s">
        <v>269</v>
      </c>
      <c r="C278" s="57">
        <v>64680</v>
      </c>
      <c r="D278" s="70">
        <v>551896360</v>
      </c>
      <c r="E278" s="57">
        <v>360</v>
      </c>
      <c r="F278" s="71" t="s">
        <v>272</v>
      </c>
      <c r="G278" s="61">
        <v>0</v>
      </c>
      <c r="H278" s="70">
        <f t="shared" si="3"/>
        <v>0</v>
      </c>
      <c r="I278" s="53">
        <v>46069</v>
      </c>
      <c r="J278" s="53">
        <v>46066</v>
      </c>
      <c r="K278" s="21"/>
    </row>
    <row r="279" spans="1:11" ht="18" x14ac:dyDescent="0.4">
      <c r="A279" s="7" t="s">
        <v>0</v>
      </c>
      <c r="B279" s="81" t="s">
        <v>269</v>
      </c>
      <c r="C279" s="57">
        <v>64680</v>
      </c>
      <c r="D279" s="70">
        <v>552305070</v>
      </c>
      <c r="E279" s="57">
        <v>360</v>
      </c>
      <c r="F279" s="71" t="s">
        <v>265</v>
      </c>
      <c r="G279" s="61">
        <v>0</v>
      </c>
      <c r="H279" s="70">
        <f t="shared" si="3"/>
        <v>0</v>
      </c>
      <c r="I279" s="53">
        <v>46069</v>
      </c>
      <c r="J279" s="53">
        <v>46066</v>
      </c>
      <c r="K279" s="21"/>
    </row>
    <row r="280" spans="1:11" ht="18" x14ac:dyDescent="0.4">
      <c r="A280" s="7" t="s">
        <v>0</v>
      </c>
      <c r="B280" s="81" t="s">
        <v>269</v>
      </c>
      <c r="C280" s="57">
        <v>64680</v>
      </c>
      <c r="D280" s="70">
        <v>463361860</v>
      </c>
      <c r="E280" s="57">
        <v>32</v>
      </c>
      <c r="F280" s="71" t="s">
        <v>273</v>
      </c>
      <c r="G280" s="61">
        <v>0</v>
      </c>
      <c r="H280" s="70">
        <f t="shared" si="3"/>
        <v>0</v>
      </c>
      <c r="I280" s="53">
        <v>46069</v>
      </c>
      <c r="J280" s="53">
        <v>46066</v>
      </c>
      <c r="K280" s="21"/>
    </row>
    <row r="281" spans="1:11" ht="18" x14ac:dyDescent="0.4">
      <c r="A281" s="7" t="s">
        <v>0</v>
      </c>
      <c r="B281" s="81" t="s">
        <v>269</v>
      </c>
      <c r="C281" s="57">
        <v>64680</v>
      </c>
      <c r="D281" s="70">
        <v>463361870</v>
      </c>
      <c r="E281" s="57">
        <v>32</v>
      </c>
      <c r="F281" s="71" t="s">
        <v>273</v>
      </c>
      <c r="G281" s="61">
        <v>0</v>
      </c>
      <c r="H281" s="70">
        <f t="shared" si="3"/>
        <v>0</v>
      </c>
      <c r="I281" s="53">
        <v>46069</v>
      </c>
      <c r="J281" s="53">
        <v>46066</v>
      </c>
      <c r="K281" s="21"/>
    </row>
    <row r="282" spans="1:11" ht="18" x14ac:dyDescent="0.4">
      <c r="A282" s="7" t="s">
        <v>0</v>
      </c>
      <c r="B282" s="81" t="s">
        <v>269</v>
      </c>
      <c r="C282" s="57">
        <v>64680</v>
      </c>
      <c r="D282" s="70">
        <v>463361880</v>
      </c>
      <c r="E282" s="57">
        <v>32</v>
      </c>
      <c r="F282" s="71" t="s">
        <v>274</v>
      </c>
      <c r="G282" s="61">
        <v>0</v>
      </c>
      <c r="H282" s="70">
        <f t="shared" si="3"/>
        <v>0</v>
      </c>
      <c r="I282" s="53">
        <v>46069</v>
      </c>
      <c r="J282" s="53">
        <v>46066</v>
      </c>
      <c r="K282" s="21"/>
    </row>
    <row r="283" spans="1:11" ht="18" x14ac:dyDescent="0.4">
      <c r="A283" s="7" t="s">
        <v>0</v>
      </c>
      <c r="B283" s="81" t="s">
        <v>269</v>
      </c>
      <c r="C283" s="57">
        <v>64680</v>
      </c>
      <c r="D283" s="70">
        <v>463361890</v>
      </c>
      <c r="E283" s="57">
        <v>32</v>
      </c>
      <c r="F283" s="71" t="s">
        <v>273</v>
      </c>
      <c r="G283" s="61">
        <v>0</v>
      </c>
      <c r="H283" s="70">
        <f t="shared" si="3"/>
        <v>0</v>
      </c>
      <c r="I283" s="53">
        <v>46069</v>
      </c>
      <c r="J283" s="53">
        <v>46066</v>
      </c>
      <c r="K283" s="21"/>
    </row>
    <row r="284" spans="1:11" ht="18" x14ac:dyDescent="0.4">
      <c r="A284" s="7" t="s">
        <v>0</v>
      </c>
      <c r="B284" s="81" t="s">
        <v>275</v>
      </c>
      <c r="C284" s="57">
        <v>37474</v>
      </c>
      <c r="D284" s="70">
        <v>518657410</v>
      </c>
      <c r="E284" s="57">
        <v>80</v>
      </c>
      <c r="F284" s="71" t="s">
        <v>276</v>
      </c>
      <c r="G284" s="61">
        <v>0</v>
      </c>
      <c r="H284" s="70">
        <f t="shared" si="3"/>
        <v>0</v>
      </c>
      <c r="I284" s="53">
        <v>46069</v>
      </c>
      <c r="J284" s="53">
        <v>46066</v>
      </c>
      <c r="K284" s="21"/>
    </row>
    <row r="285" spans="1:11" ht="18" x14ac:dyDescent="0.4">
      <c r="A285" s="7" t="s">
        <v>0</v>
      </c>
      <c r="B285" s="60" t="s">
        <v>277</v>
      </c>
      <c r="C285" s="57">
        <v>47097</v>
      </c>
      <c r="D285" s="70">
        <v>518469540</v>
      </c>
      <c r="E285" s="57">
        <v>80</v>
      </c>
      <c r="F285" s="71" t="s">
        <v>278</v>
      </c>
      <c r="G285" s="61">
        <v>0</v>
      </c>
      <c r="H285" s="70">
        <f t="shared" si="3"/>
        <v>0</v>
      </c>
      <c r="I285" s="53">
        <v>46069</v>
      </c>
      <c r="J285" s="53">
        <v>46066</v>
      </c>
      <c r="K285" s="21"/>
    </row>
    <row r="286" spans="1:11" ht="18" x14ac:dyDescent="0.4">
      <c r="A286" s="7" t="s">
        <v>0</v>
      </c>
      <c r="B286" s="60" t="s">
        <v>277</v>
      </c>
      <c r="C286" s="57">
        <v>47097</v>
      </c>
      <c r="D286" s="70">
        <v>521053400</v>
      </c>
      <c r="E286" s="57">
        <v>80</v>
      </c>
      <c r="F286" s="71" t="s">
        <v>279</v>
      </c>
      <c r="G286" s="61">
        <v>0</v>
      </c>
      <c r="H286" s="70">
        <f t="shared" si="3"/>
        <v>0</v>
      </c>
      <c r="I286" s="53">
        <v>46069</v>
      </c>
      <c r="J286" s="53">
        <v>46066</v>
      </c>
      <c r="K286" s="21"/>
    </row>
    <row r="287" spans="1:11" ht="18" x14ac:dyDescent="0.4">
      <c r="A287" s="7" t="s">
        <v>0</v>
      </c>
      <c r="B287" s="83" t="s">
        <v>277</v>
      </c>
      <c r="C287" s="75">
        <v>47097</v>
      </c>
      <c r="D287" s="76">
        <v>521053400</v>
      </c>
      <c r="E287" s="75">
        <v>80</v>
      </c>
      <c r="F287" s="77" t="s">
        <v>279</v>
      </c>
      <c r="G287" s="61">
        <v>0</v>
      </c>
      <c r="H287" s="70">
        <f t="shared" si="3"/>
        <v>0</v>
      </c>
      <c r="I287" s="11">
        <v>46069</v>
      </c>
      <c r="J287" s="11">
        <v>46066</v>
      </c>
      <c r="K287" s="8"/>
    </row>
    <row r="288" spans="1:11" ht="18" x14ac:dyDescent="0.4">
      <c r="A288" s="7" t="s">
        <v>0</v>
      </c>
      <c r="B288" s="60" t="s">
        <v>280</v>
      </c>
      <c r="C288" s="57">
        <v>78605</v>
      </c>
      <c r="D288" s="70">
        <v>552398190</v>
      </c>
      <c r="E288" s="57">
        <v>500</v>
      </c>
      <c r="F288" s="71" t="s">
        <v>281</v>
      </c>
      <c r="G288" s="61">
        <v>0</v>
      </c>
      <c r="H288" s="70">
        <f t="shared" ref="H288:H351" si="4">+G288/E288</f>
        <v>0</v>
      </c>
      <c r="I288" s="53">
        <v>46069</v>
      </c>
      <c r="J288" s="53">
        <v>46066</v>
      </c>
      <c r="K288" s="21"/>
    </row>
    <row r="289" spans="1:11" ht="18" x14ac:dyDescent="0.4">
      <c r="A289" s="7" t="s">
        <v>0</v>
      </c>
      <c r="B289" s="81" t="s">
        <v>282</v>
      </c>
      <c r="C289" s="57">
        <v>73850</v>
      </c>
      <c r="D289" s="70">
        <v>552188560</v>
      </c>
      <c r="E289" s="57">
        <v>50</v>
      </c>
      <c r="F289" s="71" t="s">
        <v>283</v>
      </c>
      <c r="G289" s="61">
        <v>0</v>
      </c>
      <c r="H289" s="70">
        <f t="shared" si="4"/>
        <v>0</v>
      </c>
      <c r="I289" s="53">
        <v>46069</v>
      </c>
      <c r="J289" s="53">
        <v>46066</v>
      </c>
      <c r="K289" s="21"/>
    </row>
    <row r="290" spans="1:11" ht="18" x14ac:dyDescent="0.4">
      <c r="A290" s="7" t="s">
        <v>0</v>
      </c>
      <c r="B290" s="81" t="s">
        <v>282</v>
      </c>
      <c r="C290" s="57">
        <v>73850</v>
      </c>
      <c r="D290" s="70">
        <v>552278750</v>
      </c>
      <c r="E290" s="57">
        <v>150</v>
      </c>
      <c r="F290" s="71" t="s">
        <v>284</v>
      </c>
      <c r="G290" s="61">
        <v>0</v>
      </c>
      <c r="H290" s="70">
        <f t="shared" si="4"/>
        <v>0</v>
      </c>
      <c r="I290" s="53">
        <v>46069</v>
      </c>
      <c r="J290" s="53">
        <v>46066</v>
      </c>
      <c r="K290" s="21"/>
    </row>
    <row r="291" spans="1:11" ht="18" x14ac:dyDescent="0.4">
      <c r="A291" s="7" t="s">
        <v>0</v>
      </c>
      <c r="B291" s="81" t="s">
        <v>282</v>
      </c>
      <c r="C291" s="57">
        <v>73850</v>
      </c>
      <c r="D291" s="70">
        <v>552278770</v>
      </c>
      <c r="E291" s="57">
        <v>150</v>
      </c>
      <c r="F291" s="71" t="s">
        <v>285</v>
      </c>
      <c r="G291" s="61">
        <v>0</v>
      </c>
      <c r="H291" s="70">
        <f t="shared" si="4"/>
        <v>0</v>
      </c>
      <c r="I291" s="53">
        <v>46069</v>
      </c>
      <c r="J291" s="53">
        <v>46066</v>
      </c>
      <c r="K291" s="21"/>
    </row>
    <row r="292" spans="1:11" ht="18" x14ac:dyDescent="0.4">
      <c r="A292" s="7" t="s">
        <v>0</v>
      </c>
      <c r="B292" s="81" t="s">
        <v>286</v>
      </c>
      <c r="C292" s="57">
        <v>51625</v>
      </c>
      <c r="D292" s="70">
        <v>551812430</v>
      </c>
      <c r="E292" s="57">
        <v>2160</v>
      </c>
      <c r="F292" s="71" t="s">
        <v>287</v>
      </c>
      <c r="G292" s="61">
        <v>0</v>
      </c>
      <c r="H292" s="70">
        <f t="shared" si="4"/>
        <v>0</v>
      </c>
      <c r="I292" s="53">
        <v>46069</v>
      </c>
      <c r="J292" s="53">
        <v>46066</v>
      </c>
      <c r="K292" s="21"/>
    </row>
    <row r="293" spans="1:11" ht="18" x14ac:dyDescent="0.4">
      <c r="A293" s="7" t="s">
        <v>0</v>
      </c>
      <c r="B293" s="81" t="s">
        <v>286</v>
      </c>
      <c r="C293" s="57">
        <v>51625</v>
      </c>
      <c r="D293" s="70">
        <v>552168510</v>
      </c>
      <c r="E293" s="57">
        <v>640</v>
      </c>
      <c r="F293" s="71" t="s">
        <v>287</v>
      </c>
      <c r="G293" s="61">
        <v>0</v>
      </c>
      <c r="H293" s="70">
        <f t="shared" si="4"/>
        <v>0</v>
      </c>
      <c r="I293" s="53">
        <v>46069</v>
      </c>
      <c r="J293" s="53">
        <v>46066</v>
      </c>
      <c r="K293" s="7"/>
    </row>
    <row r="294" spans="1:11" ht="18" x14ac:dyDescent="0.4">
      <c r="A294" s="7" t="s">
        <v>0</v>
      </c>
      <c r="B294" s="81" t="s">
        <v>286</v>
      </c>
      <c r="C294" s="57">
        <v>51625</v>
      </c>
      <c r="D294" s="70">
        <v>552188650</v>
      </c>
      <c r="E294" s="57">
        <v>640</v>
      </c>
      <c r="F294" s="71" t="s">
        <v>287</v>
      </c>
      <c r="G294" s="61">
        <v>0</v>
      </c>
      <c r="H294" s="70">
        <f t="shared" si="4"/>
        <v>0</v>
      </c>
      <c r="I294" s="53">
        <v>46069</v>
      </c>
      <c r="J294" s="53">
        <v>46066</v>
      </c>
      <c r="K294" s="7"/>
    </row>
    <row r="295" spans="1:11" ht="18" x14ac:dyDescent="0.4">
      <c r="A295" s="7" t="s">
        <v>0</v>
      </c>
      <c r="B295" s="82" t="s">
        <v>288</v>
      </c>
      <c r="C295" s="57">
        <v>20748</v>
      </c>
      <c r="D295" s="70">
        <v>552178590</v>
      </c>
      <c r="E295" s="57">
        <v>288</v>
      </c>
      <c r="F295" s="71" t="s">
        <v>289</v>
      </c>
      <c r="G295" s="61">
        <v>0</v>
      </c>
      <c r="H295" s="70">
        <f t="shared" si="4"/>
        <v>0</v>
      </c>
      <c r="I295" s="53">
        <v>46069</v>
      </c>
      <c r="J295" s="53">
        <v>46066</v>
      </c>
      <c r="K295" s="21"/>
    </row>
    <row r="296" spans="1:11" ht="18" x14ac:dyDescent="0.4">
      <c r="A296" s="7" t="s">
        <v>0</v>
      </c>
      <c r="B296" s="81" t="s">
        <v>290</v>
      </c>
      <c r="C296" s="57">
        <v>68265</v>
      </c>
      <c r="D296" s="70">
        <v>552776160</v>
      </c>
      <c r="E296" s="57">
        <v>150</v>
      </c>
      <c r="F296" s="71" t="s">
        <v>291</v>
      </c>
      <c r="G296" s="61">
        <v>0</v>
      </c>
      <c r="H296" s="70">
        <f t="shared" si="4"/>
        <v>0</v>
      </c>
      <c r="I296" s="11">
        <v>46069</v>
      </c>
      <c r="J296" s="11">
        <v>46066</v>
      </c>
      <c r="K296" s="13"/>
    </row>
    <row r="297" spans="1:11" ht="18" x14ac:dyDescent="0.4">
      <c r="A297" s="7" t="s">
        <v>0</v>
      </c>
      <c r="B297" s="81" t="s">
        <v>290</v>
      </c>
      <c r="C297" s="57">
        <v>68265</v>
      </c>
      <c r="D297" s="70">
        <v>552282450</v>
      </c>
      <c r="E297" s="57">
        <v>150</v>
      </c>
      <c r="F297" s="71" t="s">
        <v>291</v>
      </c>
      <c r="G297" s="61">
        <v>0</v>
      </c>
      <c r="H297" s="70">
        <f t="shared" si="4"/>
        <v>0</v>
      </c>
      <c r="I297" s="11">
        <v>46069</v>
      </c>
      <c r="J297" s="11">
        <v>46066</v>
      </c>
      <c r="K297" s="8"/>
    </row>
    <row r="298" spans="1:11" ht="18" x14ac:dyDescent="0.4">
      <c r="A298" s="7" t="s">
        <v>0</v>
      </c>
      <c r="B298" s="82" t="s">
        <v>292</v>
      </c>
      <c r="C298" s="57">
        <v>19424</v>
      </c>
      <c r="D298" s="70">
        <v>552384520</v>
      </c>
      <c r="E298" s="57">
        <v>1440</v>
      </c>
      <c r="F298" s="71" t="s">
        <v>293</v>
      </c>
      <c r="G298" s="61">
        <v>0</v>
      </c>
      <c r="H298" s="70">
        <f t="shared" si="4"/>
        <v>0</v>
      </c>
      <c r="I298" s="11">
        <v>46069</v>
      </c>
      <c r="J298" s="11">
        <v>46066</v>
      </c>
      <c r="K298" s="13"/>
    </row>
    <row r="299" spans="1:11" ht="18" x14ac:dyDescent="0.4">
      <c r="A299" s="7" t="s">
        <v>0</v>
      </c>
      <c r="B299" s="81" t="s">
        <v>294</v>
      </c>
      <c r="C299" s="57">
        <v>21796</v>
      </c>
      <c r="D299" s="70">
        <v>552807200</v>
      </c>
      <c r="E299" s="57">
        <v>1920</v>
      </c>
      <c r="F299" s="71" t="s">
        <v>293</v>
      </c>
      <c r="G299" s="61">
        <v>0</v>
      </c>
      <c r="H299" s="70">
        <f t="shared" si="4"/>
        <v>0</v>
      </c>
      <c r="I299" s="11">
        <v>46069</v>
      </c>
      <c r="J299" s="11">
        <v>46066</v>
      </c>
      <c r="K299" s="8"/>
    </row>
    <row r="300" spans="1:11" ht="18" x14ac:dyDescent="0.4">
      <c r="A300" s="7" t="s">
        <v>0</v>
      </c>
      <c r="B300" s="81" t="s">
        <v>295</v>
      </c>
      <c r="C300" s="60">
        <v>51620</v>
      </c>
      <c r="D300" s="70">
        <v>552610980</v>
      </c>
      <c r="E300" s="57">
        <v>840</v>
      </c>
      <c r="F300" s="71" t="s">
        <v>296</v>
      </c>
      <c r="G300" s="61">
        <v>0</v>
      </c>
      <c r="H300" s="70">
        <f t="shared" si="4"/>
        <v>0</v>
      </c>
      <c r="I300" s="11">
        <v>46069</v>
      </c>
      <c r="J300" s="11">
        <v>46066</v>
      </c>
      <c r="K300" s="8"/>
    </row>
    <row r="301" spans="1:11" ht="18" x14ac:dyDescent="0.4">
      <c r="A301" s="7" t="s">
        <v>0</v>
      </c>
      <c r="B301" s="81" t="s">
        <v>295</v>
      </c>
      <c r="C301" s="60">
        <v>51620</v>
      </c>
      <c r="D301" s="70">
        <v>552611020</v>
      </c>
      <c r="E301" s="57">
        <v>1440</v>
      </c>
      <c r="F301" s="71" t="s">
        <v>297</v>
      </c>
      <c r="G301" s="61">
        <v>0</v>
      </c>
      <c r="H301" s="70">
        <f t="shared" si="4"/>
        <v>0</v>
      </c>
      <c r="I301" s="11">
        <v>46069</v>
      </c>
      <c r="J301" s="11">
        <v>46066</v>
      </c>
      <c r="K301" s="13"/>
    </row>
    <row r="302" spans="1:11" ht="18" x14ac:dyDescent="0.4">
      <c r="A302" s="7" t="s">
        <v>0</v>
      </c>
      <c r="B302" s="81" t="s">
        <v>295</v>
      </c>
      <c r="C302" s="60">
        <v>51620</v>
      </c>
      <c r="D302" s="70">
        <v>552611060</v>
      </c>
      <c r="E302" s="57">
        <v>840</v>
      </c>
      <c r="F302" s="71" t="s">
        <v>298</v>
      </c>
      <c r="G302" s="61">
        <v>0</v>
      </c>
      <c r="H302" s="70">
        <f t="shared" si="4"/>
        <v>0</v>
      </c>
      <c r="I302" s="11">
        <v>46069</v>
      </c>
      <c r="J302" s="11">
        <v>46066</v>
      </c>
      <c r="K302" s="13"/>
    </row>
    <row r="303" spans="1:11" ht="18" x14ac:dyDescent="0.4">
      <c r="A303" s="7" t="s">
        <v>0</v>
      </c>
      <c r="B303" s="81" t="s">
        <v>295</v>
      </c>
      <c r="C303" s="60">
        <v>51620</v>
      </c>
      <c r="D303" s="70">
        <v>552670810</v>
      </c>
      <c r="E303" s="57">
        <v>840</v>
      </c>
      <c r="F303" s="71" t="s">
        <v>296</v>
      </c>
      <c r="G303" s="61">
        <v>0</v>
      </c>
      <c r="H303" s="70">
        <f t="shared" si="4"/>
        <v>0</v>
      </c>
      <c r="I303" s="11">
        <v>46069</v>
      </c>
      <c r="J303" s="11">
        <v>46066</v>
      </c>
      <c r="K303" s="13"/>
    </row>
    <row r="304" spans="1:11" ht="18" x14ac:dyDescent="0.4">
      <c r="A304" s="7" t="s">
        <v>0</v>
      </c>
      <c r="B304" s="81" t="s">
        <v>295</v>
      </c>
      <c r="C304" s="60">
        <v>51620</v>
      </c>
      <c r="D304" s="70">
        <v>552670830</v>
      </c>
      <c r="E304" s="57">
        <v>1440</v>
      </c>
      <c r="F304" s="71" t="s">
        <v>297</v>
      </c>
      <c r="G304" s="61">
        <v>0</v>
      </c>
      <c r="H304" s="70">
        <f t="shared" si="4"/>
        <v>0</v>
      </c>
      <c r="I304" s="11">
        <v>46069</v>
      </c>
      <c r="J304" s="11">
        <v>46066</v>
      </c>
      <c r="K304" s="13"/>
    </row>
    <row r="305" spans="1:11" ht="18" x14ac:dyDescent="0.4">
      <c r="A305" s="7" t="s">
        <v>0</v>
      </c>
      <c r="B305" s="81" t="s">
        <v>295</v>
      </c>
      <c r="C305" s="60">
        <v>51620</v>
      </c>
      <c r="D305" s="70">
        <v>552670850</v>
      </c>
      <c r="E305" s="57">
        <v>840</v>
      </c>
      <c r="F305" s="71" t="s">
        <v>298</v>
      </c>
      <c r="G305" s="61">
        <v>0</v>
      </c>
      <c r="H305" s="70">
        <f t="shared" si="4"/>
        <v>0</v>
      </c>
      <c r="I305" s="11">
        <v>46069</v>
      </c>
      <c r="J305" s="11">
        <v>46066</v>
      </c>
      <c r="K305" s="13"/>
    </row>
    <row r="306" spans="1:11" ht="18" x14ac:dyDescent="0.4">
      <c r="A306" s="7" t="s">
        <v>0</v>
      </c>
      <c r="B306" s="81" t="s">
        <v>295</v>
      </c>
      <c r="C306" s="60">
        <v>51620</v>
      </c>
      <c r="D306" s="70">
        <v>552527010</v>
      </c>
      <c r="E306" s="57">
        <v>840</v>
      </c>
      <c r="F306" s="71" t="s">
        <v>296</v>
      </c>
      <c r="G306" s="61">
        <v>0</v>
      </c>
      <c r="H306" s="70">
        <f t="shared" si="4"/>
        <v>0</v>
      </c>
      <c r="I306" s="11">
        <v>46069</v>
      </c>
      <c r="J306" s="11">
        <v>46066</v>
      </c>
      <c r="K306" s="13"/>
    </row>
    <row r="307" spans="1:11" ht="18" x14ac:dyDescent="0.4">
      <c r="A307" s="7" t="s">
        <v>0</v>
      </c>
      <c r="B307" s="81" t="s">
        <v>295</v>
      </c>
      <c r="C307" s="60">
        <v>51620</v>
      </c>
      <c r="D307" s="70">
        <v>552527050</v>
      </c>
      <c r="E307" s="57">
        <v>1456</v>
      </c>
      <c r="F307" s="71" t="s">
        <v>297</v>
      </c>
      <c r="G307" s="61">
        <v>0</v>
      </c>
      <c r="H307" s="70">
        <f t="shared" si="4"/>
        <v>0</v>
      </c>
      <c r="I307" s="11">
        <v>46069</v>
      </c>
      <c r="J307" s="11">
        <v>46066</v>
      </c>
      <c r="K307" s="8"/>
    </row>
    <row r="308" spans="1:11" ht="18" x14ac:dyDescent="0.4">
      <c r="A308" s="7" t="s">
        <v>0</v>
      </c>
      <c r="B308" s="81" t="s">
        <v>295</v>
      </c>
      <c r="C308" s="60">
        <v>51620</v>
      </c>
      <c r="D308" s="70">
        <v>552527090</v>
      </c>
      <c r="E308" s="57">
        <v>840</v>
      </c>
      <c r="F308" s="71" t="s">
        <v>298</v>
      </c>
      <c r="G308" s="61">
        <v>0</v>
      </c>
      <c r="H308" s="70">
        <f t="shared" si="4"/>
        <v>0</v>
      </c>
      <c r="I308" s="11">
        <v>46069</v>
      </c>
      <c r="J308" s="11">
        <v>46066</v>
      </c>
      <c r="K308" s="8"/>
    </row>
    <row r="309" spans="1:11" ht="18" x14ac:dyDescent="0.4">
      <c r="A309" s="7" t="s">
        <v>0</v>
      </c>
      <c r="B309" s="81" t="s">
        <v>295</v>
      </c>
      <c r="C309" s="60">
        <v>51620</v>
      </c>
      <c r="D309" s="70">
        <v>552718660</v>
      </c>
      <c r="E309" s="57">
        <v>840</v>
      </c>
      <c r="F309" s="71" t="s">
        <v>296</v>
      </c>
      <c r="G309" s="61">
        <v>0</v>
      </c>
      <c r="H309" s="70">
        <f t="shared" si="4"/>
        <v>0</v>
      </c>
      <c r="I309" s="11">
        <v>46069</v>
      </c>
      <c r="J309" s="11">
        <v>46066</v>
      </c>
      <c r="K309" s="13"/>
    </row>
    <row r="310" spans="1:11" ht="18" x14ac:dyDescent="0.4">
      <c r="A310" s="7" t="s">
        <v>0</v>
      </c>
      <c r="B310" s="81" t="s">
        <v>295</v>
      </c>
      <c r="C310" s="60">
        <v>51620</v>
      </c>
      <c r="D310" s="70">
        <v>552720150</v>
      </c>
      <c r="E310" s="57">
        <v>1440</v>
      </c>
      <c r="F310" s="71" t="s">
        <v>297</v>
      </c>
      <c r="G310" s="61">
        <v>0</v>
      </c>
      <c r="H310" s="70">
        <f t="shared" si="4"/>
        <v>0</v>
      </c>
      <c r="I310" s="11">
        <v>46069</v>
      </c>
      <c r="J310" s="11">
        <v>46066</v>
      </c>
      <c r="K310" s="8"/>
    </row>
    <row r="311" spans="1:11" ht="18" x14ac:dyDescent="0.4">
      <c r="A311" s="7" t="s">
        <v>0</v>
      </c>
      <c r="B311" s="81" t="s">
        <v>295</v>
      </c>
      <c r="C311" s="60">
        <v>51620</v>
      </c>
      <c r="D311" s="70">
        <v>552720240</v>
      </c>
      <c r="E311" s="57">
        <v>840</v>
      </c>
      <c r="F311" s="71" t="s">
        <v>298</v>
      </c>
      <c r="G311" s="61">
        <v>0</v>
      </c>
      <c r="H311" s="70">
        <f t="shared" si="4"/>
        <v>0</v>
      </c>
      <c r="I311" s="11">
        <v>46069</v>
      </c>
      <c r="J311" s="11">
        <v>46066</v>
      </c>
      <c r="K311" s="13"/>
    </row>
    <row r="312" spans="1:11" ht="18" x14ac:dyDescent="0.4">
      <c r="A312" s="7" t="s">
        <v>0</v>
      </c>
      <c r="B312" s="81" t="s">
        <v>295</v>
      </c>
      <c r="C312" s="60">
        <v>51620</v>
      </c>
      <c r="D312" s="70">
        <v>552527390</v>
      </c>
      <c r="E312" s="57">
        <v>840</v>
      </c>
      <c r="F312" s="71" t="s">
        <v>296</v>
      </c>
      <c r="G312" s="61">
        <v>0</v>
      </c>
      <c r="H312" s="70">
        <f t="shared" si="4"/>
        <v>0</v>
      </c>
      <c r="I312" s="11">
        <v>46069</v>
      </c>
      <c r="J312" s="11">
        <v>46066</v>
      </c>
      <c r="K312" s="13"/>
    </row>
    <row r="313" spans="1:11" ht="18" x14ac:dyDescent="0.4">
      <c r="A313" s="7" t="s">
        <v>0</v>
      </c>
      <c r="B313" s="81" t="s">
        <v>295</v>
      </c>
      <c r="C313" s="60">
        <v>51620</v>
      </c>
      <c r="D313" s="70">
        <v>552527680</v>
      </c>
      <c r="E313" s="57">
        <v>1440</v>
      </c>
      <c r="F313" s="71" t="s">
        <v>297</v>
      </c>
      <c r="G313" s="61">
        <v>0</v>
      </c>
      <c r="H313" s="70">
        <f t="shared" si="4"/>
        <v>0</v>
      </c>
      <c r="I313" s="11">
        <v>46069</v>
      </c>
      <c r="J313" s="11">
        <v>46066</v>
      </c>
      <c r="K313" s="8"/>
    </row>
    <row r="314" spans="1:11" ht="18" x14ac:dyDescent="0.4">
      <c r="A314" s="7" t="s">
        <v>0</v>
      </c>
      <c r="B314" s="81" t="s">
        <v>295</v>
      </c>
      <c r="C314" s="60">
        <v>51620</v>
      </c>
      <c r="D314" s="70">
        <v>552527760</v>
      </c>
      <c r="E314" s="57">
        <v>840</v>
      </c>
      <c r="F314" s="71" t="s">
        <v>298</v>
      </c>
      <c r="G314" s="61">
        <v>0</v>
      </c>
      <c r="H314" s="70">
        <f t="shared" si="4"/>
        <v>0</v>
      </c>
      <c r="I314" s="11">
        <v>46069</v>
      </c>
      <c r="J314" s="11">
        <v>46066</v>
      </c>
      <c r="K314" s="13"/>
    </row>
    <row r="315" spans="1:11" ht="18" x14ac:dyDescent="0.4">
      <c r="A315" s="7" t="s">
        <v>0</v>
      </c>
      <c r="B315" s="81" t="s">
        <v>299</v>
      </c>
      <c r="C315" s="60">
        <v>51658</v>
      </c>
      <c r="D315" s="70">
        <v>552804260</v>
      </c>
      <c r="E315" s="57">
        <v>2000</v>
      </c>
      <c r="F315" s="71" t="s">
        <v>300</v>
      </c>
      <c r="G315" s="61">
        <v>0</v>
      </c>
      <c r="H315" s="70">
        <f t="shared" si="4"/>
        <v>0</v>
      </c>
      <c r="I315" s="11">
        <v>46069</v>
      </c>
      <c r="J315" s="11">
        <v>46066</v>
      </c>
      <c r="K315" s="13"/>
    </row>
    <row r="316" spans="1:11" ht="18" x14ac:dyDescent="0.4">
      <c r="A316" s="7" t="s">
        <v>0</v>
      </c>
      <c r="B316" s="81" t="s">
        <v>299</v>
      </c>
      <c r="C316" s="60">
        <v>51658</v>
      </c>
      <c r="D316" s="70">
        <v>552804270</v>
      </c>
      <c r="E316" s="57">
        <v>15000</v>
      </c>
      <c r="F316" s="71" t="s">
        <v>301</v>
      </c>
      <c r="G316" s="61">
        <v>0</v>
      </c>
      <c r="H316" s="70">
        <f t="shared" si="4"/>
        <v>0</v>
      </c>
      <c r="I316" s="11">
        <v>46069</v>
      </c>
      <c r="J316" s="11">
        <v>46066</v>
      </c>
      <c r="K316" s="13"/>
    </row>
    <row r="317" spans="1:11" ht="18" x14ac:dyDescent="0.4">
      <c r="A317" s="7" t="s">
        <v>0</v>
      </c>
      <c r="B317" s="81" t="s">
        <v>299</v>
      </c>
      <c r="C317" s="60">
        <v>51658</v>
      </c>
      <c r="D317" s="70">
        <v>552804280</v>
      </c>
      <c r="E317" s="57">
        <v>2000</v>
      </c>
      <c r="F317" s="71" t="s">
        <v>302</v>
      </c>
      <c r="G317" s="61">
        <v>0</v>
      </c>
      <c r="H317" s="70">
        <f t="shared" si="4"/>
        <v>0</v>
      </c>
      <c r="I317" s="11">
        <v>46069</v>
      </c>
      <c r="J317" s="11">
        <v>46066</v>
      </c>
      <c r="K317" s="13"/>
    </row>
    <row r="318" spans="1:11" ht="18" x14ac:dyDescent="0.4">
      <c r="A318" s="7" t="s">
        <v>0</v>
      </c>
      <c r="B318" s="81" t="s">
        <v>299</v>
      </c>
      <c r="C318" s="60">
        <v>51658</v>
      </c>
      <c r="D318" s="70">
        <v>552804320</v>
      </c>
      <c r="E318" s="57">
        <v>840</v>
      </c>
      <c r="F318" s="71" t="s">
        <v>303</v>
      </c>
      <c r="G318" s="61">
        <v>0</v>
      </c>
      <c r="H318" s="70">
        <f t="shared" si="4"/>
        <v>0</v>
      </c>
      <c r="I318" s="11">
        <v>46069</v>
      </c>
      <c r="J318" s="11">
        <v>46066</v>
      </c>
      <c r="K318" s="13"/>
    </row>
    <row r="319" spans="1:11" ht="18" x14ac:dyDescent="0.4">
      <c r="A319" s="7" t="s">
        <v>0</v>
      </c>
      <c r="B319" s="81" t="s">
        <v>299</v>
      </c>
      <c r="C319" s="60">
        <v>51658</v>
      </c>
      <c r="D319" s="70">
        <v>552804330</v>
      </c>
      <c r="E319" s="57">
        <v>2400</v>
      </c>
      <c r="F319" s="71" t="s">
        <v>304</v>
      </c>
      <c r="G319" s="61">
        <v>0</v>
      </c>
      <c r="H319" s="70">
        <f t="shared" si="4"/>
        <v>0</v>
      </c>
      <c r="I319" s="11">
        <v>46069</v>
      </c>
      <c r="J319" s="11">
        <v>46066</v>
      </c>
      <c r="K319" s="13"/>
    </row>
    <row r="320" spans="1:11" ht="18" x14ac:dyDescent="0.4">
      <c r="A320" s="7" t="s">
        <v>0</v>
      </c>
      <c r="B320" s="81" t="s">
        <v>299</v>
      </c>
      <c r="C320" s="60">
        <v>51658</v>
      </c>
      <c r="D320" s="70">
        <v>552804340</v>
      </c>
      <c r="E320" s="57">
        <v>960</v>
      </c>
      <c r="F320" s="71" t="s">
        <v>305</v>
      </c>
      <c r="G320" s="61">
        <v>0</v>
      </c>
      <c r="H320" s="70">
        <f t="shared" si="4"/>
        <v>0</v>
      </c>
      <c r="I320" s="11">
        <v>46069</v>
      </c>
      <c r="J320" s="11">
        <v>46066</v>
      </c>
      <c r="K320" s="13"/>
    </row>
    <row r="321" spans="1:11" ht="18" x14ac:dyDescent="0.4">
      <c r="A321" s="7" t="s">
        <v>0</v>
      </c>
      <c r="B321" s="81" t="s">
        <v>299</v>
      </c>
      <c r="C321" s="60">
        <v>51658</v>
      </c>
      <c r="D321" s="70">
        <v>552105070</v>
      </c>
      <c r="E321" s="57">
        <v>1488</v>
      </c>
      <c r="F321" s="71" t="s">
        <v>306</v>
      </c>
      <c r="G321" s="61">
        <v>0</v>
      </c>
      <c r="H321" s="70">
        <f t="shared" si="4"/>
        <v>0</v>
      </c>
      <c r="I321" s="11">
        <v>46069</v>
      </c>
      <c r="J321" s="11">
        <v>46066</v>
      </c>
      <c r="K321" s="13"/>
    </row>
    <row r="322" spans="1:11" ht="18" x14ac:dyDescent="0.4">
      <c r="A322" s="7" t="s">
        <v>0</v>
      </c>
      <c r="B322" s="81" t="s">
        <v>299</v>
      </c>
      <c r="C322" s="60">
        <v>51658</v>
      </c>
      <c r="D322" s="70">
        <v>552105090</v>
      </c>
      <c r="E322" s="57">
        <v>14880</v>
      </c>
      <c r="F322" s="71" t="s">
        <v>307</v>
      </c>
      <c r="G322" s="61">
        <v>0</v>
      </c>
      <c r="H322" s="70">
        <f t="shared" si="4"/>
        <v>0</v>
      </c>
      <c r="I322" s="11">
        <v>46069</v>
      </c>
      <c r="J322" s="11">
        <v>46066</v>
      </c>
      <c r="K322" s="13"/>
    </row>
    <row r="323" spans="1:11" ht="18" x14ac:dyDescent="0.4">
      <c r="A323" s="7" t="s">
        <v>0</v>
      </c>
      <c r="B323" s="81" t="s">
        <v>299</v>
      </c>
      <c r="C323" s="60">
        <v>51658</v>
      </c>
      <c r="D323" s="70">
        <v>552105110</v>
      </c>
      <c r="E323" s="57">
        <v>1488</v>
      </c>
      <c r="F323" s="71" t="s">
        <v>308</v>
      </c>
      <c r="G323" s="61">
        <v>0</v>
      </c>
      <c r="H323" s="70">
        <f t="shared" si="4"/>
        <v>0</v>
      </c>
      <c r="I323" s="11">
        <v>46069</v>
      </c>
      <c r="J323" s="11">
        <v>46066</v>
      </c>
      <c r="K323" s="13"/>
    </row>
    <row r="324" spans="1:11" ht="18" x14ac:dyDescent="0.4">
      <c r="A324" s="7" t="s">
        <v>0</v>
      </c>
      <c r="B324" s="81" t="s">
        <v>299</v>
      </c>
      <c r="C324" s="60">
        <v>51658</v>
      </c>
      <c r="D324" s="70">
        <v>552107380</v>
      </c>
      <c r="E324" s="57">
        <v>1536</v>
      </c>
      <c r="F324" s="71" t="s">
        <v>306</v>
      </c>
      <c r="G324" s="61">
        <v>0</v>
      </c>
      <c r="H324" s="70">
        <f t="shared" si="4"/>
        <v>0</v>
      </c>
      <c r="I324" s="11">
        <v>46069</v>
      </c>
      <c r="J324" s="11">
        <v>46066</v>
      </c>
      <c r="K324" s="13"/>
    </row>
    <row r="325" spans="1:11" ht="18" x14ac:dyDescent="0.4">
      <c r="A325" s="7" t="s">
        <v>0</v>
      </c>
      <c r="B325" s="81" t="s">
        <v>299</v>
      </c>
      <c r="C325" s="60">
        <v>51658</v>
      </c>
      <c r="D325" s="70">
        <v>552107390</v>
      </c>
      <c r="E325" s="57">
        <v>15360</v>
      </c>
      <c r="F325" s="71" t="s">
        <v>307</v>
      </c>
      <c r="G325" s="61">
        <v>0</v>
      </c>
      <c r="H325" s="70">
        <f t="shared" si="4"/>
        <v>0</v>
      </c>
      <c r="I325" s="11">
        <v>46069</v>
      </c>
      <c r="J325" s="11">
        <v>46066</v>
      </c>
      <c r="K325" s="13"/>
    </row>
    <row r="326" spans="1:11" ht="18" x14ac:dyDescent="0.4">
      <c r="A326" s="7" t="s">
        <v>0</v>
      </c>
      <c r="B326" s="81" t="s">
        <v>299</v>
      </c>
      <c r="C326" s="60">
        <v>51658</v>
      </c>
      <c r="D326" s="70">
        <v>552107400</v>
      </c>
      <c r="E326" s="57">
        <v>1536</v>
      </c>
      <c r="F326" s="71" t="s">
        <v>308</v>
      </c>
      <c r="G326" s="61">
        <v>0</v>
      </c>
      <c r="H326" s="70">
        <f t="shared" si="4"/>
        <v>0</v>
      </c>
      <c r="I326" s="11">
        <v>46069</v>
      </c>
      <c r="J326" s="11">
        <v>46066</v>
      </c>
      <c r="K326" s="13"/>
    </row>
    <row r="327" spans="1:11" ht="18" x14ac:dyDescent="0.4">
      <c r="A327" s="7" t="s">
        <v>0</v>
      </c>
      <c r="B327" s="81" t="s">
        <v>309</v>
      </c>
      <c r="C327" s="60">
        <v>21570</v>
      </c>
      <c r="D327" s="70">
        <v>463363330</v>
      </c>
      <c r="E327" s="57">
        <v>28000</v>
      </c>
      <c r="F327" s="71" t="s">
        <v>310</v>
      </c>
      <c r="G327" s="61">
        <v>0</v>
      </c>
      <c r="H327" s="70">
        <f t="shared" si="4"/>
        <v>0</v>
      </c>
      <c r="I327" s="11">
        <v>46069</v>
      </c>
      <c r="J327" s="11">
        <v>46066</v>
      </c>
      <c r="K327" s="13"/>
    </row>
    <row r="328" spans="1:11" ht="18" x14ac:dyDescent="0.4">
      <c r="A328" s="7" t="s">
        <v>0</v>
      </c>
      <c r="B328" s="81" t="s">
        <v>311</v>
      </c>
      <c r="C328" s="60">
        <v>40840</v>
      </c>
      <c r="D328" s="70">
        <v>187521210</v>
      </c>
      <c r="E328" s="57">
        <v>900</v>
      </c>
      <c r="F328" s="71" t="s">
        <v>312</v>
      </c>
      <c r="G328" s="61">
        <v>0</v>
      </c>
      <c r="H328" s="70">
        <f t="shared" si="4"/>
        <v>0</v>
      </c>
      <c r="I328" s="11">
        <v>46069</v>
      </c>
      <c r="J328" s="11">
        <v>46066</v>
      </c>
      <c r="K328" s="13"/>
    </row>
    <row r="329" spans="1:11" ht="18" x14ac:dyDescent="0.4">
      <c r="A329" s="7" t="s">
        <v>0</v>
      </c>
      <c r="B329" s="81" t="s">
        <v>311</v>
      </c>
      <c r="C329" s="60">
        <v>40840</v>
      </c>
      <c r="D329" s="70">
        <v>162891240</v>
      </c>
      <c r="E329" s="57">
        <v>100</v>
      </c>
      <c r="F329" s="71" t="s">
        <v>313</v>
      </c>
      <c r="G329" s="61">
        <v>0</v>
      </c>
      <c r="H329" s="70">
        <f t="shared" si="4"/>
        <v>0</v>
      </c>
      <c r="I329" s="11">
        <v>46069</v>
      </c>
      <c r="J329" s="11">
        <v>46066</v>
      </c>
      <c r="K329" s="13"/>
    </row>
    <row r="330" spans="1:11" ht="18" x14ac:dyDescent="0.4">
      <c r="A330" s="7" t="s">
        <v>0</v>
      </c>
      <c r="B330" s="81" t="s">
        <v>311</v>
      </c>
      <c r="C330" s="60">
        <v>40840</v>
      </c>
      <c r="D330" s="70">
        <v>463447260</v>
      </c>
      <c r="E330" s="57">
        <v>100</v>
      </c>
      <c r="F330" s="71" t="s">
        <v>313</v>
      </c>
      <c r="G330" s="61">
        <v>0</v>
      </c>
      <c r="H330" s="70">
        <f t="shared" si="4"/>
        <v>0</v>
      </c>
      <c r="I330" s="11">
        <v>46069</v>
      </c>
      <c r="J330" s="11">
        <v>46066</v>
      </c>
      <c r="K330" s="13"/>
    </row>
    <row r="331" spans="1:11" ht="18" x14ac:dyDescent="0.4">
      <c r="A331" s="7" t="s">
        <v>0</v>
      </c>
      <c r="B331" s="81" t="s">
        <v>311</v>
      </c>
      <c r="C331" s="60">
        <v>40840</v>
      </c>
      <c r="D331" s="70">
        <v>551877380</v>
      </c>
      <c r="E331" s="57">
        <v>150</v>
      </c>
      <c r="F331" s="71" t="s">
        <v>314</v>
      </c>
      <c r="G331" s="61">
        <v>0</v>
      </c>
      <c r="H331" s="70">
        <f t="shared" si="4"/>
        <v>0</v>
      </c>
      <c r="I331" s="11">
        <v>46069</v>
      </c>
      <c r="J331" s="11">
        <v>46066</v>
      </c>
      <c r="K331" s="13"/>
    </row>
    <row r="332" spans="1:11" ht="18" x14ac:dyDescent="0.4">
      <c r="A332" s="7" t="s">
        <v>0</v>
      </c>
      <c r="B332" s="81" t="s">
        <v>311</v>
      </c>
      <c r="C332" s="60">
        <v>40840</v>
      </c>
      <c r="D332" s="70">
        <v>552650820</v>
      </c>
      <c r="E332" s="57">
        <v>300</v>
      </c>
      <c r="F332" s="71" t="s">
        <v>315</v>
      </c>
      <c r="G332" s="61">
        <v>0</v>
      </c>
      <c r="H332" s="70">
        <f t="shared" si="4"/>
        <v>0</v>
      </c>
      <c r="I332" s="11">
        <v>46069</v>
      </c>
      <c r="J332" s="11">
        <v>46066</v>
      </c>
      <c r="K332" s="13"/>
    </row>
    <row r="333" spans="1:11" ht="18" x14ac:dyDescent="0.4">
      <c r="A333" s="7" t="s">
        <v>0</v>
      </c>
      <c r="B333" s="81" t="s">
        <v>316</v>
      </c>
      <c r="C333" s="57">
        <v>30467</v>
      </c>
      <c r="D333" s="70">
        <v>140593110</v>
      </c>
      <c r="E333" s="57">
        <v>1200</v>
      </c>
      <c r="F333" s="71" t="s">
        <v>317</v>
      </c>
      <c r="G333" s="61">
        <v>0</v>
      </c>
      <c r="H333" s="70">
        <f t="shared" si="4"/>
        <v>0</v>
      </c>
      <c r="I333" s="11">
        <v>46069</v>
      </c>
      <c r="J333" s="11">
        <v>46066</v>
      </c>
      <c r="K333" s="13"/>
    </row>
    <row r="334" spans="1:11" ht="18" x14ac:dyDescent="0.4">
      <c r="A334" s="7" t="s">
        <v>0</v>
      </c>
      <c r="B334" s="81" t="s">
        <v>316</v>
      </c>
      <c r="C334" s="57">
        <v>30467</v>
      </c>
      <c r="D334" s="70">
        <v>140594210</v>
      </c>
      <c r="E334" s="57">
        <v>800</v>
      </c>
      <c r="F334" s="71" t="s">
        <v>318</v>
      </c>
      <c r="G334" s="61">
        <v>0</v>
      </c>
      <c r="H334" s="70">
        <f t="shared" si="4"/>
        <v>0</v>
      </c>
      <c r="I334" s="11">
        <v>46069</v>
      </c>
      <c r="J334" s="11">
        <v>46066</v>
      </c>
      <c r="K334" s="13"/>
    </row>
    <row r="335" spans="1:11" ht="18" x14ac:dyDescent="0.4">
      <c r="A335" s="7" t="s">
        <v>0</v>
      </c>
      <c r="B335" s="81" t="s">
        <v>316</v>
      </c>
      <c r="C335" s="57">
        <v>30467</v>
      </c>
      <c r="D335" s="70">
        <v>517309140</v>
      </c>
      <c r="E335" s="57">
        <v>2500</v>
      </c>
      <c r="F335" s="71" t="s">
        <v>319</v>
      </c>
      <c r="G335" s="61">
        <v>0</v>
      </c>
      <c r="H335" s="70">
        <f t="shared" si="4"/>
        <v>0</v>
      </c>
      <c r="I335" s="11">
        <v>46069</v>
      </c>
      <c r="J335" s="11">
        <v>46066</v>
      </c>
      <c r="K335" s="13"/>
    </row>
    <row r="336" spans="1:11" ht="18" x14ac:dyDescent="0.4">
      <c r="A336" s="7" t="s">
        <v>0</v>
      </c>
      <c r="B336" s="60" t="s">
        <v>320</v>
      </c>
      <c r="C336" s="57">
        <v>19414</v>
      </c>
      <c r="D336" s="70">
        <v>77463090</v>
      </c>
      <c r="E336" s="57">
        <v>430</v>
      </c>
      <c r="F336" s="71" t="s">
        <v>321</v>
      </c>
      <c r="G336" s="61">
        <v>0</v>
      </c>
      <c r="H336" s="70">
        <f t="shared" si="4"/>
        <v>0</v>
      </c>
      <c r="I336" s="11">
        <v>46069</v>
      </c>
      <c r="J336" s="11">
        <v>46066</v>
      </c>
      <c r="K336" s="13"/>
    </row>
    <row r="337" spans="1:11" ht="18" x14ac:dyDescent="0.4">
      <c r="A337" s="7" t="s">
        <v>0</v>
      </c>
      <c r="B337" s="81" t="s">
        <v>320</v>
      </c>
      <c r="C337" s="57">
        <v>19414</v>
      </c>
      <c r="D337" s="70">
        <v>115864240</v>
      </c>
      <c r="E337" s="57">
        <v>300</v>
      </c>
      <c r="F337" s="71" t="s">
        <v>322</v>
      </c>
      <c r="G337" s="61">
        <v>0</v>
      </c>
      <c r="H337" s="70">
        <f t="shared" si="4"/>
        <v>0</v>
      </c>
      <c r="I337" s="11">
        <v>46069</v>
      </c>
      <c r="J337" s="11">
        <v>46066</v>
      </c>
      <c r="K337" s="13"/>
    </row>
    <row r="338" spans="1:11" ht="18" x14ac:dyDescent="0.4">
      <c r="A338" s="7" t="s">
        <v>0</v>
      </c>
      <c r="B338" s="81" t="s">
        <v>320</v>
      </c>
      <c r="C338" s="57">
        <v>19414</v>
      </c>
      <c r="D338" s="70">
        <v>143083240</v>
      </c>
      <c r="E338" s="57">
        <v>260</v>
      </c>
      <c r="F338" s="71" t="s">
        <v>323</v>
      </c>
      <c r="G338" s="61">
        <v>0</v>
      </c>
      <c r="H338" s="70">
        <f t="shared" si="4"/>
        <v>0</v>
      </c>
      <c r="I338" s="11">
        <v>46069</v>
      </c>
      <c r="J338" s="11">
        <v>46066</v>
      </c>
      <c r="K338" s="13"/>
    </row>
    <row r="339" spans="1:11" ht="18" x14ac:dyDescent="0.4">
      <c r="A339" s="7" t="s">
        <v>0</v>
      </c>
      <c r="B339" s="81" t="s">
        <v>320</v>
      </c>
      <c r="C339" s="57">
        <v>19414</v>
      </c>
      <c r="D339" s="70">
        <v>143085240</v>
      </c>
      <c r="E339" s="57">
        <v>210</v>
      </c>
      <c r="F339" s="71" t="s">
        <v>324</v>
      </c>
      <c r="G339" s="61">
        <v>0</v>
      </c>
      <c r="H339" s="70">
        <f t="shared" si="4"/>
        <v>0</v>
      </c>
      <c r="I339" s="11">
        <v>46069</v>
      </c>
      <c r="J339" s="11">
        <v>46066</v>
      </c>
      <c r="K339" s="13"/>
    </row>
    <row r="340" spans="1:11" ht="18" x14ac:dyDescent="0.4">
      <c r="A340" s="7" t="s">
        <v>0</v>
      </c>
      <c r="B340" s="81" t="s">
        <v>320</v>
      </c>
      <c r="C340" s="57">
        <v>19414</v>
      </c>
      <c r="D340" s="70">
        <v>116127240</v>
      </c>
      <c r="E340" s="57">
        <v>2000</v>
      </c>
      <c r="F340" s="71" t="s">
        <v>325</v>
      </c>
      <c r="G340" s="61">
        <v>0</v>
      </c>
      <c r="H340" s="70">
        <f t="shared" si="4"/>
        <v>0</v>
      </c>
      <c r="I340" s="11">
        <v>46069</v>
      </c>
      <c r="J340" s="11">
        <v>46066</v>
      </c>
      <c r="K340" s="13"/>
    </row>
    <row r="341" spans="1:11" ht="18" x14ac:dyDescent="0.4">
      <c r="A341" s="7" t="s">
        <v>0</v>
      </c>
      <c r="B341" s="81" t="s">
        <v>320</v>
      </c>
      <c r="C341" s="57">
        <v>19414</v>
      </c>
      <c r="D341" s="70">
        <v>116131240</v>
      </c>
      <c r="E341" s="57">
        <v>1500</v>
      </c>
      <c r="F341" s="71" t="s">
        <v>326</v>
      </c>
      <c r="G341" s="61">
        <v>0</v>
      </c>
      <c r="H341" s="70">
        <f t="shared" si="4"/>
        <v>0</v>
      </c>
      <c r="I341" s="11">
        <v>46069</v>
      </c>
      <c r="J341" s="11">
        <v>46066</v>
      </c>
      <c r="K341" s="13"/>
    </row>
    <row r="342" spans="1:11" ht="18" x14ac:dyDescent="0.4">
      <c r="A342" s="7" t="s">
        <v>0</v>
      </c>
      <c r="B342" s="81" t="s">
        <v>320</v>
      </c>
      <c r="C342" s="57">
        <v>19414</v>
      </c>
      <c r="D342" s="70">
        <v>117340240</v>
      </c>
      <c r="E342" s="57">
        <v>300</v>
      </c>
      <c r="F342" s="71" t="s">
        <v>327</v>
      </c>
      <c r="G342" s="61">
        <v>0</v>
      </c>
      <c r="H342" s="70">
        <f t="shared" si="4"/>
        <v>0</v>
      </c>
      <c r="I342" s="11">
        <v>46069</v>
      </c>
      <c r="J342" s="11">
        <v>46066</v>
      </c>
      <c r="K342" s="13"/>
    </row>
    <row r="343" spans="1:11" ht="18" x14ac:dyDescent="0.4">
      <c r="A343" s="7" t="s">
        <v>0</v>
      </c>
      <c r="B343" s="81" t="s">
        <v>320</v>
      </c>
      <c r="C343" s="57">
        <v>19414</v>
      </c>
      <c r="D343" s="70">
        <v>160433240</v>
      </c>
      <c r="E343" s="57">
        <v>1000</v>
      </c>
      <c r="F343" s="71" t="s">
        <v>328</v>
      </c>
      <c r="G343" s="61">
        <v>0</v>
      </c>
      <c r="H343" s="70">
        <f t="shared" si="4"/>
        <v>0</v>
      </c>
      <c r="I343" s="11">
        <v>46069</v>
      </c>
      <c r="J343" s="11">
        <v>46066</v>
      </c>
      <c r="K343" s="13"/>
    </row>
    <row r="344" spans="1:11" ht="18" x14ac:dyDescent="0.4">
      <c r="A344" s="7" t="s">
        <v>0</v>
      </c>
      <c r="B344" s="81" t="s">
        <v>320</v>
      </c>
      <c r="C344" s="57">
        <v>19414</v>
      </c>
      <c r="D344" s="70">
        <v>162874240</v>
      </c>
      <c r="E344" s="57">
        <v>500</v>
      </c>
      <c r="F344" s="71" t="s">
        <v>329</v>
      </c>
      <c r="G344" s="61">
        <v>0</v>
      </c>
      <c r="H344" s="70">
        <f t="shared" si="4"/>
        <v>0</v>
      </c>
      <c r="I344" s="11">
        <v>46069</v>
      </c>
      <c r="J344" s="11">
        <v>46066</v>
      </c>
      <c r="K344" s="13"/>
    </row>
    <row r="345" spans="1:11" ht="18" x14ac:dyDescent="0.4">
      <c r="A345" s="7" t="s">
        <v>0</v>
      </c>
      <c r="B345" s="81" t="s">
        <v>320</v>
      </c>
      <c r="C345" s="57">
        <v>19414</v>
      </c>
      <c r="D345" s="70">
        <v>162883240</v>
      </c>
      <c r="E345" s="57">
        <v>500</v>
      </c>
      <c r="F345" s="71" t="s">
        <v>330</v>
      </c>
      <c r="G345" s="61">
        <v>0</v>
      </c>
      <c r="H345" s="70">
        <f t="shared" si="4"/>
        <v>0</v>
      </c>
      <c r="I345" s="11">
        <v>46069</v>
      </c>
      <c r="J345" s="11">
        <v>46066</v>
      </c>
      <c r="K345" s="13"/>
    </row>
    <row r="346" spans="1:11" ht="18" x14ac:dyDescent="0.4">
      <c r="A346" s="7" t="s">
        <v>0</v>
      </c>
      <c r="B346" s="81" t="s">
        <v>320</v>
      </c>
      <c r="C346" s="57">
        <v>19414</v>
      </c>
      <c r="D346" s="70">
        <v>187517240</v>
      </c>
      <c r="E346" s="57">
        <v>1200</v>
      </c>
      <c r="F346" s="71" t="s">
        <v>331</v>
      </c>
      <c r="G346" s="61">
        <v>0</v>
      </c>
      <c r="H346" s="70">
        <f t="shared" si="4"/>
        <v>0</v>
      </c>
      <c r="I346" s="11">
        <v>46069</v>
      </c>
      <c r="J346" s="11">
        <v>46066</v>
      </c>
      <c r="K346" s="13"/>
    </row>
    <row r="347" spans="1:11" ht="18" x14ac:dyDescent="0.4">
      <c r="A347" s="7" t="s">
        <v>0</v>
      </c>
      <c r="B347" s="81" t="s">
        <v>320</v>
      </c>
      <c r="C347" s="57">
        <v>19414</v>
      </c>
      <c r="D347" s="70">
        <v>465484560</v>
      </c>
      <c r="E347" s="57">
        <v>700</v>
      </c>
      <c r="F347" s="71" t="s">
        <v>185</v>
      </c>
      <c r="G347" s="61">
        <v>0</v>
      </c>
      <c r="H347" s="70">
        <f t="shared" si="4"/>
        <v>0</v>
      </c>
      <c r="I347" s="11">
        <v>46069</v>
      </c>
      <c r="J347" s="11">
        <v>46066</v>
      </c>
      <c r="K347" s="13"/>
    </row>
    <row r="348" spans="1:11" ht="18" x14ac:dyDescent="0.4">
      <c r="A348" s="7" t="s">
        <v>0</v>
      </c>
      <c r="B348" s="81" t="s">
        <v>320</v>
      </c>
      <c r="C348" s="57">
        <v>19414</v>
      </c>
      <c r="D348" s="70">
        <v>465484570</v>
      </c>
      <c r="E348" s="57">
        <v>400</v>
      </c>
      <c r="F348" s="71" t="s">
        <v>185</v>
      </c>
      <c r="G348" s="61">
        <v>0</v>
      </c>
      <c r="H348" s="70">
        <f t="shared" si="4"/>
        <v>0</v>
      </c>
      <c r="I348" s="11">
        <v>46069</v>
      </c>
      <c r="J348" s="11">
        <v>46066</v>
      </c>
      <c r="K348" s="13"/>
    </row>
    <row r="349" spans="1:11" ht="18" x14ac:dyDescent="0.4">
      <c r="A349" s="7" t="s">
        <v>0</v>
      </c>
      <c r="B349" s="81" t="s">
        <v>320</v>
      </c>
      <c r="C349" s="57">
        <v>19414</v>
      </c>
      <c r="D349" s="70">
        <v>552607160</v>
      </c>
      <c r="E349" s="57">
        <v>800</v>
      </c>
      <c r="F349" s="71" t="s">
        <v>332</v>
      </c>
      <c r="G349" s="61">
        <v>0</v>
      </c>
      <c r="H349" s="70">
        <f t="shared" si="4"/>
        <v>0</v>
      </c>
      <c r="I349" s="11">
        <v>46069</v>
      </c>
      <c r="J349" s="11">
        <v>46066</v>
      </c>
      <c r="K349" s="13"/>
    </row>
    <row r="350" spans="1:11" ht="18" x14ac:dyDescent="0.4">
      <c r="A350" s="7" t="s">
        <v>0</v>
      </c>
      <c r="B350" s="81" t="s">
        <v>320</v>
      </c>
      <c r="C350" s="57">
        <v>19414</v>
      </c>
      <c r="D350" s="70">
        <v>162860240</v>
      </c>
      <c r="E350" s="57">
        <v>1800</v>
      </c>
      <c r="F350" s="71" t="s">
        <v>315</v>
      </c>
      <c r="G350" s="61">
        <v>0</v>
      </c>
      <c r="H350" s="70">
        <f t="shared" si="4"/>
        <v>0</v>
      </c>
      <c r="I350" s="11">
        <v>46069</v>
      </c>
      <c r="J350" s="11">
        <v>46066</v>
      </c>
      <c r="K350" s="13"/>
    </row>
    <row r="351" spans="1:11" ht="18" x14ac:dyDescent="0.4">
      <c r="A351" s="7" t="s">
        <v>0</v>
      </c>
      <c r="B351" s="81" t="s">
        <v>320</v>
      </c>
      <c r="C351" s="57">
        <v>19414</v>
      </c>
      <c r="D351" s="70">
        <v>187505240</v>
      </c>
      <c r="E351" s="57">
        <v>1000</v>
      </c>
      <c r="F351" s="71" t="s">
        <v>333</v>
      </c>
      <c r="G351" s="61">
        <v>0</v>
      </c>
      <c r="H351" s="70">
        <f t="shared" si="4"/>
        <v>0</v>
      </c>
      <c r="I351" s="11">
        <v>46069</v>
      </c>
      <c r="J351" s="11">
        <v>46066</v>
      </c>
      <c r="K351" s="13"/>
    </row>
    <row r="352" spans="1:11" ht="18" x14ac:dyDescent="0.4">
      <c r="A352" s="7" t="s">
        <v>0</v>
      </c>
      <c r="B352" s="81" t="s">
        <v>320</v>
      </c>
      <c r="C352" s="57">
        <v>19414</v>
      </c>
      <c r="D352" s="70">
        <v>187524240</v>
      </c>
      <c r="E352" s="57">
        <v>800</v>
      </c>
      <c r="F352" s="71" t="s">
        <v>334</v>
      </c>
      <c r="G352" s="61">
        <v>0</v>
      </c>
      <c r="H352" s="70">
        <f t="shared" ref="H352:H415" si="5">+G352/E352</f>
        <v>0</v>
      </c>
      <c r="I352" s="11">
        <v>46069</v>
      </c>
      <c r="J352" s="11">
        <v>46066</v>
      </c>
      <c r="K352" s="13"/>
    </row>
    <row r="353" spans="1:11" ht="18" x14ac:dyDescent="0.4">
      <c r="A353" s="7" t="s">
        <v>0</v>
      </c>
      <c r="B353" s="81" t="s">
        <v>320</v>
      </c>
      <c r="C353" s="57">
        <v>19414</v>
      </c>
      <c r="D353" s="70">
        <v>551872090</v>
      </c>
      <c r="E353" s="57">
        <v>180</v>
      </c>
      <c r="F353" s="71" t="s">
        <v>335</v>
      </c>
      <c r="G353" s="61">
        <v>0</v>
      </c>
      <c r="H353" s="70">
        <f t="shared" si="5"/>
        <v>0</v>
      </c>
      <c r="I353" s="11">
        <v>46069</v>
      </c>
      <c r="J353" s="11">
        <v>46066</v>
      </c>
      <c r="K353" s="13"/>
    </row>
    <row r="354" spans="1:11" ht="18" x14ac:dyDescent="0.4">
      <c r="A354" s="7" t="s">
        <v>0</v>
      </c>
      <c r="B354" s="81" t="s">
        <v>320</v>
      </c>
      <c r="C354" s="57">
        <v>19414</v>
      </c>
      <c r="D354" s="70">
        <v>735012020</v>
      </c>
      <c r="E354" s="57">
        <v>220</v>
      </c>
      <c r="F354" s="71" t="s">
        <v>336</v>
      </c>
      <c r="G354" s="61">
        <v>0</v>
      </c>
      <c r="H354" s="70">
        <f t="shared" si="5"/>
        <v>0</v>
      </c>
      <c r="I354" s="11">
        <v>46069</v>
      </c>
      <c r="J354" s="11">
        <v>46066</v>
      </c>
      <c r="K354" s="13"/>
    </row>
    <row r="355" spans="1:11" ht="18" x14ac:dyDescent="0.4">
      <c r="A355" s="7" t="s">
        <v>0</v>
      </c>
      <c r="B355" s="81" t="s">
        <v>320</v>
      </c>
      <c r="C355" s="57">
        <v>19414</v>
      </c>
      <c r="D355" s="70">
        <v>735012040</v>
      </c>
      <c r="E355" s="57">
        <v>250</v>
      </c>
      <c r="F355" s="71" t="s">
        <v>337</v>
      </c>
      <c r="G355" s="61">
        <v>0</v>
      </c>
      <c r="H355" s="70">
        <f t="shared" si="5"/>
        <v>0</v>
      </c>
      <c r="I355" s="11">
        <v>46069</v>
      </c>
      <c r="J355" s="11">
        <v>46066</v>
      </c>
      <c r="K355" s="13"/>
    </row>
    <row r="356" spans="1:11" ht="18" x14ac:dyDescent="0.4">
      <c r="A356" s="7" t="s">
        <v>0</v>
      </c>
      <c r="B356" s="81" t="s">
        <v>320</v>
      </c>
      <c r="C356" s="57">
        <v>19414</v>
      </c>
      <c r="D356" s="70">
        <v>735012080</v>
      </c>
      <c r="E356" s="57">
        <v>600</v>
      </c>
      <c r="F356" s="71" t="s">
        <v>338</v>
      </c>
      <c r="G356" s="61">
        <v>0</v>
      </c>
      <c r="H356" s="70">
        <f t="shared" si="5"/>
        <v>0</v>
      </c>
      <c r="I356" s="11">
        <v>46069</v>
      </c>
      <c r="J356" s="11">
        <v>46066</v>
      </c>
      <c r="K356" s="13"/>
    </row>
    <row r="357" spans="1:11" ht="18" x14ac:dyDescent="0.4">
      <c r="A357" s="7" t="s">
        <v>0</v>
      </c>
      <c r="B357" s="81" t="s">
        <v>320</v>
      </c>
      <c r="C357" s="57">
        <v>19414</v>
      </c>
      <c r="D357" s="70">
        <v>135872210</v>
      </c>
      <c r="E357" s="57">
        <v>2800</v>
      </c>
      <c r="F357" s="71" t="s">
        <v>339</v>
      </c>
      <c r="G357" s="61">
        <v>0</v>
      </c>
      <c r="H357" s="70">
        <f t="shared" si="5"/>
        <v>0</v>
      </c>
      <c r="I357" s="11">
        <v>46069</v>
      </c>
      <c r="J357" s="11">
        <v>46066</v>
      </c>
      <c r="K357" s="13"/>
    </row>
    <row r="358" spans="1:11" ht="18" x14ac:dyDescent="0.4">
      <c r="A358" s="7" t="s">
        <v>0</v>
      </c>
      <c r="B358" s="81" t="s">
        <v>340</v>
      </c>
      <c r="C358" s="57">
        <v>27951</v>
      </c>
      <c r="D358" s="70">
        <v>162870240</v>
      </c>
      <c r="E358" s="57">
        <v>800</v>
      </c>
      <c r="F358" s="71" t="s">
        <v>341</v>
      </c>
      <c r="G358" s="61">
        <v>0</v>
      </c>
      <c r="H358" s="70">
        <f t="shared" si="5"/>
        <v>0</v>
      </c>
      <c r="I358" s="11">
        <v>46069</v>
      </c>
      <c r="J358" s="11">
        <v>46066</v>
      </c>
      <c r="K358" s="13"/>
    </row>
    <row r="359" spans="1:11" ht="18" x14ac:dyDescent="0.4">
      <c r="A359" s="7" t="s">
        <v>0</v>
      </c>
      <c r="B359" s="81" t="s">
        <v>340</v>
      </c>
      <c r="C359" s="57">
        <v>27951</v>
      </c>
      <c r="D359" s="70">
        <v>552581940</v>
      </c>
      <c r="E359" s="57">
        <v>800</v>
      </c>
      <c r="F359" s="71" t="s">
        <v>342</v>
      </c>
      <c r="G359" s="61">
        <v>0</v>
      </c>
      <c r="H359" s="70">
        <f t="shared" si="5"/>
        <v>0</v>
      </c>
      <c r="I359" s="11">
        <v>46069</v>
      </c>
      <c r="J359" s="11">
        <v>46066</v>
      </c>
      <c r="K359" s="13"/>
    </row>
    <row r="360" spans="1:11" ht="18" x14ac:dyDescent="0.4">
      <c r="A360" s="7" t="s">
        <v>0</v>
      </c>
      <c r="B360" s="81" t="s">
        <v>343</v>
      </c>
      <c r="C360" s="57">
        <v>10627</v>
      </c>
      <c r="D360" s="70">
        <v>116123240</v>
      </c>
      <c r="E360" s="57">
        <v>18000</v>
      </c>
      <c r="F360" s="71" t="s">
        <v>344</v>
      </c>
      <c r="G360" s="61">
        <v>0</v>
      </c>
      <c r="H360" s="70">
        <f t="shared" si="5"/>
        <v>0</v>
      </c>
      <c r="I360" s="11">
        <v>46069</v>
      </c>
      <c r="J360" s="11">
        <v>46066</v>
      </c>
      <c r="K360" s="13"/>
    </row>
    <row r="361" spans="1:11" ht="18" x14ac:dyDescent="0.4">
      <c r="A361" s="7" t="s">
        <v>0</v>
      </c>
      <c r="B361" s="81" t="s">
        <v>137</v>
      </c>
      <c r="C361" s="57">
        <v>36019</v>
      </c>
      <c r="D361" s="70">
        <v>130307240</v>
      </c>
      <c r="E361" s="57">
        <v>350</v>
      </c>
      <c r="F361" s="71" t="s">
        <v>345</v>
      </c>
      <c r="G361" s="61">
        <v>0</v>
      </c>
      <c r="H361" s="70">
        <f t="shared" si="5"/>
        <v>0</v>
      </c>
      <c r="I361" s="11">
        <v>46069</v>
      </c>
      <c r="J361" s="11">
        <v>46066</v>
      </c>
      <c r="K361" s="13"/>
    </row>
    <row r="362" spans="1:11" ht="18" x14ac:dyDescent="0.4">
      <c r="A362" s="7" t="s">
        <v>0</v>
      </c>
      <c r="B362" s="81" t="s">
        <v>137</v>
      </c>
      <c r="C362" s="57">
        <v>36019</v>
      </c>
      <c r="D362" s="70">
        <v>143078240</v>
      </c>
      <c r="E362" s="57">
        <v>350</v>
      </c>
      <c r="F362" s="71" t="s">
        <v>346</v>
      </c>
      <c r="G362" s="61">
        <v>0</v>
      </c>
      <c r="H362" s="70">
        <f t="shared" si="5"/>
        <v>0</v>
      </c>
      <c r="I362" s="11">
        <v>46069</v>
      </c>
      <c r="J362" s="11">
        <v>46066</v>
      </c>
      <c r="K362" s="13"/>
    </row>
    <row r="363" spans="1:11" ht="18" x14ac:dyDescent="0.4">
      <c r="A363" s="7" t="s">
        <v>0</v>
      </c>
      <c r="B363" s="81" t="s">
        <v>137</v>
      </c>
      <c r="C363" s="57">
        <v>36019</v>
      </c>
      <c r="D363" s="70">
        <v>159720240</v>
      </c>
      <c r="E363" s="57">
        <v>130</v>
      </c>
      <c r="F363" s="71" t="s">
        <v>347</v>
      </c>
      <c r="G363" s="61">
        <v>0</v>
      </c>
      <c r="H363" s="70">
        <f t="shared" si="5"/>
        <v>0</v>
      </c>
      <c r="I363" s="11">
        <v>46069</v>
      </c>
      <c r="J363" s="11">
        <v>46066</v>
      </c>
      <c r="K363" s="13"/>
    </row>
    <row r="364" spans="1:11" ht="18" x14ac:dyDescent="0.4">
      <c r="A364" s="7" t="s">
        <v>0</v>
      </c>
      <c r="B364" s="81" t="s">
        <v>137</v>
      </c>
      <c r="C364" s="57">
        <v>36019</v>
      </c>
      <c r="D364" s="70">
        <v>187502240</v>
      </c>
      <c r="E364" s="57">
        <v>1400</v>
      </c>
      <c r="F364" s="71" t="s">
        <v>348</v>
      </c>
      <c r="G364" s="61">
        <v>0</v>
      </c>
      <c r="H364" s="70">
        <f t="shared" si="5"/>
        <v>0</v>
      </c>
      <c r="I364" s="11">
        <v>46069</v>
      </c>
      <c r="J364" s="11">
        <v>46066</v>
      </c>
      <c r="K364" s="13"/>
    </row>
    <row r="365" spans="1:11" ht="18" x14ac:dyDescent="0.4">
      <c r="A365" s="7" t="s">
        <v>0</v>
      </c>
      <c r="B365" s="81" t="s">
        <v>137</v>
      </c>
      <c r="C365" s="57">
        <v>36019</v>
      </c>
      <c r="D365" s="70">
        <v>187528210</v>
      </c>
      <c r="E365" s="57">
        <v>1400</v>
      </c>
      <c r="F365" s="71" t="s">
        <v>349</v>
      </c>
      <c r="G365" s="61">
        <v>0</v>
      </c>
      <c r="H365" s="70">
        <f t="shared" si="5"/>
        <v>0</v>
      </c>
      <c r="I365" s="11">
        <v>46069</v>
      </c>
      <c r="J365" s="11">
        <v>46066</v>
      </c>
      <c r="K365" s="13"/>
    </row>
    <row r="366" spans="1:11" ht="18" x14ac:dyDescent="0.4">
      <c r="A366" s="7" t="s">
        <v>0</v>
      </c>
      <c r="B366" s="81" t="s">
        <v>137</v>
      </c>
      <c r="C366" s="57">
        <v>36019</v>
      </c>
      <c r="D366" s="70">
        <v>463472570</v>
      </c>
      <c r="E366" s="57">
        <v>1200</v>
      </c>
      <c r="F366" s="71" t="s">
        <v>350</v>
      </c>
      <c r="G366" s="61">
        <v>0</v>
      </c>
      <c r="H366" s="70">
        <f t="shared" si="5"/>
        <v>0</v>
      </c>
      <c r="I366" s="11">
        <v>46069</v>
      </c>
      <c r="J366" s="11">
        <v>46066</v>
      </c>
      <c r="K366" s="13"/>
    </row>
    <row r="367" spans="1:11" ht="18" x14ac:dyDescent="0.4">
      <c r="A367" s="7" t="s">
        <v>0</v>
      </c>
      <c r="B367" s="81" t="s">
        <v>137</v>
      </c>
      <c r="C367" s="57">
        <v>36019</v>
      </c>
      <c r="D367" s="70">
        <v>551877370</v>
      </c>
      <c r="E367" s="57">
        <v>3600</v>
      </c>
      <c r="F367" s="71" t="s">
        <v>351</v>
      </c>
      <c r="G367" s="61">
        <v>0</v>
      </c>
      <c r="H367" s="70">
        <f t="shared" si="5"/>
        <v>0</v>
      </c>
      <c r="I367" s="11">
        <v>46069</v>
      </c>
      <c r="J367" s="11">
        <v>46066</v>
      </c>
      <c r="K367" s="13"/>
    </row>
    <row r="368" spans="1:11" ht="18" x14ac:dyDescent="0.4">
      <c r="A368" s="7" t="s">
        <v>0</v>
      </c>
      <c r="B368" s="81" t="s">
        <v>137</v>
      </c>
      <c r="C368" s="57">
        <v>36019</v>
      </c>
      <c r="D368" s="70">
        <v>552501310</v>
      </c>
      <c r="E368" s="57">
        <v>350</v>
      </c>
      <c r="F368" s="71" t="s">
        <v>352</v>
      </c>
      <c r="G368" s="61">
        <v>0</v>
      </c>
      <c r="H368" s="70">
        <f t="shared" si="5"/>
        <v>0</v>
      </c>
      <c r="I368" s="11">
        <v>46069</v>
      </c>
      <c r="J368" s="11">
        <v>46066</v>
      </c>
      <c r="K368" s="13"/>
    </row>
    <row r="369" spans="1:11" ht="18" x14ac:dyDescent="0.4">
      <c r="A369" s="7" t="s">
        <v>0</v>
      </c>
      <c r="B369" s="81" t="s">
        <v>137</v>
      </c>
      <c r="C369" s="57">
        <v>36019</v>
      </c>
      <c r="D369" s="70">
        <v>552261740</v>
      </c>
      <c r="E369" s="57">
        <v>250</v>
      </c>
      <c r="F369" s="71" t="s">
        <v>353</v>
      </c>
      <c r="G369" s="61">
        <v>0</v>
      </c>
      <c r="H369" s="70">
        <f t="shared" si="5"/>
        <v>0</v>
      </c>
      <c r="I369" s="11">
        <v>46069</v>
      </c>
      <c r="J369" s="11">
        <v>46066</v>
      </c>
      <c r="K369" s="13"/>
    </row>
    <row r="370" spans="1:11" ht="18" x14ac:dyDescent="0.4">
      <c r="A370" s="7" t="s">
        <v>0</v>
      </c>
      <c r="B370" s="81" t="s">
        <v>137</v>
      </c>
      <c r="C370" s="57">
        <v>36019</v>
      </c>
      <c r="D370" s="70">
        <v>463507860</v>
      </c>
      <c r="E370" s="57">
        <v>150</v>
      </c>
      <c r="F370" s="71" t="s">
        <v>127</v>
      </c>
      <c r="G370" s="61">
        <v>0</v>
      </c>
      <c r="H370" s="70">
        <f t="shared" si="5"/>
        <v>0</v>
      </c>
      <c r="I370" s="11">
        <v>46069</v>
      </c>
      <c r="J370" s="11">
        <v>46066</v>
      </c>
      <c r="K370" s="13"/>
    </row>
    <row r="371" spans="1:11" ht="18" x14ac:dyDescent="0.4">
      <c r="A371" s="14" t="s">
        <v>0</v>
      </c>
      <c r="B371" s="84" t="s">
        <v>137</v>
      </c>
      <c r="C371" s="78">
        <v>36019</v>
      </c>
      <c r="D371" s="79">
        <v>552589360</v>
      </c>
      <c r="E371" s="78">
        <v>230</v>
      </c>
      <c r="F371" s="80" t="s">
        <v>127</v>
      </c>
      <c r="G371" s="90">
        <v>0</v>
      </c>
      <c r="H371" s="70">
        <f t="shared" si="5"/>
        <v>0</v>
      </c>
      <c r="I371" s="36">
        <v>46069</v>
      </c>
      <c r="J371" s="36">
        <v>46066</v>
      </c>
      <c r="K371" s="15"/>
    </row>
    <row r="372" spans="1:11" ht="18" x14ac:dyDescent="0.4">
      <c r="A372" s="7" t="s">
        <v>719</v>
      </c>
      <c r="B372" s="97" t="s">
        <v>354</v>
      </c>
      <c r="C372" s="8">
        <v>30464</v>
      </c>
      <c r="D372" s="9">
        <v>76272340</v>
      </c>
      <c r="E372" s="57">
        <v>400</v>
      </c>
      <c r="F372" s="10" t="s">
        <v>355</v>
      </c>
      <c r="G372" s="9">
        <v>0</v>
      </c>
      <c r="H372" s="70">
        <f t="shared" si="5"/>
        <v>0</v>
      </c>
      <c r="I372" s="11">
        <v>46069</v>
      </c>
      <c r="J372" s="11">
        <v>46066</v>
      </c>
      <c r="K372" s="17"/>
    </row>
    <row r="373" spans="1:11" ht="18" x14ac:dyDescent="0.4">
      <c r="A373" s="7" t="s">
        <v>719</v>
      </c>
      <c r="B373" s="7" t="s">
        <v>354</v>
      </c>
      <c r="C373" s="8">
        <v>30464</v>
      </c>
      <c r="D373" s="9">
        <v>463444260</v>
      </c>
      <c r="E373" s="57">
        <v>200</v>
      </c>
      <c r="F373" s="10" t="s">
        <v>356</v>
      </c>
      <c r="G373" s="9">
        <v>0</v>
      </c>
      <c r="H373" s="70">
        <f t="shared" si="5"/>
        <v>0</v>
      </c>
      <c r="I373" s="11">
        <v>46069</v>
      </c>
      <c r="J373" s="11">
        <v>46066</v>
      </c>
      <c r="K373" s="13"/>
    </row>
    <row r="374" spans="1:11" ht="18" x14ac:dyDescent="0.4">
      <c r="A374" s="7" t="s">
        <v>719</v>
      </c>
      <c r="B374" s="7" t="s">
        <v>357</v>
      </c>
      <c r="C374" s="8">
        <v>19414</v>
      </c>
      <c r="D374" s="9">
        <v>552679400</v>
      </c>
      <c r="E374" s="57">
        <v>1500</v>
      </c>
      <c r="F374" s="10" t="s">
        <v>168</v>
      </c>
      <c r="G374" s="9">
        <v>0</v>
      </c>
      <c r="H374" s="70">
        <f t="shared" si="5"/>
        <v>0</v>
      </c>
      <c r="I374" s="11">
        <v>46069</v>
      </c>
      <c r="J374" s="11">
        <v>46066</v>
      </c>
      <c r="K374" s="13"/>
    </row>
    <row r="375" spans="1:11" ht="18" x14ac:dyDescent="0.4">
      <c r="A375" s="7" t="s">
        <v>719</v>
      </c>
      <c r="B375" s="7" t="s">
        <v>357</v>
      </c>
      <c r="C375" s="8">
        <v>19414</v>
      </c>
      <c r="D375" s="9">
        <v>463584330</v>
      </c>
      <c r="E375" s="57">
        <v>1500</v>
      </c>
      <c r="F375" s="10" t="s">
        <v>168</v>
      </c>
      <c r="G375" s="9">
        <v>0</v>
      </c>
      <c r="H375" s="70">
        <f t="shared" si="5"/>
        <v>0</v>
      </c>
      <c r="I375" s="11">
        <v>46069</v>
      </c>
      <c r="J375" s="11">
        <v>46066</v>
      </c>
      <c r="K375" s="13"/>
    </row>
    <row r="376" spans="1:11" ht="18" x14ac:dyDescent="0.4">
      <c r="A376" s="7" t="s">
        <v>719</v>
      </c>
      <c r="B376" s="7" t="s">
        <v>357</v>
      </c>
      <c r="C376" s="8">
        <v>19414</v>
      </c>
      <c r="D376" s="9">
        <v>552709810</v>
      </c>
      <c r="E376" s="57">
        <v>100</v>
      </c>
      <c r="F376" s="10" t="s">
        <v>358</v>
      </c>
      <c r="G376" s="9">
        <v>0</v>
      </c>
      <c r="H376" s="70">
        <f t="shared" si="5"/>
        <v>0</v>
      </c>
      <c r="I376" s="11">
        <v>46069</v>
      </c>
      <c r="J376" s="11">
        <v>46066</v>
      </c>
      <c r="K376" s="13"/>
    </row>
    <row r="377" spans="1:11" ht="18" x14ac:dyDescent="0.4">
      <c r="A377" s="7" t="s">
        <v>719</v>
      </c>
      <c r="B377" s="7" t="s">
        <v>357</v>
      </c>
      <c r="C377" s="8">
        <v>19414</v>
      </c>
      <c r="D377" s="9">
        <v>552679990</v>
      </c>
      <c r="E377" s="57">
        <v>600</v>
      </c>
      <c r="F377" s="10" t="s">
        <v>359</v>
      </c>
      <c r="G377" s="9">
        <v>0</v>
      </c>
      <c r="H377" s="70">
        <f t="shared" si="5"/>
        <v>0</v>
      </c>
      <c r="I377" s="11">
        <v>46069</v>
      </c>
      <c r="J377" s="11">
        <v>46066</v>
      </c>
      <c r="K377" s="13"/>
    </row>
    <row r="378" spans="1:11" ht="18" x14ac:dyDescent="0.4">
      <c r="A378" s="7" t="s">
        <v>719</v>
      </c>
      <c r="B378" s="7" t="s">
        <v>357</v>
      </c>
      <c r="C378" s="8">
        <v>19414</v>
      </c>
      <c r="D378" s="9">
        <v>552819860</v>
      </c>
      <c r="E378" s="57">
        <v>50</v>
      </c>
      <c r="F378" s="10" t="s">
        <v>360</v>
      </c>
      <c r="G378" s="9">
        <v>0</v>
      </c>
      <c r="H378" s="70">
        <f t="shared" si="5"/>
        <v>0</v>
      </c>
      <c r="I378" s="11">
        <v>46069</v>
      </c>
      <c r="J378" s="11">
        <v>46066</v>
      </c>
      <c r="K378" s="13"/>
    </row>
    <row r="379" spans="1:11" ht="18" x14ac:dyDescent="0.4">
      <c r="A379" s="7" t="s">
        <v>719</v>
      </c>
      <c r="B379" s="7" t="s">
        <v>357</v>
      </c>
      <c r="C379" s="8">
        <v>19414</v>
      </c>
      <c r="D379" s="9">
        <v>552584580</v>
      </c>
      <c r="E379" s="57">
        <v>600</v>
      </c>
      <c r="F379" s="10" t="s">
        <v>361</v>
      </c>
      <c r="G379" s="9">
        <v>0</v>
      </c>
      <c r="H379" s="70">
        <f t="shared" si="5"/>
        <v>0</v>
      </c>
      <c r="I379" s="11">
        <v>46069</v>
      </c>
      <c r="J379" s="11">
        <v>46066</v>
      </c>
      <c r="K379" s="13"/>
    </row>
    <row r="380" spans="1:11" ht="18" x14ac:dyDescent="0.4">
      <c r="A380" s="7" t="s">
        <v>719</v>
      </c>
      <c r="B380" s="7" t="s">
        <v>357</v>
      </c>
      <c r="C380" s="8">
        <v>19414</v>
      </c>
      <c r="D380" s="9">
        <v>552691000</v>
      </c>
      <c r="E380" s="57">
        <v>800</v>
      </c>
      <c r="F380" s="10" t="s">
        <v>362</v>
      </c>
      <c r="G380" s="9">
        <v>0</v>
      </c>
      <c r="H380" s="70">
        <f t="shared" si="5"/>
        <v>0</v>
      </c>
      <c r="I380" s="11">
        <v>46069</v>
      </c>
      <c r="J380" s="11">
        <v>46066</v>
      </c>
      <c r="K380" s="13"/>
    </row>
    <row r="381" spans="1:11" ht="18" x14ac:dyDescent="0.4">
      <c r="A381" s="7" t="s">
        <v>719</v>
      </c>
      <c r="B381" s="7" t="s">
        <v>357</v>
      </c>
      <c r="C381" s="8">
        <v>19414</v>
      </c>
      <c r="D381" s="9">
        <v>187529240</v>
      </c>
      <c r="E381" s="57">
        <v>400</v>
      </c>
      <c r="F381" s="10" t="s">
        <v>363</v>
      </c>
      <c r="G381" s="9">
        <v>0</v>
      </c>
      <c r="H381" s="70">
        <f t="shared" si="5"/>
        <v>0</v>
      </c>
      <c r="I381" s="11">
        <v>46069</v>
      </c>
      <c r="J381" s="11">
        <v>46066</v>
      </c>
      <c r="K381" s="13"/>
    </row>
    <row r="382" spans="1:11" ht="18" x14ac:dyDescent="0.4">
      <c r="A382" s="7" t="s">
        <v>719</v>
      </c>
      <c r="B382" s="7" t="s">
        <v>357</v>
      </c>
      <c r="C382" s="8">
        <v>19414</v>
      </c>
      <c r="D382" s="9">
        <v>552836160</v>
      </c>
      <c r="E382" s="57">
        <v>800</v>
      </c>
      <c r="F382" s="10" t="s">
        <v>364</v>
      </c>
      <c r="G382" s="9">
        <v>0</v>
      </c>
      <c r="H382" s="70">
        <f t="shared" si="5"/>
        <v>0</v>
      </c>
      <c r="I382" s="11">
        <v>46069</v>
      </c>
      <c r="J382" s="11">
        <v>46066</v>
      </c>
      <c r="K382" s="13"/>
    </row>
    <row r="383" spans="1:11" ht="18" x14ac:dyDescent="0.4">
      <c r="A383" s="7" t="s">
        <v>719</v>
      </c>
      <c r="B383" s="7" t="s">
        <v>357</v>
      </c>
      <c r="C383" s="8">
        <v>19414</v>
      </c>
      <c r="D383" s="9">
        <v>187505240</v>
      </c>
      <c r="E383" s="57">
        <v>1000</v>
      </c>
      <c r="F383" s="10" t="s">
        <v>365</v>
      </c>
      <c r="G383" s="9">
        <v>0</v>
      </c>
      <c r="H383" s="70">
        <f t="shared" si="5"/>
        <v>0</v>
      </c>
      <c r="I383" s="11">
        <v>46069</v>
      </c>
      <c r="J383" s="11">
        <v>46066</v>
      </c>
      <c r="K383" s="13"/>
    </row>
    <row r="384" spans="1:11" ht="18" x14ac:dyDescent="0.4">
      <c r="A384" s="7" t="s">
        <v>719</v>
      </c>
      <c r="B384" s="7" t="s">
        <v>357</v>
      </c>
      <c r="C384" s="8">
        <v>19414</v>
      </c>
      <c r="D384" s="9">
        <v>187517240</v>
      </c>
      <c r="E384" s="57">
        <v>1200</v>
      </c>
      <c r="F384" s="10" t="s">
        <v>366</v>
      </c>
      <c r="G384" s="9">
        <v>0</v>
      </c>
      <c r="H384" s="70">
        <f t="shared" si="5"/>
        <v>0</v>
      </c>
      <c r="I384" s="11">
        <v>46069</v>
      </c>
      <c r="J384" s="11">
        <v>46066</v>
      </c>
      <c r="K384" s="13"/>
    </row>
    <row r="385" spans="1:11" ht="18" x14ac:dyDescent="0.4">
      <c r="A385" s="7" t="s">
        <v>719</v>
      </c>
      <c r="B385" s="7" t="s">
        <v>357</v>
      </c>
      <c r="C385" s="8">
        <v>19414</v>
      </c>
      <c r="D385" s="9">
        <v>463479880</v>
      </c>
      <c r="E385" s="57">
        <v>1000</v>
      </c>
      <c r="F385" s="10" t="s">
        <v>127</v>
      </c>
      <c r="G385" s="9">
        <v>0</v>
      </c>
      <c r="H385" s="70">
        <f t="shared" si="5"/>
        <v>0</v>
      </c>
      <c r="I385" s="11">
        <v>46069</v>
      </c>
      <c r="J385" s="11">
        <v>46066</v>
      </c>
      <c r="K385" s="13"/>
    </row>
    <row r="386" spans="1:11" ht="18" x14ac:dyDescent="0.4">
      <c r="A386" s="7" t="s">
        <v>719</v>
      </c>
      <c r="B386" s="7" t="s">
        <v>367</v>
      </c>
      <c r="C386" s="8">
        <v>20419</v>
      </c>
      <c r="D386" s="9">
        <v>552681860</v>
      </c>
      <c r="E386" s="57">
        <v>560</v>
      </c>
      <c r="F386" s="10" t="s">
        <v>234</v>
      </c>
      <c r="G386" s="9">
        <v>0</v>
      </c>
      <c r="H386" s="70">
        <f t="shared" si="5"/>
        <v>0</v>
      </c>
      <c r="I386" s="11">
        <v>46069</v>
      </c>
      <c r="J386" s="11">
        <v>46066</v>
      </c>
      <c r="K386" s="13"/>
    </row>
    <row r="387" spans="1:11" ht="18" x14ac:dyDescent="0.4">
      <c r="A387" s="7" t="s">
        <v>719</v>
      </c>
      <c r="B387" s="7" t="s">
        <v>367</v>
      </c>
      <c r="C387" s="8">
        <v>20419</v>
      </c>
      <c r="D387" s="9">
        <v>552678480</v>
      </c>
      <c r="E387" s="57">
        <v>800</v>
      </c>
      <c r="F387" s="10" t="s">
        <v>234</v>
      </c>
      <c r="G387" s="9">
        <v>0</v>
      </c>
      <c r="H387" s="70">
        <f t="shared" si="5"/>
        <v>0</v>
      </c>
      <c r="I387" s="11">
        <v>46069</v>
      </c>
      <c r="J387" s="11">
        <v>46066</v>
      </c>
      <c r="K387" s="13"/>
    </row>
    <row r="388" spans="1:11" ht="18" x14ac:dyDescent="0.4">
      <c r="A388" s="7" t="s">
        <v>719</v>
      </c>
      <c r="B388" s="7" t="s">
        <v>368</v>
      </c>
      <c r="C388" s="8">
        <v>32059</v>
      </c>
      <c r="D388" s="9">
        <v>552677450</v>
      </c>
      <c r="E388" s="57">
        <v>4500</v>
      </c>
      <c r="F388" s="10" t="s">
        <v>230</v>
      </c>
      <c r="G388" s="9">
        <v>0</v>
      </c>
      <c r="H388" s="70">
        <f t="shared" si="5"/>
        <v>0</v>
      </c>
      <c r="I388" s="11">
        <v>46069</v>
      </c>
      <c r="J388" s="11">
        <v>46066</v>
      </c>
      <c r="K388" s="13"/>
    </row>
    <row r="389" spans="1:11" ht="18" x14ac:dyDescent="0.4">
      <c r="A389" s="7" t="s">
        <v>719</v>
      </c>
      <c r="B389" s="7" t="s">
        <v>369</v>
      </c>
      <c r="C389" s="8">
        <v>14928</v>
      </c>
      <c r="D389" s="9">
        <v>463404710</v>
      </c>
      <c r="E389" s="57">
        <v>100</v>
      </c>
      <c r="F389" s="10" t="s">
        <v>370</v>
      </c>
      <c r="G389" s="9">
        <v>0</v>
      </c>
      <c r="H389" s="70">
        <f t="shared" si="5"/>
        <v>0</v>
      </c>
      <c r="I389" s="11">
        <v>46069</v>
      </c>
      <c r="J389" s="11">
        <v>46066</v>
      </c>
      <c r="K389" s="13"/>
    </row>
    <row r="390" spans="1:11" ht="18" x14ac:dyDescent="0.4">
      <c r="A390" s="7" t="s">
        <v>719</v>
      </c>
      <c r="B390" s="7" t="s">
        <v>371</v>
      </c>
      <c r="C390" s="8">
        <v>78605</v>
      </c>
      <c r="D390" s="9">
        <v>552679850</v>
      </c>
      <c r="E390" s="57">
        <v>300</v>
      </c>
      <c r="F390" s="10" t="s">
        <v>281</v>
      </c>
      <c r="G390" s="9">
        <v>0</v>
      </c>
      <c r="H390" s="70">
        <f t="shared" si="5"/>
        <v>0</v>
      </c>
      <c r="I390" s="11">
        <v>46069</v>
      </c>
      <c r="J390" s="11">
        <v>46066</v>
      </c>
      <c r="K390" s="13"/>
    </row>
    <row r="391" spans="1:11" ht="18" x14ac:dyDescent="0.4">
      <c r="A391" s="7" t="s">
        <v>719</v>
      </c>
      <c r="B391" s="7" t="s">
        <v>372</v>
      </c>
      <c r="C391" s="8">
        <v>27951</v>
      </c>
      <c r="D391" s="9">
        <v>463411550</v>
      </c>
      <c r="E391" s="57">
        <v>1100</v>
      </c>
      <c r="F391" s="10" t="s">
        <v>373</v>
      </c>
      <c r="G391" s="9">
        <v>0</v>
      </c>
      <c r="H391" s="70">
        <f t="shared" si="5"/>
        <v>0</v>
      </c>
      <c r="I391" s="11">
        <v>46069</v>
      </c>
      <c r="J391" s="11">
        <v>46066</v>
      </c>
      <c r="K391" s="13"/>
    </row>
    <row r="392" spans="1:11" ht="18" x14ac:dyDescent="0.4">
      <c r="A392" s="7" t="s">
        <v>719</v>
      </c>
      <c r="B392" s="7" t="s">
        <v>372</v>
      </c>
      <c r="C392" s="8">
        <v>27951</v>
      </c>
      <c r="D392" s="9">
        <v>463415550</v>
      </c>
      <c r="E392" s="57">
        <v>800</v>
      </c>
      <c r="F392" s="10" t="s">
        <v>374</v>
      </c>
      <c r="G392" s="9">
        <v>0</v>
      </c>
      <c r="H392" s="70">
        <f t="shared" si="5"/>
        <v>0</v>
      </c>
      <c r="I392" s="11">
        <v>46069</v>
      </c>
      <c r="J392" s="11">
        <v>46066</v>
      </c>
      <c r="K392" s="13"/>
    </row>
    <row r="393" spans="1:11" ht="18" x14ac:dyDescent="0.4">
      <c r="A393" s="7" t="s">
        <v>719</v>
      </c>
      <c r="B393" s="7" t="s">
        <v>375</v>
      </c>
      <c r="C393" s="8">
        <v>24229</v>
      </c>
      <c r="D393" s="9">
        <v>463471630</v>
      </c>
      <c r="E393" s="57">
        <v>200</v>
      </c>
      <c r="F393" s="10" t="s">
        <v>376</v>
      </c>
      <c r="G393" s="9">
        <v>0</v>
      </c>
      <c r="H393" s="70">
        <f t="shared" si="5"/>
        <v>0</v>
      </c>
      <c r="I393" s="11">
        <v>46069</v>
      </c>
      <c r="J393" s="11">
        <v>46066</v>
      </c>
      <c r="K393" s="13"/>
    </row>
    <row r="394" spans="1:11" ht="18" x14ac:dyDescent="0.4">
      <c r="A394" s="7" t="s">
        <v>719</v>
      </c>
      <c r="B394" s="7" t="s">
        <v>375</v>
      </c>
      <c r="C394" s="8">
        <v>24229</v>
      </c>
      <c r="D394" s="9">
        <v>463508000</v>
      </c>
      <c r="E394" s="57">
        <v>120</v>
      </c>
      <c r="F394" s="10" t="s">
        <v>271</v>
      </c>
      <c r="G394" s="9">
        <v>0</v>
      </c>
      <c r="H394" s="70">
        <f t="shared" si="5"/>
        <v>0</v>
      </c>
      <c r="I394" s="11">
        <v>46069</v>
      </c>
      <c r="J394" s="11">
        <v>46066</v>
      </c>
      <c r="K394" s="13"/>
    </row>
    <row r="395" spans="1:11" ht="18" x14ac:dyDescent="0.4">
      <c r="A395" s="7" t="s">
        <v>719</v>
      </c>
      <c r="B395" s="7" t="s">
        <v>377</v>
      </c>
      <c r="C395" s="8">
        <v>36019</v>
      </c>
      <c r="D395" s="9">
        <v>552768830</v>
      </c>
      <c r="E395" s="57">
        <v>2200</v>
      </c>
      <c r="F395" s="10" t="s">
        <v>378</v>
      </c>
      <c r="G395" s="9">
        <v>0</v>
      </c>
      <c r="H395" s="70">
        <f t="shared" si="5"/>
        <v>0</v>
      </c>
      <c r="I395" s="11">
        <v>46069</v>
      </c>
      <c r="J395" s="11">
        <v>46066</v>
      </c>
      <c r="K395" s="13"/>
    </row>
    <row r="396" spans="1:11" ht="18" x14ac:dyDescent="0.4">
      <c r="A396" s="7" t="s">
        <v>719</v>
      </c>
      <c r="B396" s="7" t="s">
        <v>377</v>
      </c>
      <c r="C396" s="8">
        <v>36019</v>
      </c>
      <c r="D396" s="9">
        <v>552686720</v>
      </c>
      <c r="E396" s="57">
        <v>250</v>
      </c>
      <c r="F396" s="10" t="s">
        <v>379</v>
      </c>
      <c r="G396" s="9">
        <v>0</v>
      </c>
      <c r="H396" s="70">
        <f t="shared" si="5"/>
        <v>0</v>
      </c>
      <c r="I396" s="11">
        <v>46069</v>
      </c>
      <c r="J396" s="11">
        <v>46066</v>
      </c>
      <c r="K396" s="13"/>
    </row>
    <row r="397" spans="1:11" ht="18" x14ac:dyDescent="0.4">
      <c r="A397" s="7" t="s">
        <v>719</v>
      </c>
      <c r="B397" s="7" t="s">
        <v>377</v>
      </c>
      <c r="C397" s="8">
        <v>36019</v>
      </c>
      <c r="D397" s="9">
        <v>552693200</v>
      </c>
      <c r="E397" s="57">
        <v>1000</v>
      </c>
      <c r="F397" s="10" t="s">
        <v>380</v>
      </c>
      <c r="G397" s="9">
        <v>0</v>
      </c>
      <c r="H397" s="70">
        <f t="shared" si="5"/>
        <v>0</v>
      </c>
      <c r="I397" s="11">
        <v>46069</v>
      </c>
      <c r="J397" s="11">
        <v>46066</v>
      </c>
      <c r="K397" s="13"/>
    </row>
    <row r="398" spans="1:11" ht="18" x14ac:dyDescent="0.4">
      <c r="A398" s="7" t="s">
        <v>719</v>
      </c>
      <c r="B398" s="7" t="s">
        <v>377</v>
      </c>
      <c r="C398" s="8">
        <v>36019</v>
      </c>
      <c r="D398" s="9">
        <v>552728620</v>
      </c>
      <c r="E398" s="57">
        <v>1500</v>
      </c>
      <c r="F398" s="10" t="s">
        <v>381</v>
      </c>
      <c r="G398" s="9">
        <v>0</v>
      </c>
      <c r="H398" s="70">
        <f t="shared" si="5"/>
        <v>0</v>
      </c>
      <c r="I398" s="11">
        <v>46069</v>
      </c>
      <c r="J398" s="11">
        <v>46066</v>
      </c>
      <c r="K398" s="13"/>
    </row>
    <row r="399" spans="1:11" ht="18" x14ac:dyDescent="0.4">
      <c r="A399" s="7" t="s">
        <v>719</v>
      </c>
      <c r="B399" s="7" t="s">
        <v>377</v>
      </c>
      <c r="C399" s="8">
        <v>36019</v>
      </c>
      <c r="D399" s="9">
        <v>552679970</v>
      </c>
      <c r="E399" s="57">
        <v>1200</v>
      </c>
      <c r="F399" s="10" t="s">
        <v>382</v>
      </c>
      <c r="G399" s="9">
        <v>0</v>
      </c>
      <c r="H399" s="70">
        <f t="shared" si="5"/>
        <v>0</v>
      </c>
      <c r="I399" s="11">
        <v>46069</v>
      </c>
      <c r="J399" s="11">
        <v>46066</v>
      </c>
      <c r="K399" s="13"/>
    </row>
    <row r="400" spans="1:11" ht="18" x14ac:dyDescent="0.4">
      <c r="A400" s="7" t="s">
        <v>719</v>
      </c>
      <c r="B400" s="7" t="s">
        <v>377</v>
      </c>
      <c r="C400" s="8">
        <v>36019</v>
      </c>
      <c r="D400" s="9">
        <v>552677410</v>
      </c>
      <c r="E400" s="57">
        <v>200</v>
      </c>
      <c r="F400" s="10" t="s">
        <v>383</v>
      </c>
      <c r="G400" s="9">
        <v>0</v>
      </c>
      <c r="H400" s="70">
        <f t="shared" si="5"/>
        <v>0</v>
      </c>
      <c r="I400" s="11">
        <v>46069</v>
      </c>
      <c r="J400" s="11">
        <v>46066</v>
      </c>
      <c r="K400" s="13"/>
    </row>
    <row r="401" spans="1:11" ht="18" x14ac:dyDescent="0.4">
      <c r="A401" s="7" t="s">
        <v>719</v>
      </c>
      <c r="B401" s="7" t="s">
        <v>377</v>
      </c>
      <c r="C401" s="8">
        <v>36019</v>
      </c>
      <c r="D401" s="9">
        <v>463535790</v>
      </c>
      <c r="E401" s="57">
        <v>700</v>
      </c>
      <c r="F401" s="10" t="s">
        <v>384</v>
      </c>
      <c r="G401" s="9">
        <v>0</v>
      </c>
      <c r="H401" s="70">
        <f t="shared" si="5"/>
        <v>0</v>
      </c>
      <c r="I401" s="11">
        <v>46069</v>
      </c>
      <c r="J401" s="11">
        <v>46066</v>
      </c>
      <c r="K401" s="13"/>
    </row>
    <row r="402" spans="1:11" ht="18" x14ac:dyDescent="0.4">
      <c r="A402" s="7" t="s">
        <v>719</v>
      </c>
      <c r="B402" s="7" t="s">
        <v>377</v>
      </c>
      <c r="C402" s="8">
        <v>36019</v>
      </c>
      <c r="D402" s="9">
        <v>463589540</v>
      </c>
      <c r="E402" s="57">
        <v>150</v>
      </c>
      <c r="F402" s="10" t="s">
        <v>385</v>
      </c>
      <c r="G402" s="9">
        <v>0</v>
      </c>
      <c r="H402" s="70">
        <f t="shared" si="5"/>
        <v>0</v>
      </c>
      <c r="I402" s="11">
        <v>46069</v>
      </c>
      <c r="J402" s="11">
        <v>46066</v>
      </c>
      <c r="K402" s="13"/>
    </row>
    <row r="403" spans="1:11" ht="18" x14ac:dyDescent="0.4">
      <c r="A403" s="7" t="s">
        <v>719</v>
      </c>
      <c r="B403" s="7" t="s">
        <v>377</v>
      </c>
      <c r="C403" s="8">
        <v>36019</v>
      </c>
      <c r="D403" s="9">
        <v>463586380</v>
      </c>
      <c r="E403" s="57">
        <v>3000</v>
      </c>
      <c r="F403" s="10" t="s">
        <v>386</v>
      </c>
      <c r="G403" s="9">
        <v>0</v>
      </c>
      <c r="H403" s="70">
        <f t="shared" si="5"/>
        <v>0</v>
      </c>
      <c r="I403" s="11">
        <v>46069</v>
      </c>
      <c r="J403" s="11">
        <v>46066</v>
      </c>
      <c r="K403" s="13"/>
    </row>
    <row r="404" spans="1:11" ht="18" x14ac:dyDescent="0.4">
      <c r="A404" s="7" t="s">
        <v>719</v>
      </c>
      <c r="B404" s="7" t="s">
        <v>377</v>
      </c>
      <c r="C404" s="8">
        <v>36019</v>
      </c>
      <c r="D404" s="9">
        <v>552636100</v>
      </c>
      <c r="E404" s="57">
        <v>200</v>
      </c>
      <c r="F404" s="10" t="s">
        <v>387</v>
      </c>
      <c r="G404" s="9">
        <v>0</v>
      </c>
      <c r="H404" s="70">
        <f t="shared" si="5"/>
        <v>0</v>
      </c>
      <c r="I404" s="11">
        <v>46069</v>
      </c>
      <c r="J404" s="11">
        <v>46066</v>
      </c>
      <c r="K404" s="13"/>
    </row>
    <row r="405" spans="1:11" ht="18" x14ac:dyDescent="0.4">
      <c r="A405" s="7" t="s">
        <v>719</v>
      </c>
      <c r="B405" s="7" t="s">
        <v>377</v>
      </c>
      <c r="C405" s="8">
        <v>36019</v>
      </c>
      <c r="D405" s="9">
        <v>135435340</v>
      </c>
      <c r="E405" s="57">
        <v>900</v>
      </c>
      <c r="F405" s="10" t="s">
        <v>388</v>
      </c>
      <c r="G405" s="9">
        <v>0</v>
      </c>
      <c r="H405" s="70">
        <f t="shared" si="5"/>
        <v>0</v>
      </c>
      <c r="I405" s="11">
        <v>46069</v>
      </c>
      <c r="J405" s="11">
        <v>46066</v>
      </c>
      <c r="K405" s="13"/>
    </row>
    <row r="406" spans="1:11" ht="18" x14ac:dyDescent="0.4">
      <c r="A406" s="7" t="s">
        <v>719</v>
      </c>
      <c r="B406" s="7" t="s">
        <v>377</v>
      </c>
      <c r="C406" s="8">
        <v>36019</v>
      </c>
      <c r="D406" s="9">
        <v>552739160</v>
      </c>
      <c r="E406" s="57">
        <v>500</v>
      </c>
      <c r="F406" s="10" t="s">
        <v>389</v>
      </c>
      <c r="G406" s="9">
        <v>0</v>
      </c>
      <c r="H406" s="70">
        <f t="shared" si="5"/>
        <v>0</v>
      </c>
      <c r="I406" s="11">
        <v>46069</v>
      </c>
      <c r="J406" s="11">
        <v>46066</v>
      </c>
      <c r="K406" s="13"/>
    </row>
    <row r="407" spans="1:11" ht="18" x14ac:dyDescent="0.4">
      <c r="A407" s="7" t="s">
        <v>719</v>
      </c>
      <c r="B407" s="7" t="s">
        <v>377</v>
      </c>
      <c r="C407" s="8">
        <v>36019</v>
      </c>
      <c r="D407" s="9">
        <v>187502240</v>
      </c>
      <c r="E407" s="57">
        <v>1400</v>
      </c>
      <c r="F407" s="10" t="s">
        <v>348</v>
      </c>
      <c r="G407" s="9">
        <v>0</v>
      </c>
      <c r="H407" s="70">
        <f t="shared" si="5"/>
        <v>0</v>
      </c>
      <c r="I407" s="11">
        <v>46069</v>
      </c>
      <c r="J407" s="11">
        <v>46066</v>
      </c>
      <c r="K407" s="13"/>
    </row>
    <row r="408" spans="1:11" ht="18" x14ac:dyDescent="0.4">
      <c r="A408" s="7" t="s">
        <v>719</v>
      </c>
      <c r="B408" s="7" t="s">
        <v>377</v>
      </c>
      <c r="C408" s="8">
        <v>36019</v>
      </c>
      <c r="D408" s="9">
        <v>463375300</v>
      </c>
      <c r="E408" s="57">
        <v>1000</v>
      </c>
      <c r="F408" s="10" t="s">
        <v>390</v>
      </c>
      <c r="G408" s="9">
        <v>0</v>
      </c>
      <c r="H408" s="70">
        <f t="shared" si="5"/>
        <v>0</v>
      </c>
      <c r="I408" s="11">
        <v>46069</v>
      </c>
      <c r="J408" s="11">
        <v>46066</v>
      </c>
      <c r="K408" s="13"/>
    </row>
    <row r="409" spans="1:11" ht="18" x14ac:dyDescent="0.4">
      <c r="A409" s="7" t="s">
        <v>719</v>
      </c>
      <c r="B409" s="7" t="s">
        <v>697</v>
      </c>
      <c r="C409" s="8">
        <v>47104</v>
      </c>
      <c r="D409" s="9">
        <v>463361830</v>
      </c>
      <c r="E409" s="57">
        <v>240</v>
      </c>
      <c r="F409" s="10" t="s">
        <v>23</v>
      </c>
      <c r="G409" s="9">
        <v>0</v>
      </c>
      <c r="H409" s="70">
        <f t="shared" si="5"/>
        <v>0</v>
      </c>
      <c r="I409" s="11">
        <v>46069</v>
      </c>
      <c r="J409" s="11">
        <v>46066</v>
      </c>
      <c r="K409" s="13"/>
    </row>
    <row r="410" spans="1:11" ht="18" x14ac:dyDescent="0.4">
      <c r="A410" s="7" t="s">
        <v>719</v>
      </c>
      <c r="B410" s="7" t="s">
        <v>697</v>
      </c>
      <c r="C410" s="8">
        <v>47104</v>
      </c>
      <c r="D410" s="9">
        <v>463361840</v>
      </c>
      <c r="E410" s="57">
        <v>240</v>
      </c>
      <c r="F410" s="10" t="s">
        <v>23</v>
      </c>
      <c r="G410" s="9">
        <v>0</v>
      </c>
      <c r="H410" s="70">
        <f t="shared" si="5"/>
        <v>0</v>
      </c>
      <c r="I410" s="11">
        <v>46069</v>
      </c>
      <c r="J410" s="11">
        <v>46066</v>
      </c>
      <c r="K410" s="13"/>
    </row>
    <row r="411" spans="1:11" ht="18" x14ac:dyDescent="0.4">
      <c r="A411" s="7" t="s">
        <v>719</v>
      </c>
      <c r="B411" s="7" t="s">
        <v>250</v>
      </c>
      <c r="C411" s="8">
        <v>37866</v>
      </c>
      <c r="D411" s="9">
        <v>463518860</v>
      </c>
      <c r="E411" s="57">
        <v>120</v>
      </c>
      <c r="F411" s="10" t="s">
        <v>392</v>
      </c>
      <c r="G411" s="9">
        <v>0</v>
      </c>
      <c r="H411" s="70">
        <f t="shared" si="5"/>
        <v>0</v>
      </c>
      <c r="I411" s="11">
        <v>46069</v>
      </c>
      <c r="J411" s="11">
        <v>46066</v>
      </c>
      <c r="K411" s="13"/>
    </row>
    <row r="412" spans="1:11" ht="18" x14ac:dyDescent="0.4">
      <c r="A412" s="7" t="s">
        <v>719</v>
      </c>
      <c r="B412" s="7" t="s">
        <v>250</v>
      </c>
      <c r="C412" s="8">
        <v>37866</v>
      </c>
      <c r="D412" s="9">
        <v>463550740</v>
      </c>
      <c r="E412" s="57">
        <v>120</v>
      </c>
      <c r="F412" s="10" t="s">
        <v>392</v>
      </c>
      <c r="G412" s="9">
        <v>0</v>
      </c>
      <c r="H412" s="70">
        <f t="shared" si="5"/>
        <v>0</v>
      </c>
      <c r="I412" s="11">
        <v>46069</v>
      </c>
      <c r="J412" s="11">
        <v>46066</v>
      </c>
      <c r="K412" s="13"/>
    </row>
    <row r="413" spans="1:11" ht="18" x14ac:dyDescent="0.4">
      <c r="A413" s="7" t="s">
        <v>719</v>
      </c>
      <c r="B413" s="7" t="s">
        <v>250</v>
      </c>
      <c r="C413" s="8">
        <v>37866</v>
      </c>
      <c r="D413" s="9">
        <v>463528570</v>
      </c>
      <c r="E413" s="57">
        <v>120</v>
      </c>
      <c r="F413" s="10" t="s">
        <v>393</v>
      </c>
      <c r="G413" s="9">
        <v>0</v>
      </c>
      <c r="H413" s="70">
        <f t="shared" si="5"/>
        <v>0</v>
      </c>
      <c r="I413" s="11">
        <v>46069</v>
      </c>
      <c r="J413" s="11">
        <v>46066</v>
      </c>
      <c r="K413" s="13"/>
    </row>
    <row r="414" spans="1:11" ht="18" x14ac:dyDescent="0.4">
      <c r="A414" s="7" t="s">
        <v>719</v>
      </c>
      <c r="B414" s="7" t="s">
        <v>250</v>
      </c>
      <c r="C414" s="8">
        <v>37866</v>
      </c>
      <c r="D414" s="9">
        <v>463584820</v>
      </c>
      <c r="E414" s="57">
        <v>120</v>
      </c>
      <c r="F414" s="10" t="s">
        <v>394</v>
      </c>
      <c r="G414" s="9">
        <v>0</v>
      </c>
      <c r="H414" s="70">
        <f t="shared" si="5"/>
        <v>0</v>
      </c>
      <c r="I414" s="11">
        <v>46069</v>
      </c>
      <c r="J414" s="11">
        <v>46066</v>
      </c>
      <c r="K414" s="13"/>
    </row>
    <row r="415" spans="1:11" ht="18" x14ac:dyDescent="0.4">
      <c r="A415" s="7" t="s">
        <v>719</v>
      </c>
      <c r="B415" s="7" t="s">
        <v>250</v>
      </c>
      <c r="C415" s="8">
        <v>37866</v>
      </c>
      <c r="D415" s="9">
        <v>463584840</v>
      </c>
      <c r="E415" s="57">
        <v>120</v>
      </c>
      <c r="F415" s="10" t="s">
        <v>394</v>
      </c>
      <c r="G415" s="9">
        <v>0</v>
      </c>
      <c r="H415" s="70">
        <f t="shared" si="5"/>
        <v>0</v>
      </c>
      <c r="I415" s="11">
        <v>46069</v>
      </c>
      <c r="J415" s="11">
        <v>46066</v>
      </c>
      <c r="K415" s="13"/>
    </row>
    <row r="416" spans="1:11" ht="18" x14ac:dyDescent="0.4">
      <c r="A416" s="7" t="s">
        <v>719</v>
      </c>
      <c r="B416" s="7" t="s">
        <v>250</v>
      </c>
      <c r="C416" s="8">
        <v>37866</v>
      </c>
      <c r="D416" s="9">
        <v>463510130</v>
      </c>
      <c r="E416" s="57">
        <v>120</v>
      </c>
      <c r="F416" s="10" t="s">
        <v>394</v>
      </c>
      <c r="G416" s="9">
        <v>0</v>
      </c>
      <c r="H416" s="70">
        <f t="shared" ref="H416:H479" si="6">+G416/E416</f>
        <v>0</v>
      </c>
      <c r="I416" s="11">
        <v>46069</v>
      </c>
      <c r="J416" s="11">
        <v>46066</v>
      </c>
      <c r="K416" s="13"/>
    </row>
    <row r="417" spans="1:11" ht="18" x14ac:dyDescent="0.4">
      <c r="A417" s="7" t="s">
        <v>719</v>
      </c>
      <c r="B417" s="7" t="s">
        <v>250</v>
      </c>
      <c r="C417" s="8">
        <v>37866</v>
      </c>
      <c r="D417" s="9">
        <v>463584860</v>
      </c>
      <c r="E417" s="57">
        <v>120</v>
      </c>
      <c r="F417" s="37" t="s">
        <v>394</v>
      </c>
      <c r="G417" s="9">
        <v>0</v>
      </c>
      <c r="H417" s="70">
        <f t="shared" si="6"/>
        <v>0</v>
      </c>
      <c r="I417" s="11">
        <v>46069</v>
      </c>
      <c r="J417" s="11">
        <v>46066</v>
      </c>
      <c r="K417" s="13"/>
    </row>
    <row r="418" spans="1:11" ht="18" x14ac:dyDescent="0.4">
      <c r="A418" s="7" t="s">
        <v>719</v>
      </c>
      <c r="B418" s="7" t="s">
        <v>250</v>
      </c>
      <c r="C418" s="8">
        <v>37866</v>
      </c>
      <c r="D418" s="9">
        <v>463584880</v>
      </c>
      <c r="E418" s="57">
        <v>120</v>
      </c>
      <c r="F418" s="10" t="s">
        <v>394</v>
      </c>
      <c r="G418" s="9">
        <v>0</v>
      </c>
      <c r="H418" s="70">
        <f t="shared" si="6"/>
        <v>0</v>
      </c>
      <c r="I418" s="11">
        <v>46069</v>
      </c>
      <c r="J418" s="11">
        <v>46066</v>
      </c>
      <c r="K418" s="13"/>
    </row>
    <row r="419" spans="1:11" ht="18" x14ac:dyDescent="0.4">
      <c r="A419" s="7" t="s">
        <v>719</v>
      </c>
      <c r="B419" s="7" t="s">
        <v>250</v>
      </c>
      <c r="C419" s="8">
        <v>37866</v>
      </c>
      <c r="D419" s="9">
        <v>463584830</v>
      </c>
      <c r="E419" s="57">
        <v>120</v>
      </c>
      <c r="F419" s="37" t="s">
        <v>394</v>
      </c>
      <c r="G419" s="9">
        <v>0</v>
      </c>
      <c r="H419" s="70">
        <f t="shared" si="6"/>
        <v>0</v>
      </c>
      <c r="I419" s="11">
        <v>46069</v>
      </c>
      <c r="J419" s="11">
        <v>46066</v>
      </c>
      <c r="K419" s="13"/>
    </row>
    <row r="420" spans="1:11" ht="18" x14ac:dyDescent="0.4">
      <c r="A420" s="7" t="s">
        <v>719</v>
      </c>
      <c r="B420" s="7" t="s">
        <v>250</v>
      </c>
      <c r="C420" s="8">
        <v>37866</v>
      </c>
      <c r="D420" s="9">
        <v>463584870</v>
      </c>
      <c r="E420" s="57">
        <v>120</v>
      </c>
      <c r="F420" s="10" t="s">
        <v>394</v>
      </c>
      <c r="G420" s="9">
        <v>0</v>
      </c>
      <c r="H420" s="70">
        <f t="shared" si="6"/>
        <v>0</v>
      </c>
      <c r="I420" s="11">
        <v>46069</v>
      </c>
      <c r="J420" s="11">
        <v>46066</v>
      </c>
      <c r="K420" s="13"/>
    </row>
    <row r="421" spans="1:11" ht="18" x14ac:dyDescent="0.4">
      <c r="A421" s="7" t="s">
        <v>719</v>
      </c>
      <c r="B421" s="7" t="s">
        <v>250</v>
      </c>
      <c r="C421" s="8">
        <v>37866</v>
      </c>
      <c r="D421" s="9">
        <v>463569360</v>
      </c>
      <c r="E421" s="57">
        <v>120</v>
      </c>
      <c r="F421" s="10" t="s">
        <v>394</v>
      </c>
      <c r="G421" s="9">
        <v>0</v>
      </c>
      <c r="H421" s="70">
        <f t="shared" si="6"/>
        <v>0</v>
      </c>
      <c r="I421" s="11">
        <v>46069</v>
      </c>
      <c r="J421" s="11">
        <v>46066</v>
      </c>
      <c r="K421" s="13"/>
    </row>
    <row r="422" spans="1:11" ht="18" x14ac:dyDescent="0.4">
      <c r="A422" s="7" t="s">
        <v>719</v>
      </c>
      <c r="B422" s="7" t="s">
        <v>250</v>
      </c>
      <c r="C422" s="8">
        <v>37866</v>
      </c>
      <c r="D422" s="9">
        <v>463579240</v>
      </c>
      <c r="E422" s="57">
        <v>120</v>
      </c>
      <c r="F422" s="10" t="s">
        <v>394</v>
      </c>
      <c r="G422" s="9">
        <v>0</v>
      </c>
      <c r="H422" s="70">
        <f t="shared" si="6"/>
        <v>0</v>
      </c>
      <c r="I422" s="11">
        <v>46069</v>
      </c>
      <c r="J422" s="11">
        <v>46066</v>
      </c>
      <c r="K422" s="13"/>
    </row>
    <row r="423" spans="1:11" ht="18" x14ac:dyDescent="0.4">
      <c r="A423" s="7" t="s">
        <v>719</v>
      </c>
      <c r="B423" s="7" t="s">
        <v>250</v>
      </c>
      <c r="C423" s="8">
        <v>37866</v>
      </c>
      <c r="D423" s="9">
        <v>463579360</v>
      </c>
      <c r="E423" s="57">
        <v>120</v>
      </c>
      <c r="F423" s="10" t="s">
        <v>394</v>
      </c>
      <c r="G423" s="9">
        <v>0</v>
      </c>
      <c r="H423" s="70">
        <f t="shared" si="6"/>
        <v>0</v>
      </c>
      <c r="I423" s="11">
        <v>46069</v>
      </c>
      <c r="J423" s="11">
        <v>46066</v>
      </c>
      <c r="K423" s="13"/>
    </row>
    <row r="424" spans="1:11" ht="18" x14ac:dyDescent="0.4">
      <c r="A424" s="7" t="s">
        <v>719</v>
      </c>
      <c r="B424" s="7" t="s">
        <v>250</v>
      </c>
      <c r="C424" s="8">
        <v>37866</v>
      </c>
      <c r="D424" s="9">
        <v>463579680</v>
      </c>
      <c r="E424" s="57">
        <v>120</v>
      </c>
      <c r="F424" s="10" t="s">
        <v>394</v>
      </c>
      <c r="G424" s="9">
        <v>0</v>
      </c>
      <c r="H424" s="70">
        <f t="shared" si="6"/>
        <v>0</v>
      </c>
      <c r="I424" s="11">
        <v>46069</v>
      </c>
      <c r="J424" s="11">
        <v>46066</v>
      </c>
      <c r="K424" s="13"/>
    </row>
    <row r="425" spans="1:11" ht="18" x14ac:dyDescent="0.4">
      <c r="A425" s="7" t="s">
        <v>719</v>
      </c>
      <c r="B425" s="7" t="s">
        <v>250</v>
      </c>
      <c r="C425" s="8">
        <v>37866</v>
      </c>
      <c r="D425" s="9">
        <v>463579760</v>
      </c>
      <c r="E425" s="57">
        <v>120</v>
      </c>
      <c r="F425" s="10" t="s">
        <v>394</v>
      </c>
      <c r="G425" s="9">
        <v>0</v>
      </c>
      <c r="H425" s="70">
        <f t="shared" si="6"/>
        <v>0</v>
      </c>
      <c r="I425" s="11">
        <v>46069</v>
      </c>
      <c r="J425" s="11">
        <v>46066</v>
      </c>
      <c r="K425" s="13"/>
    </row>
    <row r="426" spans="1:11" ht="18" x14ac:dyDescent="0.4">
      <c r="A426" s="7" t="s">
        <v>719</v>
      </c>
      <c r="B426" s="7" t="s">
        <v>250</v>
      </c>
      <c r="C426" s="8">
        <v>37866</v>
      </c>
      <c r="D426" s="9">
        <v>463579900</v>
      </c>
      <c r="E426" s="57">
        <v>120</v>
      </c>
      <c r="F426" s="10" t="s">
        <v>394</v>
      </c>
      <c r="G426" s="9">
        <v>0</v>
      </c>
      <c r="H426" s="70">
        <f t="shared" si="6"/>
        <v>0</v>
      </c>
      <c r="I426" s="11">
        <v>46069</v>
      </c>
      <c r="J426" s="11">
        <v>46066</v>
      </c>
      <c r="K426" s="13"/>
    </row>
    <row r="427" spans="1:11" ht="18" x14ac:dyDescent="0.4">
      <c r="A427" s="7" t="s">
        <v>719</v>
      </c>
      <c r="B427" s="7" t="s">
        <v>250</v>
      </c>
      <c r="C427" s="8">
        <v>37866</v>
      </c>
      <c r="D427" s="9">
        <v>463580810</v>
      </c>
      <c r="E427" s="57">
        <v>120</v>
      </c>
      <c r="F427" s="10" t="s">
        <v>394</v>
      </c>
      <c r="G427" s="9">
        <v>0</v>
      </c>
      <c r="H427" s="70">
        <f t="shared" si="6"/>
        <v>0</v>
      </c>
      <c r="I427" s="11">
        <v>46069</v>
      </c>
      <c r="J427" s="11">
        <v>46066</v>
      </c>
      <c r="K427" s="13"/>
    </row>
    <row r="428" spans="1:11" ht="18" x14ac:dyDescent="0.4">
      <c r="A428" s="7" t="s">
        <v>719</v>
      </c>
      <c r="B428" s="7" t="s">
        <v>250</v>
      </c>
      <c r="C428" s="8">
        <v>37866</v>
      </c>
      <c r="D428" s="9">
        <v>463513260</v>
      </c>
      <c r="E428" s="57">
        <v>120</v>
      </c>
      <c r="F428" s="10" t="s">
        <v>395</v>
      </c>
      <c r="G428" s="9">
        <v>0</v>
      </c>
      <c r="H428" s="70">
        <f t="shared" si="6"/>
        <v>0</v>
      </c>
      <c r="I428" s="11">
        <v>46069</v>
      </c>
      <c r="J428" s="11">
        <v>46066</v>
      </c>
      <c r="K428" s="13"/>
    </row>
    <row r="429" spans="1:11" ht="18" x14ac:dyDescent="0.4">
      <c r="A429" s="7" t="s">
        <v>719</v>
      </c>
      <c r="B429" s="7" t="s">
        <v>396</v>
      </c>
      <c r="C429" s="8">
        <v>10675</v>
      </c>
      <c r="D429" s="9">
        <v>552678530</v>
      </c>
      <c r="E429" s="57">
        <v>2160</v>
      </c>
      <c r="F429" s="10" t="s">
        <v>397</v>
      </c>
      <c r="G429" s="9">
        <v>0</v>
      </c>
      <c r="H429" s="70">
        <f t="shared" si="6"/>
        <v>0</v>
      </c>
      <c r="I429" s="11">
        <v>46069</v>
      </c>
      <c r="J429" s="11">
        <v>46066</v>
      </c>
      <c r="K429" s="13"/>
    </row>
    <row r="430" spans="1:11" ht="18" x14ac:dyDescent="0.4">
      <c r="A430" s="7" t="s">
        <v>719</v>
      </c>
      <c r="B430" s="7" t="s">
        <v>396</v>
      </c>
      <c r="C430" s="8">
        <v>10675</v>
      </c>
      <c r="D430" s="9">
        <v>552755990</v>
      </c>
      <c r="E430" s="57">
        <v>2160</v>
      </c>
      <c r="F430" s="10" t="s">
        <v>398</v>
      </c>
      <c r="G430" s="9">
        <v>0</v>
      </c>
      <c r="H430" s="70">
        <f t="shared" si="6"/>
        <v>0</v>
      </c>
      <c r="I430" s="11">
        <v>46069</v>
      </c>
      <c r="J430" s="11">
        <v>46066</v>
      </c>
      <c r="K430" s="13"/>
    </row>
    <row r="431" spans="1:11" ht="18" x14ac:dyDescent="0.4">
      <c r="A431" s="7" t="s">
        <v>719</v>
      </c>
      <c r="B431" s="7" t="s">
        <v>399</v>
      </c>
      <c r="C431" s="8">
        <v>32572</v>
      </c>
      <c r="D431" s="9">
        <v>552679980</v>
      </c>
      <c r="E431" s="57">
        <v>720</v>
      </c>
      <c r="F431" s="10" t="s">
        <v>400</v>
      </c>
      <c r="G431" s="9">
        <v>0</v>
      </c>
      <c r="H431" s="70">
        <f t="shared" si="6"/>
        <v>0</v>
      </c>
      <c r="I431" s="11">
        <v>46069</v>
      </c>
      <c r="J431" s="11">
        <v>46066</v>
      </c>
      <c r="K431" s="13"/>
    </row>
    <row r="432" spans="1:11" ht="18" x14ac:dyDescent="0.4">
      <c r="A432" s="7" t="s">
        <v>719</v>
      </c>
      <c r="B432" s="7" t="s">
        <v>401</v>
      </c>
      <c r="C432" s="8">
        <v>31610</v>
      </c>
      <c r="D432" s="9">
        <v>552681700</v>
      </c>
      <c r="E432" s="57">
        <v>420</v>
      </c>
      <c r="F432" s="10" t="s">
        <v>402</v>
      </c>
      <c r="G432" s="9">
        <v>0</v>
      </c>
      <c r="H432" s="70">
        <f t="shared" si="6"/>
        <v>0</v>
      </c>
      <c r="I432" s="11">
        <v>46069</v>
      </c>
      <c r="J432" s="11">
        <v>46066</v>
      </c>
      <c r="K432" s="13"/>
    </row>
    <row r="433" spans="1:11" ht="18" x14ac:dyDescent="0.4">
      <c r="A433" s="7" t="s">
        <v>719</v>
      </c>
      <c r="B433" s="7" t="s">
        <v>401</v>
      </c>
      <c r="C433" s="8">
        <v>31610</v>
      </c>
      <c r="D433" s="9">
        <v>552678490</v>
      </c>
      <c r="E433" s="57">
        <v>520</v>
      </c>
      <c r="F433" s="10" t="s">
        <v>402</v>
      </c>
      <c r="G433" s="9">
        <v>0</v>
      </c>
      <c r="H433" s="70">
        <f t="shared" si="6"/>
        <v>0</v>
      </c>
      <c r="I433" s="11">
        <v>46069</v>
      </c>
      <c r="J433" s="11">
        <v>46066</v>
      </c>
      <c r="K433" s="13"/>
    </row>
    <row r="434" spans="1:11" ht="18" x14ac:dyDescent="0.4">
      <c r="A434" s="7" t="s">
        <v>719</v>
      </c>
      <c r="B434" s="7" t="s">
        <v>403</v>
      </c>
      <c r="C434" s="8">
        <v>34836</v>
      </c>
      <c r="D434" s="9">
        <v>552793140</v>
      </c>
      <c r="E434" s="57">
        <v>720</v>
      </c>
      <c r="F434" s="10" t="s">
        <v>404</v>
      </c>
      <c r="G434" s="9">
        <v>0</v>
      </c>
      <c r="H434" s="70">
        <f t="shared" si="6"/>
        <v>0</v>
      </c>
      <c r="I434" s="11">
        <v>46069</v>
      </c>
      <c r="J434" s="11">
        <v>46066</v>
      </c>
      <c r="K434" s="13"/>
    </row>
    <row r="435" spans="1:11" ht="18" x14ac:dyDescent="0.4">
      <c r="A435" s="7" t="s">
        <v>719</v>
      </c>
      <c r="B435" s="7" t="s">
        <v>403</v>
      </c>
      <c r="C435" s="8">
        <v>34836</v>
      </c>
      <c r="D435" s="9">
        <v>552793150</v>
      </c>
      <c r="E435" s="57">
        <v>720</v>
      </c>
      <c r="F435" s="10" t="s">
        <v>405</v>
      </c>
      <c r="G435" s="9">
        <v>0</v>
      </c>
      <c r="H435" s="70">
        <f t="shared" si="6"/>
        <v>0</v>
      </c>
      <c r="I435" s="11">
        <v>46069</v>
      </c>
      <c r="J435" s="11">
        <v>46066</v>
      </c>
      <c r="K435" s="13"/>
    </row>
    <row r="436" spans="1:11" ht="18" x14ac:dyDescent="0.4">
      <c r="A436" s="7" t="s">
        <v>719</v>
      </c>
      <c r="B436" s="7" t="s">
        <v>403</v>
      </c>
      <c r="C436" s="8">
        <v>34836</v>
      </c>
      <c r="D436" s="9">
        <v>552793160</v>
      </c>
      <c r="E436" s="57">
        <v>720</v>
      </c>
      <c r="F436" s="10" t="s">
        <v>406</v>
      </c>
      <c r="G436" s="9">
        <v>0</v>
      </c>
      <c r="H436" s="70">
        <f t="shared" si="6"/>
        <v>0</v>
      </c>
      <c r="I436" s="11">
        <v>46069</v>
      </c>
      <c r="J436" s="11">
        <v>46066</v>
      </c>
      <c r="K436" s="13"/>
    </row>
    <row r="437" spans="1:11" ht="18" x14ac:dyDescent="0.4">
      <c r="A437" s="7" t="s">
        <v>719</v>
      </c>
      <c r="B437" s="7" t="s">
        <v>403</v>
      </c>
      <c r="C437" s="8">
        <v>34836</v>
      </c>
      <c r="D437" s="9">
        <v>552677750</v>
      </c>
      <c r="E437" s="57">
        <v>480</v>
      </c>
      <c r="F437" s="10" t="s">
        <v>144</v>
      </c>
      <c r="G437" s="9">
        <v>0</v>
      </c>
      <c r="H437" s="70">
        <f t="shared" si="6"/>
        <v>0</v>
      </c>
      <c r="I437" s="11">
        <v>46069</v>
      </c>
      <c r="J437" s="11">
        <v>46066</v>
      </c>
      <c r="K437" s="13"/>
    </row>
    <row r="438" spans="1:11" ht="18" x14ac:dyDescent="0.4">
      <c r="A438" s="7" t="s">
        <v>719</v>
      </c>
      <c r="B438" s="7" t="s">
        <v>403</v>
      </c>
      <c r="C438" s="8">
        <v>34836</v>
      </c>
      <c r="D438" s="9">
        <v>552677760</v>
      </c>
      <c r="E438" s="57">
        <v>480</v>
      </c>
      <c r="F438" s="10" t="s">
        <v>145</v>
      </c>
      <c r="G438" s="9">
        <v>0</v>
      </c>
      <c r="H438" s="70">
        <f t="shared" si="6"/>
        <v>0</v>
      </c>
      <c r="I438" s="11">
        <v>46069</v>
      </c>
      <c r="J438" s="11">
        <v>46066</v>
      </c>
      <c r="K438" s="13"/>
    </row>
    <row r="439" spans="1:11" ht="18" x14ac:dyDescent="0.4">
      <c r="A439" s="7" t="s">
        <v>719</v>
      </c>
      <c r="B439" s="7" t="s">
        <v>403</v>
      </c>
      <c r="C439" s="8">
        <v>34836</v>
      </c>
      <c r="D439" s="9">
        <v>552677770</v>
      </c>
      <c r="E439" s="57">
        <v>480</v>
      </c>
      <c r="F439" s="10" t="s">
        <v>146</v>
      </c>
      <c r="G439" s="9">
        <v>0</v>
      </c>
      <c r="H439" s="70">
        <f t="shared" si="6"/>
        <v>0</v>
      </c>
      <c r="I439" s="11">
        <v>46069</v>
      </c>
      <c r="J439" s="11">
        <v>46066</v>
      </c>
      <c r="K439" s="13"/>
    </row>
    <row r="440" spans="1:11" ht="18" x14ac:dyDescent="0.4">
      <c r="A440" s="7" t="s">
        <v>719</v>
      </c>
      <c r="B440" s="7" t="s">
        <v>403</v>
      </c>
      <c r="C440" s="8">
        <v>34836</v>
      </c>
      <c r="D440" s="9">
        <v>552677810</v>
      </c>
      <c r="E440" s="57">
        <v>480</v>
      </c>
      <c r="F440" s="10" t="s">
        <v>147</v>
      </c>
      <c r="G440" s="9">
        <v>0</v>
      </c>
      <c r="H440" s="70">
        <f t="shared" si="6"/>
        <v>0</v>
      </c>
      <c r="I440" s="11">
        <v>46069</v>
      </c>
      <c r="J440" s="11">
        <v>46066</v>
      </c>
      <c r="K440" s="13"/>
    </row>
    <row r="441" spans="1:11" ht="18" x14ac:dyDescent="0.4">
      <c r="A441" s="7" t="s">
        <v>719</v>
      </c>
      <c r="B441" s="7" t="s">
        <v>403</v>
      </c>
      <c r="C441" s="8">
        <v>34836</v>
      </c>
      <c r="D441" s="9">
        <v>552677820</v>
      </c>
      <c r="E441" s="57">
        <v>480</v>
      </c>
      <c r="F441" s="10" t="s">
        <v>148</v>
      </c>
      <c r="G441" s="9">
        <v>0</v>
      </c>
      <c r="H441" s="70">
        <f t="shared" si="6"/>
        <v>0</v>
      </c>
      <c r="I441" s="11">
        <v>46069</v>
      </c>
      <c r="J441" s="11">
        <v>46066</v>
      </c>
      <c r="K441" s="13"/>
    </row>
    <row r="442" spans="1:11" ht="18" x14ac:dyDescent="0.4">
      <c r="A442" s="7" t="s">
        <v>719</v>
      </c>
      <c r="B442" s="7" t="s">
        <v>403</v>
      </c>
      <c r="C442" s="8">
        <v>34836</v>
      </c>
      <c r="D442" s="9">
        <v>552677830</v>
      </c>
      <c r="E442" s="57">
        <v>480</v>
      </c>
      <c r="F442" s="10" t="s">
        <v>149</v>
      </c>
      <c r="G442" s="9">
        <v>0</v>
      </c>
      <c r="H442" s="70">
        <f t="shared" si="6"/>
        <v>0</v>
      </c>
      <c r="I442" s="11">
        <v>46069</v>
      </c>
      <c r="J442" s="11">
        <v>46066</v>
      </c>
      <c r="K442" s="13"/>
    </row>
    <row r="443" spans="1:11" ht="18" x14ac:dyDescent="0.4">
      <c r="A443" s="7" t="s">
        <v>719</v>
      </c>
      <c r="B443" s="7" t="s">
        <v>403</v>
      </c>
      <c r="C443" s="8">
        <v>34836</v>
      </c>
      <c r="D443" s="9">
        <v>552679480</v>
      </c>
      <c r="E443" s="57">
        <v>600</v>
      </c>
      <c r="F443" s="10" t="s">
        <v>407</v>
      </c>
      <c r="G443" s="9">
        <v>0</v>
      </c>
      <c r="H443" s="70">
        <f t="shared" si="6"/>
        <v>0</v>
      </c>
      <c r="I443" s="11">
        <v>46069</v>
      </c>
      <c r="J443" s="11">
        <v>46066</v>
      </c>
      <c r="K443" s="13"/>
    </row>
    <row r="444" spans="1:11" ht="18" x14ac:dyDescent="0.4">
      <c r="A444" s="7" t="s">
        <v>719</v>
      </c>
      <c r="B444" s="7" t="s">
        <v>403</v>
      </c>
      <c r="C444" s="8">
        <v>34836</v>
      </c>
      <c r="D444" s="9">
        <v>552679440</v>
      </c>
      <c r="E444" s="57">
        <v>550</v>
      </c>
      <c r="F444" s="10" t="s">
        <v>408</v>
      </c>
      <c r="G444" s="9">
        <v>0</v>
      </c>
      <c r="H444" s="70">
        <f t="shared" si="6"/>
        <v>0</v>
      </c>
      <c r="I444" s="11">
        <v>46069</v>
      </c>
      <c r="J444" s="11">
        <v>46066</v>
      </c>
      <c r="K444" s="13"/>
    </row>
    <row r="445" spans="1:11" ht="18" x14ac:dyDescent="0.4">
      <c r="A445" s="7" t="s">
        <v>719</v>
      </c>
      <c r="B445" s="7" t="s">
        <v>403</v>
      </c>
      <c r="C445" s="8">
        <v>34836</v>
      </c>
      <c r="D445" s="9">
        <v>552786650</v>
      </c>
      <c r="E445" s="57">
        <v>180</v>
      </c>
      <c r="F445" s="10" t="s">
        <v>409</v>
      </c>
      <c r="G445" s="9">
        <v>0</v>
      </c>
      <c r="H445" s="70">
        <f t="shared" si="6"/>
        <v>0</v>
      </c>
      <c r="I445" s="11">
        <v>46069</v>
      </c>
      <c r="J445" s="11">
        <v>46066</v>
      </c>
      <c r="K445" s="13"/>
    </row>
    <row r="446" spans="1:11" ht="18" x14ac:dyDescent="0.4">
      <c r="A446" s="7" t="s">
        <v>719</v>
      </c>
      <c r="B446" s="7" t="s">
        <v>410</v>
      </c>
      <c r="C446" s="8">
        <v>28824</v>
      </c>
      <c r="D446" s="9">
        <v>552681400</v>
      </c>
      <c r="E446" s="57">
        <v>336</v>
      </c>
      <c r="F446" s="10" t="s">
        <v>411</v>
      </c>
      <c r="G446" s="9">
        <v>0</v>
      </c>
      <c r="H446" s="70">
        <f t="shared" si="6"/>
        <v>0</v>
      </c>
      <c r="I446" s="11">
        <v>46069</v>
      </c>
      <c r="J446" s="11">
        <v>46066</v>
      </c>
      <c r="K446" s="13"/>
    </row>
    <row r="447" spans="1:11" ht="18" x14ac:dyDescent="0.4">
      <c r="A447" s="7" t="s">
        <v>719</v>
      </c>
      <c r="B447" s="7" t="s">
        <v>410</v>
      </c>
      <c r="C447" s="8">
        <v>28824</v>
      </c>
      <c r="D447" s="9">
        <v>552679510</v>
      </c>
      <c r="E447" s="57">
        <v>336</v>
      </c>
      <c r="F447" s="10" t="s">
        <v>411</v>
      </c>
      <c r="G447" s="9">
        <v>0</v>
      </c>
      <c r="H447" s="70">
        <f t="shared" si="6"/>
        <v>0</v>
      </c>
      <c r="I447" s="11">
        <v>46069</v>
      </c>
      <c r="J447" s="11">
        <v>46066</v>
      </c>
      <c r="K447" s="13"/>
    </row>
    <row r="448" spans="1:11" ht="18" x14ac:dyDescent="0.4">
      <c r="A448" s="7" t="s">
        <v>719</v>
      </c>
      <c r="B448" s="7" t="s">
        <v>412</v>
      </c>
      <c r="C448" s="8">
        <v>11431</v>
      </c>
      <c r="D448" s="9">
        <v>463365360</v>
      </c>
      <c r="E448" s="57">
        <v>1000</v>
      </c>
      <c r="F448" s="10" t="s">
        <v>413</v>
      </c>
      <c r="G448" s="9">
        <v>0</v>
      </c>
      <c r="H448" s="70">
        <f t="shared" si="6"/>
        <v>0</v>
      </c>
      <c r="I448" s="11">
        <v>46069</v>
      </c>
      <c r="J448" s="11">
        <v>46066</v>
      </c>
      <c r="K448" s="13"/>
    </row>
    <row r="449" spans="1:11" ht="18" x14ac:dyDescent="0.4">
      <c r="A449" s="7" t="s">
        <v>719</v>
      </c>
      <c r="B449" s="7" t="s">
        <v>412</v>
      </c>
      <c r="C449" s="8">
        <v>11431</v>
      </c>
      <c r="D449" s="9">
        <v>463411530</v>
      </c>
      <c r="E449" s="57">
        <v>500</v>
      </c>
      <c r="F449" s="10" t="s">
        <v>413</v>
      </c>
      <c r="G449" s="9">
        <v>0</v>
      </c>
      <c r="H449" s="70">
        <f t="shared" si="6"/>
        <v>0</v>
      </c>
      <c r="I449" s="11">
        <v>46069</v>
      </c>
      <c r="J449" s="11">
        <v>46066</v>
      </c>
      <c r="K449" s="13"/>
    </row>
    <row r="450" spans="1:11" ht="18" x14ac:dyDescent="0.4">
      <c r="A450" s="7" t="s">
        <v>719</v>
      </c>
      <c r="B450" s="7" t="s">
        <v>414</v>
      </c>
      <c r="C450" s="8">
        <v>21570</v>
      </c>
      <c r="D450" s="9">
        <v>552754290</v>
      </c>
      <c r="E450" s="57">
        <v>800</v>
      </c>
      <c r="F450" s="10" t="s">
        <v>415</v>
      </c>
      <c r="G450" s="9">
        <v>0</v>
      </c>
      <c r="H450" s="70">
        <f t="shared" si="6"/>
        <v>0</v>
      </c>
      <c r="I450" s="11">
        <v>46069</v>
      </c>
      <c r="J450" s="11">
        <v>46066</v>
      </c>
      <c r="K450" s="13"/>
    </row>
    <row r="451" spans="1:11" ht="18" x14ac:dyDescent="0.4">
      <c r="A451" s="7" t="s">
        <v>719</v>
      </c>
      <c r="B451" s="7" t="s">
        <v>414</v>
      </c>
      <c r="C451" s="8">
        <v>21570</v>
      </c>
      <c r="D451" s="9">
        <v>552682660</v>
      </c>
      <c r="E451" s="57">
        <v>1800</v>
      </c>
      <c r="F451" s="10" t="s">
        <v>416</v>
      </c>
      <c r="G451" s="9">
        <v>0</v>
      </c>
      <c r="H451" s="70">
        <f t="shared" si="6"/>
        <v>0</v>
      </c>
      <c r="I451" s="11">
        <v>46069</v>
      </c>
      <c r="J451" s="11">
        <v>46066</v>
      </c>
      <c r="K451" s="13"/>
    </row>
    <row r="452" spans="1:11" ht="18" x14ac:dyDescent="0.4">
      <c r="A452" s="7" t="s">
        <v>719</v>
      </c>
      <c r="B452" s="7" t="s">
        <v>417</v>
      </c>
      <c r="C452" s="8">
        <v>23480</v>
      </c>
      <c r="D452" s="9">
        <v>552677420</v>
      </c>
      <c r="E452" s="57">
        <v>2475</v>
      </c>
      <c r="F452" s="10" t="s">
        <v>418</v>
      </c>
      <c r="G452" s="9">
        <v>0</v>
      </c>
      <c r="H452" s="70">
        <f t="shared" si="6"/>
        <v>0</v>
      </c>
      <c r="I452" s="11">
        <v>46069</v>
      </c>
      <c r="J452" s="11">
        <v>46066</v>
      </c>
      <c r="K452" s="13"/>
    </row>
    <row r="453" spans="1:11" ht="18" x14ac:dyDescent="0.4">
      <c r="A453" s="7" t="s">
        <v>719</v>
      </c>
      <c r="B453" s="7" t="s">
        <v>417</v>
      </c>
      <c r="C453" s="8">
        <v>23480</v>
      </c>
      <c r="D453" s="9">
        <v>144576800</v>
      </c>
      <c r="E453" s="57">
        <v>1000</v>
      </c>
      <c r="F453" s="10" t="s">
        <v>419</v>
      </c>
      <c r="G453" s="9">
        <v>0</v>
      </c>
      <c r="H453" s="70">
        <f t="shared" si="6"/>
        <v>0</v>
      </c>
      <c r="I453" s="11">
        <v>46069</v>
      </c>
      <c r="J453" s="11">
        <v>46066</v>
      </c>
      <c r="K453" s="13"/>
    </row>
    <row r="454" spans="1:11" ht="18" x14ac:dyDescent="0.4">
      <c r="A454" s="7" t="s">
        <v>719</v>
      </c>
      <c r="B454" s="7" t="s">
        <v>417</v>
      </c>
      <c r="C454" s="8">
        <v>23480</v>
      </c>
      <c r="D454" s="9">
        <v>144534810</v>
      </c>
      <c r="E454" s="57">
        <v>4000</v>
      </c>
      <c r="F454" s="10" t="s">
        <v>420</v>
      </c>
      <c r="G454" s="9">
        <v>0</v>
      </c>
      <c r="H454" s="70">
        <f t="shared" si="6"/>
        <v>0</v>
      </c>
      <c r="I454" s="11">
        <v>46069</v>
      </c>
      <c r="J454" s="11">
        <v>46066</v>
      </c>
      <c r="K454" s="13"/>
    </row>
    <row r="455" spans="1:11" ht="18" x14ac:dyDescent="0.4">
      <c r="A455" s="7" t="s">
        <v>719</v>
      </c>
      <c r="B455" s="7" t="s">
        <v>421</v>
      </c>
      <c r="C455" s="8">
        <v>23481</v>
      </c>
      <c r="D455" s="9">
        <v>463411500</v>
      </c>
      <c r="E455" s="57">
        <v>1200</v>
      </c>
      <c r="F455" s="10" t="s">
        <v>224</v>
      </c>
      <c r="G455" s="9">
        <v>0</v>
      </c>
      <c r="H455" s="70">
        <f t="shared" si="6"/>
        <v>0</v>
      </c>
      <c r="I455" s="11">
        <v>46069</v>
      </c>
      <c r="J455" s="11">
        <v>46066</v>
      </c>
      <c r="K455" s="13"/>
    </row>
    <row r="456" spans="1:11" ht="18" x14ac:dyDescent="0.4">
      <c r="A456" s="7" t="s">
        <v>719</v>
      </c>
      <c r="B456" s="7" t="s">
        <v>422</v>
      </c>
      <c r="C456" s="8">
        <v>21342</v>
      </c>
      <c r="D456" s="9">
        <v>463509950</v>
      </c>
      <c r="E456" s="57">
        <v>30</v>
      </c>
      <c r="F456" s="10" t="s">
        <v>423</v>
      </c>
      <c r="G456" s="9">
        <v>120</v>
      </c>
      <c r="H456" s="70">
        <f t="shared" si="6"/>
        <v>4</v>
      </c>
      <c r="I456" s="11">
        <v>46069</v>
      </c>
      <c r="J456" s="11">
        <v>46066</v>
      </c>
      <c r="K456" s="13"/>
    </row>
    <row r="457" spans="1:11" ht="18" x14ac:dyDescent="0.4">
      <c r="A457" s="7" t="s">
        <v>719</v>
      </c>
      <c r="B457" s="7" t="s">
        <v>422</v>
      </c>
      <c r="C457" s="8">
        <v>21342</v>
      </c>
      <c r="D457" s="9">
        <v>463509960</v>
      </c>
      <c r="E457" s="57">
        <v>300</v>
      </c>
      <c r="F457" s="10" t="s">
        <v>424</v>
      </c>
      <c r="G457" s="9">
        <v>300</v>
      </c>
      <c r="H457" s="70">
        <f t="shared" si="6"/>
        <v>1</v>
      </c>
      <c r="I457" s="11">
        <v>46069</v>
      </c>
      <c r="J457" s="11">
        <v>46066</v>
      </c>
      <c r="K457" s="13"/>
    </row>
    <row r="458" spans="1:11" ht="18" x14ac:dyDescent="0.4">
      <c r="A458" s="7" t="s">
        <v>719</v>
      </c>
      <c r="B458" s="7" t="s">
        <v>422</v>
      </c>
      <c r="C458" s="8">
        <v>21342</v>
      </c>
      <c r="D458" s="9">
        <v>463462820</v>
      </c>
      <c r="E458" s="57">
        <v>480</v>
      </c>
      <c r="F458" s="10" t="s">
        <v>425</v>
      </c>
      <c r="G458" s="9">
        <v>1440</v>
      </c>
      <c r="H458" s="70">
        <f t="shared" si="6"/>
        <v>3</v>
      </c>
      <c r="I458" s="11">
        <v>46069</v>
      </c>
      <c r="J458" s="11">
        <v>46066</v>
      </c>
      <c r="K458" s="13"/>
    </row>
    <row r="459" spans="1:11" ht="18" x14ac:dyDescent="0.4">
      <c r="A459" s="7" t="s">
        <v>719</v>
      </c>
      <c r="B459" s="7" t="s">
        <v>422</v>
      </c>
      <c r="C459" s="8">
        <v>21342</v>
      </c>
      <c r="D459" s="9">
        <v>463462910</v>
      </c>
      <c r="E459" s="57">
        <v>420</v>
      </c>
      <c r="F459" s="10" t="s">
        <v>426</v>
      </c>
      <c r="G459" s="9">
        <v>1260</v>
      </c>
      <c r="H459" s="70">
        <f t="shared" si="6"/>
        <v>3</v>
      </c>
      <c r="I459" s="11">
        <v>46069</v>
      </c>
      <c r="J459" s="11">
        <v>46066</v>
      </c>
      <c r="K459" s="13"/>
    </row>
    <row r="460" spans="1:11" ht="18" x14ac:dyDescent="0.4">
      <c r="A460" s="7" t="s">
        <v>719</v>
      </c>
      <c r="B460" s="7" t="s">
        <v>427</v>
      </c>
      <c r="C460" s="8">
        <v>14837</v>
      </c>
      <c r="D460" s="9">
        <v>552796450</v>
      </c>
      <c r="E460" s="57">
        <v>30</v>
      </c>
      <c r="F460" s="10" t="s">
        <v>428</v>
      </c>
      <c r="G460" s="9">
        <v>3000</v>
      </c>
      <c r="H460" s="70">
        <f t="shared" si="6"/>
        <v>100</v>
      </c>
      <c r="I460" s="11">
        <v>46069</v>
      </c>
      <c r="J460" s="11">
        <v>46066</v>
      </c>
      <c r="K460" s="13"/>
    </row>
    <row r="461" spans="1:11" ht="18" x14ac:dyDescent="0.4">
      <c r="A461" s="7" t="s">
        <v>719</v>
      </c>
      <c r="B461" s="7" t="s">
        <v>427</v>
      </c>
      <c r="C461" s="8">
        <v>14837</v>
      </c>
      <c r="D461" s="9">
        <v>463508220</v>
      </c>
      <c r="E461" s="57">
        <v>30</v>
      </c>
      <c r="F461" s="10" t="s">
        <v>428</v>
      </c>
      <c r="G461" s="9">
        <v>0</v>
      </c>
      <c r="H461" s="70">
        <f t="shared" si="6"/>
        <v>0</v>
      </c>
      <c r="I461" s="11">
        <v>46069</v>
      </c>
      <c r="J461" s="11">
        <v>46066</v>
      </c>
      <c r="K461" s="13"/>
    </row>
    <row r="462" spans="1:11" ht="18" x14ac:dyDescent="0.4">
      <c r="A462" s="7" t="s">
        <v>719</v>
      </c>
      <c r="B462" s="7" t="s">
        <v>429</v>
      </c>
      <c r="C462" s="8">
        <v>1097</v>
      </c>
      <c r="D462" s="9">
        <v>463550730</v>
      </c>
      <c r="E462" s="57">
        <v>24</v>
      </c>
      <c r="F462" s="10" t="s">
        <v>430</v>
      </c>
      <c r="G462" s="9">
        <v>0</v>
      </c>
      <c r="H462" s="70">
        <f t="shared" si="6"/>
        <v>0</v>
      </c>
      <c r="I462" s="11">
        <v>46069</v>
      </c>
      <c r="J462" s="11">
        <v>46066</v>
      </c>
      <c r="K462" s="13"/>
    </row>
    <row r="463" spans="1:11" ht="18" x14ac:dyDescent="0.4">
      <c r="A463" s="7" t="s">
        <v>719</v>
      </c>
      <c r="B463" s="7" t="s">
        <v>429</v>
      </c>
      <c r="C463" s="8">
        <v>1097</v>
      </c>
      <c r="D463" s="9">
        <v>463443560</v>
      </c>
      <c r="E463" s="57">
        <v>24</v>
      </c>
      <c r="F463" s="10" t="s">
        <v>431</v>
      </c>
      <c r="G463" s="9">
        <v>0</v>
      </c>
      <c r="H463" s="70">
        <f t="shared" si="6"/>
        <v>0</v>
      </c>
      <c r="I463" s="11">
        <v>46069</v>
      </c>
      <c r="J463" s="11">
        <v>46066</v>
      </c>
      <c r="K463" s="13"/>
    </row>
    <row r="464" spans="1:11" ht="18" x14ac:dyDescent="0.4">
      <c r="A464" s="7" t="s">
        <v>719</v>
      </c>
      <c r="B464" s="7" t="s">
        <v>429</v>
      </c>
      <c r="C464" s="8">
        <v>1097</v>
      </c>
      <c r="D464" s="9">
        <v>463555740</v>
      </c>
      <c r="E464" s="57">
        <v>24</v>
      </c>
      <c r="F464" s="10" t="s">
        <v>432</v>
      </c>
      <c r="G464" s="9">
        <v>0</v>
      </c>
      <c r="H464" s="70">
        <f t="shared" si="6"/>
        <v>0</v>
      </c>
      <c r="I464" s="11">
        <v>46069</v>
      </c>
      <c r="J464" s="11">
        <v>46066</v>
      </c>
      <c r="K464" s="13"/>
    </row>
    <row r="465" spans="1:11" ht="18" x14ac:dyDescent="0.4">
      <c r="A465" s="7" t="s">
        <v>719</v>
      </c>
      <c r="B465" s="7" t="s">
        <v>429</v>
      </c>
      <c r="C465" s="8">
        <v>1097</v>
      </c>
      <c r="D465" s="9">
        <v>463526980</v>
      </c>
      <c r="E465" s="57">
        <v>24</v>
      </c>
      <c r="F465" s="10" t="s">
        <v>433</v>
      </c>
      <c r="G465" s="9">
        <v>0</v>
      </c>
      <c r="H465" s="70">
        <f t="shared" si="6"/>
        <v>0</v>
      </c>
      <c r="I465" s="11">
        <v>46069</v>
      </c>
      <c r="J465" s="11">
        <v>46066</v>
      </c>
      <c r="K465" s="13"/>
    </row>
    <row r="466" spans="1:11" ht="18" x14ac:dyDescent="0.4">
      <c r="A466" s="7" t="s">
        <v>719</v>
      </c>
      <c r="B466" s="7" t="s">
        <v>434</v>
      </c>
      <c r="C466" s="8">
        <v>51620</v>
      </c>
      <c r="D466" s="9">
        <v>552685780</v>
      </c>
      <c r="E466" s="57">
        <v>840</v>
      </c>
      <c r="F466" s="10" t="s">
        <v>435</v>
      </c>
      <c r="G466" s="9">
        <v>840</v>
      </c>
      <c r="H466" s="70">
        <f t="shared" si="6"/>
        <v>1</v>
      </c>
      <c r="I466" s="11">
        <v>46069</v>
      </c>
      <c r="J466" s="11">
        <v>46066</v>
      </c>
      <c r="K466" s="13"/>
    </row>
    <row r="467" spans="1:11" ht="18" x14ac:dyDescent="0.4">
      <c r="A467" s="7" t="s">
        <v>719</v>
      </c>
      <c r="B467" s="7" t="s">
        <v>434</v>
      </c>
      <c r="C467" s="8">
        <v>51620</v>
      </c>
      <c r="D467" s="9">
        <v>552685800</v>
      </c>
      <c r="E467" s="57">
        <v>1440</v>
      </c>
      <c r="F467" s="10" t="s">
        <v>436</v>
      </c>
      <c r="G467" s="9">
        <v>7200</v>
      </c>
      <c r="H467" s="70">
        <f t="shared" si="6"/>
        <v>5</v>
      </c>
      <c r="I467" s="11">
        <v>46069</v>
      </c>
      <c r="J467" s="11">
        <v>46066</v>
      </c>
      <c r="K467" s="13"/>
    </row>
    <row r="468" spans="1:11" ht="18" x14ac:dyDescent="0.4">
      <c r="A468" s="7" t="s">
        <v>719</v>
      </c>
      <c r="B468" s="7" t="s">
        <v>434</v>
      </c>
      <c r="C468" s="8">
        <v>51620</v>
      </c>
      <c r="D468" s="9">
        <v>552685820</v>
      </c>
      <c r="E468" s="57">
        <v>840</v>
      </c>
      <c r="F468" s="10" t="s">
        <v>437</v>
      </c>
      <c r="G468" s="9">
        <v>840</v>
      </c>
      <c r="H468" s="70">
        <f t="shared" si="6"/>
        <v>1</v>
      </c>
      <c r="I468" s="11">
        <v>46069</v>
      </c>
      <c r="J468" s="11">
        <v>46066</v>
      </c>
      <c r="K468" s="13"/>
    </row>
    <row r="469" spans="1:11" ht="18" x14ac:dyDescent="0.4">
      <c r="A469" s="7" t="s">
        <v>719</v>
      </c>
      <c r="B469" s="7" t="s">
        <v>434</v>
      </c>
      <c r="C469" s="8">
        <v>51620</v>
      </c>
      <c r="D469" s="9">
        <v>552820620</v>
      </c>
      <c r="E469" s="57">
        <v>840</v>
      </c>
      <c r="F469" s="10" t="s">
        <v>435</v>
      </c>
      <c r="G469" s="9">
        <v>0</v>
      </c>
      <c r="H469" s="70">
        <f t="shared" si="6"/>
        <v>0</v>
      </c>
      <c r="I469" s="11">
        <v>46069</v>
      </c>
      <c r="J469" s="11">
        <v>46066</v>
      </c>
      <c r="K469" s="13"/>
    </row>
    <row r="470" spans="1:11" ht="18" x14ac:dyDescent="0.4">
      <c r="A470" s="7" t="s">
        <v>719</v>
      </c>
      <c r="B470" s="7" t="s">
        <v>434</v>
      </c>
      <c r="C470" s="8">
        <v>51620</v>
      </c>
      <c r="D470" s="9">
        <v>552820640</v>
      </c>
      <c r="E470" s="57">
        <v>1440</v>
      </c>
      <c r="F470" s="10" t="s">
        <v>436</v>
      </c>
      <c r="G470" s="9">
        <v>2880</v>
      </c>
      <c r="H470" s="70">
        <f t="shared" si="6"/>
        <v>2</v>
      </c>
      <c r="I470" s="11">
        <v>46069</v>
      </c>
      <c r="J470" s="11">
        <v>46066</v>
      </c>
      <c r="K470" s="13"/>
    </row>
    <row r="471" spans="1:11" ht="18" x14ac:dyDescent="0.4">
      <c r="A471" s="7" t="s">
        <v>719</v>
      </c>
      <c r="B471" s="7" t="s">
        <v>434</v>
      </c>
      <c r="C471" s="8">
        <v>51620</v>
      </c>
      <c r="D471" s="9">
        <v>552820660</v>
      </c>
      <c r="E471" s="57">
        <v>840</v>
      </c>
      <c r="F471" s="37" t="s">
        <v>437</v>
      </c>
      <c r="G471" s="9">
        <v>840</v>
      </c>
      <c r="H471" s="70">
        <f t="shared" si="6"/>
        <v>1</v>
      </c>
      <c r="I471" s="11">
        <v>46069</v>
      </c>
      <c r="J471" s="11">
        <v>46066</v>
      </c>
      <c r="K471" s="13"/>
    </row>
    <row r="472" spans="1:11" ht="18" x14ac:dyDescent="0.4">
      <c r="A472" s="7" t="s">
        <v>719</v>
      </c>
      <c r="B472" s="7" t="s">
        <v>434</v>
      </c>
      <c r="C472" s="8">
        <v>51620</v>
      </c>
      <c r="D472" s="9">
        <v>552685720</v>
      </c>
      <c r="E472" s="57">
        <v>4000</v>
      </c>
      <c r="F472" s="10" t="s">
        <v>438</v>
      </c>
      <c r="G472" s="9">
        <v>0</v>
      </c>
      <c r="H472" s="70">
        <f t="shared" si="6"/>
        <v>0</v>
      </c>
      <c r="I472" s="11">
        <v>46069</v>
      </c>
      <c r="J472" s="11">
        <v>46066</v>
      </c>
      <c r="K472" s="13"/>
    </row>
    <row r="473" spans="1:11" ht="18" x14ac:dyDescent="0.4">
      <c r="A473" s="7" t="s">
        <v>719</v>
      </c>
      <c r="B473" s="7" t="s">
        <v>439</v>
      </c>
      <c r="C473" s="8">
        <v>40840</v>
      </c>
      <c r="D473" s="9">
        <v>552731550</v>
      </c>
      <c r="E473" s="57">
        <v>1000</v>
      </c>
      <c r="F473" s="10" t="s">
        <v>440</v>
      </c>
      <c r="G473" s="9">
        <v>0</v>
      </c>
      <c r="H473" s="70">
        <f t="shared" si="6"/>
        <v>0</v>
      </c>
      <c r="I473" s="11">
        <v>46069</v>
      </c>
      <c r="J473" s="11">
        <v>46066</v>
      </c>
      <c r="K473" s="13"/>
    </row>
    <row r="474" spans="1:11" ht="18" x14ac:dyDescent="0.4">
      <c r="A474" s="7" t="s">
        <v>719</v>
      </c>
      <c r="B474" s="7" t="s">
        <v>439</v>
      </c>
      <c r="C474" s="8">
        <v>40840</v>
      </c>
      <c r="D474" s="9">
        <v>552716380</v>
      </c>
      <c r="E474" s="57">
        <v>500</v>
      </c>
      <c r="F474" s="10" t="s">
        <v>441</v>
      </c>
      <c r="G474" s="9">
        <v>0</v>
      </c>
      <c r="H474" s="70">
        <f t="shared" si="6"/>
        <v>0</v>
      </c>
      <c r="I474" s="11">
        <v>46069</v>
      </c>
      <c r="J474" s="11">
        <v>46066</v>
      </c>
      <c r="K474" s="13"/>
    </row>
    <row r="475" spans="1:11" ht="18" x14ac:dyDescent="0.4">
      <c r="A475" s="7" t="s">
        <v>719</v>
      </c>
      <c r="B475" s="7" t="s">
        <v>439</v>
      </c>
      <c r="C475" s="8">
        <v>40840</v>
      </c>
      <c r="D475" s="9">
        <v>552679610</v>
      </c>
      <c r="E475" s="57">
        <v>100</v>
      </c>
      <c r="F475" s="10" t="s">
        <v>442</v>
      </c>
      <c r="G475" s="9">
        <v>0</v>
      </c>
      <c r="H475" s="70">
        <f t="shared" si="6"/>
        <v>0</v>
      </c>
      <c r="I475" s="11">
        <v>46069</v>
      </c>
      <c r="J475" s="11">
        <v>46066</v>
      </c>
      <c r="K475" s="13"/>
    </row>
    <row r="476" spans="1:11" ht="18" x14ac:dyDescent="0.4">
      <c r="A476" s="7" t="s">
        <v>719</v>
      </c>
      <c r="B476" s="7" t="s">
        <v>439</v>
      </c>
      <c r="C476" s="8">
        <v>40840</v>
      </c>
      <c r="D476" s="9">
        <v>187503240</v>
      </c>
      <c r="E476" s="57">
        <v>1000</v>
      </c>
      <c r="F476" s="10" t="s">
        <v>443</v>
      </c>
      <c r="G476" s="9">
        <v>0</v>
      </c>
      <c r="H476" s="70">
        <f t="shared" si="6"/>
        <v>0</v>
      </c>
      <c r="I476" s="11">
        <v>46069</v>
      </c>
      <c r="J476" s="11">
        <v>46066</v>
      </c>
      <c r="K476" s="13"/>
    </row>
    <row r="477" spans="1:11" ht="18" x14ac:dyDescent="0.4">
      <c r="A477" s="7" t="s">
        <v>719</v>
      </c>
      <c r="B477" s="7" t="s">
        <v>439</v>
      </c>
      <c r="C477" s="8">
        <v>40840</v>
      </c>
      <c r="D477" s="9">
        <v>162859210</v>
      </c>
      <c r="E477" s="57">
        <v>1000</v>
      </c>
      <c r="F477" s="10" t="s">
        <v>444</v>
      </c>
      <c r="G477" s="9">
        <v>0</v>
      </c>
      <c r="H477" s="70">
        <f t="shared" si="6"/>
        <v>0</v>
      </c>
      <c r="I477" s="11">
        <v>46069</v>
      </c>
      <c r="J477" s="11">
        <v>46066</v>
      </c>
      <c r="K477" s="13"/>
    </row>
    <row r="478" spans="1:11" ht="18" x14ac:dyDescent="0.4">
      <c r="A478" s="7" t="s">
        <v>719</v>
      </c>
      <c r="B478" s="7" t="s">
        <v>439</v>
      </c>
      <c r="C478" s="8">
        <v>40840</v>
      </c>
      <c r="D478" s="9">
        <v>114843240</v>
      </c>
      <c r="E478" s="57">
        <v>1000</v>
      </c>
      <c r="F478" s="10" t="s">
        <v>445</v>
      </c>
      <c r="G478" s="9">
        <v>0</v>
      </c>
      <c r="H478" s="70">
        <f t="shared" si="6"/>
        <v>0</v>
      </c>
      <c r="I478" s="11">
        <v>46069</v>
      </c>
      <c r="J478" s="11">
        <v>46066</v>
      </c>
      <c r="K478" s="13"/>
    </row>
    <row r="479" spans="1:11" ht="18" x14ac:dyDescent="0.4">
      <c r="A479" s="7" t="s">
        <v>719</v>
      </c>
      <c r="B479" s="7" t="s">
        <v>446</v>
      </c>
      <c r="C479" s="8">
        <v>50111</v>
      </c>
      <c r="D479" s="9">
        <v>552679380</v>
      </c>
      <c r="E479" s="57">
        <v>5600</v>
      </c>
      <c r="F479" s="10" t="s">
        <v>447</v>
      </c>
      <c r="G479" s="9">
        <v>0</v>
      </c>
      <c r="H479" s="70">
        <f t="shared" si="6"/>
        <v>0</v>
      </c>
      <c r="I479" s="11">
        <v>46069</v>
      </c>
      <c r="J479" s="11">
        <v>46066</v>
      </c>
      <c r="K479" s="13"/>
    </row>
    <row r="480" spans="1:11" ht="18" x14ac:dyDescent="0.4">
      <c r="A480" s="7" t="s">
        <v>719</v>
      </c>
      <c r="B480" s="7" t="s">
        <v>448</v>
      </c>
      <c r="C480" s="8">
        <v>33518</v>
      </c>
      <c r="D480" s="9">
        <v>552681850</v>
      </c>
      <c r="E480" s="57">
        <v>64</v>
      </c>
      <c r="F480" s="10" t="s">
        <v>449</v>
      </c>
      <c r="G480" s="9">
        <v>0</v>
      </c>
      <c r="H480" s="70">
        <f t="shared" ref="H480:H543" si="7">+G480/E480</f>
        <v>0</v>
      </c>
      <c r="I480" s="11">
        <v>46069</v>
      </c>
      <c r="J480" s="11">
        <v>46066</v>
      </c>
      <c r="K480" s="13"/>
    </row>
    <row r="481" spans="1:11" ht="18" x14ac:dyDescent="0.4">
      <c r="A481" s="7" t="s">
        <v>719</v>
      </c>
      <c r="B481" s="7" t="s">
        <v>448</v>
      </c>
      <c r="C481" s="8">
        <v>33518</v>
      </c>
      <c r="D481" s="9">
        <v>552667970</v>
      </c>
      <c r="E481" s="57">
        <v>96</v>
      </c>
      <c r="F481" s="10" t="s">
        <v>450</v>
      </c>
      <c r="G481" s="9">
        <v>0</v>
      </c>
      <c r="H481" s="70">
        <f t="shared" si="7"/>
        <v>0</v>
      </c>
      <c r="I481" s="11">
        <v>46069</v>
      </c>
      <c r="J481" s="11">
        <v>46066</v>
      </c>
      <c r="K481" s="13"/>
    </row>
    <row r="482" spans="1:11" ht="18" x14ac:dyDescent="0.4">
      <c r="A482" s="7" t="s">
        <v>719</v>
      </c>
      <c r="B482" s="7" t="s">
        <v>448</v>
      </c>
      <c r="C482" s="8">
        <v>33518</v>
      </c>
      <c r="D482" s="9">
        <v>463411480</v>
      </c>
      <c r="E482" s="57">
        <v>96</v>
      </c>
      <c r="F482" s="10" t="s">
        <v>450</v>
      </c>
      <c r="G482" s="9">
        <v>0</v>
      </c>
      <c r="H482" s="70">
        <f t="shared" si="7"/>
        <v>0</v>
      </c>
      <c r="I482" s="11">
        <v>46069</v>
      </c>
      <c r="J482" s="11">
        <v>46066</v>
      </c>
      <c r="K482" s="13"/>
    </row>
    <row r="483" spans="1:11" ht="18" x14ac:dyDescent="0.4">
      <c r="A483" s="7" t="s">
        <v>719</v>
      </c>
      <c r="B483" s="7" t="s">
        <v>451</v>
      </c>
      <c r="C483" s="8">
        <v>30467</v>
      </c>
      <c r="D483" s="9">
        <v>552703690</v>
      </c>
      <c r="E483" s="57">
        <v>2000</v>
      </c>
      <c r="F483" s="10" t="s">
        <v>184</v>
      </c>
      <c r="G483" s="9">
        <v>0</v>
      </c>
      <c r="H483" s="70">
        <f t="shared" si="7"/>
        <v>0</v>
      </c>
      <c r="I483" s="11">
        <v>46069</v>
      </c>
      <c r="J483" s="11">
        <v>46066</v>
      </c>
      <c r="K483" s="13"/>
    </row>
    <row r="484" spans="1:11" ht="18" x14ac:dyDescent="0.4">
      <c r="A484" s="7" t="s">
        <v>719</v>
      </c>
      <c r="B484" s="7" t="s">
        <v>452</v>
      </c>
      <c r="C484" s="8">
        <v>56589</v>
      </c>
      <c r="D484" s="9">
        <v>552681677</v>
      </c>
      <c r="E484" s="57">
        <v>48</v>
      </c>
      <c r="F484" s="10" t="s">
        <v>453</v>
      </c>
      <c r="G484" s="9">
        <v>912</v>
      </c>
      <c r="H484" s="70">
        <f t="shared" si="7"/>
        <v>19</v>
      </c>
      <c r="I484" s="11">
        <v>46069</v>
      </c>
      <c r="J484" s="11">
        <v>46066</v>
      </c>
      <c r="K484" s="13"/>
    </row>
    <row r="485" spans="1:11" ht="18" x14ac:dyDescent="0.4">
      <c r="A485" s="7" t="s">
        <v>719</v>
      </c>
      <c r="B485" s="7" t="s">
        <v>452</v>
      </c>
      <c r="C485" s="8">
        <v>56589</v>
      </c>
      <c r="D485" s="9">
        <v>552657037</v>
      </c>
      <c r="E485" s="57">
        <v>48</v>
      </c>
      <c r="F485" s="10" t="s">
        <v>454</v>
      </c>
      <c r="G485" s="9">
        <v>624</v>
      </c>
      <c r="H485" s="70">
        <f t="shared" si="7"/>
        <v>13</v>
      </c>
      <c r="I485" s="11">
        <v>46069</v>
      </c>
      <c r="J485" s="11">
        <v>46066</v>
      </c>
      <c r="K485" s="13"/>
    </row>
    <row r="486" spans="1:11" ht="18" x14ac:dyDescent="0.4">
      <c r="A486" s="7" t="s">
        <v>719</v>
      </c>
      <c r="B486" s="7" t="s">
        <v>452</v>
      </c>
      <c r="C486" s="8">
        <v>56589</v>
      </c>
      <c r="D486" s="9">
        <v>552681750</v>
      </c>
      <c r="E486" s="57">
        <v>120</v>
      </c>
      <c r="F486" s="10" t="s">
        <v>455</v>
      </c>
      <c r="G486" s="9">
        <v>720</v>
      </c>
      <c r="H486" s="70">
        <f t="shared" si="7"/>
        <v>6</v>
      </c>
      <c r="I486" s="11">
        <v>46069</v>
      </c>
      <c r="J486" s="11">
        <v>46066</v>
      </c>
      <c r="K486" s="13"/>
    </row>
    <row r="487" spans="1:11" ht="18" x14ac:dyDescent="0.4">
      <c r="A487" s="7" t="s">
        <v>719</v>
      </c>
      <c r="B487" s="7" t="s">
        <v>452</v>
      </c>
      <c r="C487" s="8">
        <v>56589</v>
      </c>
      <c r="D487" s="9">
        <v>552680020</v>
      </c>
      <c r="E487" s="57">
        <v>120</v>
      </c>
      <c r="F487" s="10" t="s">
        <v>456</v>
      </c>
      <c r="G487" s="9">
        <v>0</v>
      </c>
      <c r="H487" s="70">
        <f t="shared" si="7"/>
        <v>0</v>
      </c>
      <c r="I487" s="11">
        <v>46069</v>
      </c>
      <c r="J487" s="11">
        <v>46066</v>
      </c>
      <c r="K487" s="13"/>
    </row>
    <row r="488" spans="1:11" ht="18" x14ac:dyDescent="0.4">
      <c r="A488" s="7" t="s">
        <v>719</v>
      </c>
      <c r="B488" s="7" t="s">
        <v>457</v>
      </c>
      <c r="C488" s="8">
        <v>35657</v>
      </c>
      <c r="D488" s="9">
        <v>552677430</v>
      </c>
      <c r="E488" s="57">
        <v>6000</v>
      </c>
      <c r="F488" s="10" t="s">
        <v>243</v>
      </c>
      <c r="G488" s="9">
        <v>0</v>
      </c>
      <c r="H488" s="70">
        <f t="shared" si="7"/>
        <v>0</v>
      </c>
      <c r="I488" s="11">
        <v>46069</v>
      </c>
      <c r="J488" s="11">
        <v>46066</v>
      </c>
      <c r="K488" s="13"/>
    </row>
    <row r="489" spans="1:11" ht="18" x14ac:dyDescent="0.4">
      <c r="A489" s="7" t="s">
        <v>719</v>
      </c>
      <c r="B489" s="7" t="s">
        <v>458</v>
      </c>
      <c r="C489" s="8">
        <v>68265</v>
      </c>
      <c r="D489" s="9">
        <v>463375350</v>
      </c>
      <c r="E489" s="57">
        <v>7200</v>
      </c>
      <c r="F489" s="10" t="s">
        <v>459</v>
      </c>
      <c r="G489" s="9">
        <v>0</v>
      </c>
      <c r="H489" s="70">
        <f t="shared" si="7"/>
        <v>0</v>
      </c>
      <c r="I489" s="11">
        <v>46069</v>
      </c>
      <c r="J489" s="11">
        <v>46066</v>
      </c>
      <c r="K489" s="13"/>
    </row>
    <row r="490" spans="1:11" ht="18" x14ac:dyDescent="0.4">
      <c r="A490" s="7" t="s">
        <v>719</v>
      </c>
      <c r="B490" s="7" t="s">
        <v>458</v>
      </c>
      <c r="C490" s="8">
        <v>68265</v>
      </c>
      <c r="D490" s="9">
        <v>552679420</v>
      </c>
      <c r="E490" s="57">
        <v>3360</v>
      </c>
      <c r="F490" s="10" t="s">
        <v>460</v>
      </c>
      <c r="G490" s="9">
        <v>0</v>
      </c>
      <c r="H490" s="70">
        <f t="shared" si="7"/>
        <v>0</v>
      </c>
      <c r="I490" s="11">
        <v>46069</v>
      </c>
      <c r="J490" s="11">
        <v>46066</v>
      </c>
      <c r="K490" s="13"/>
    </row>
    <row r="491" spans="1:11" ht="18" x14ac:dyDescent="0.4">
      <c r="A491" s="7" t="s">
        <v>719</v>
      </c>
      <c r="B491" s="7" t="s">
        <v>458</v>
      </c>
      <c r="C491" s="8">
        <v>68265</v>
      </c>
      <c r="D491" s="9">
        <v>463541260</v>
      </c>
      <c r="E491" s="57">
        <v>120</v>
      </c>
      <c r="F491" s="10" t="s">
        <v>461</v>
      </c>
      <c r="G491" s="9">
        <v>0</v>
      </c>
      <c r="H491" s="70">
        <f t="shared" si="7"/>
        <v>0</v>
      </c>
      <c r="I491" s="11">
        <v>46069</v>
      </c>
      <c r="J491" s="11">
        <v>46066</v>
      </c>
      <c r="K491" s="13"/>
    </row>
    <row r="492" spans="1:11" ht="18" x14ac:dyDescent="0.4">
      <c r="A492" s="7" t="s">
        <v>719</v>
      </c>
      <c r="B492" s="7" t="s">
        <v>458</v>
      </c>
      <c r="C492" s="8">
        <v>68265</v>
      </c>
      <c r="D492" s="9">
        <v>463541240</v>
      </c>
      <c r="E492" s="57">
        <v>120</v>
      </c>
      <c r="F492" s="10" t="s">
        <v>462</v>
      </c>
      <c r="G492" s="9">
        <v>0</v>
      </c>
      <c r="H492" s="70">
        <f t="shared" si="7"/>
        <v>0</v>
      </c>
      <c r="I492" s="11">
        <v>46069</v>
      </c>
      <c r="J492" s="11">
        <v>46066</v>
      </c>
      <c r="K492" s="13"/>
    </row>
    <row r="493" spans="1:11" ht="21" customHeight="1" x14ac:dyDescent="0.4">
      <c r="A493" s="7" t="s">
        <v>719</v>
      </c>
      <c r="B493" s="7" t="s">
        <v>463</v>
      </c>
      <c r="C493" s="8">
        <v>1020</v>
      </c>
      <c r="D493" s="9">
        <v>552732717</v>
      </c>
      <c r="E493" s="57">
        <v>30</v>
      </c>
      <c r="F493" s="10" t="s">
        <v>464</v>
      </c>
      <c r="G493" s="9">
        <v>600</v>
      </c>
      <c r="H493" s="70">
        <f t="shared" si="7"/>
        <v>20</v>
      </c>
      <c r="I493" s="11">
        <v>46069</v>
      </c>
      <c r="J493" s="11">
        <v>46066</v>
      </c>
      <c r="K493" s="13"/>
    </row>
    <row r="494" spans="1:11" ht="18" x14ac:dyDescent="0.4">
      <c r="A494" s="7" t="s">
        <v>719</v>
      </c>
      <c r="B494" s="7" t="s">
        <v>463</v>
      </c>
      <c r="C494" s="8">
        <v>1020</v>
      </c>
      <c r="D494" s="9">
        <v>552732747</v>
      </c>
      <c r="E494" s="57">
        <v>30</v>
      </c>
      <c r="F494" s="10" t="s">
        <v>465</v>
      </c>
      <c r="G494" s="9">
        <v>1800</v>
      </c>
      <c r="H494" s="70">
        <f t="shared" si="7"/>
        <v>60</v>
      </c>
      <c r="I494" s="11">
        <v>46069</v>
      </c>
      <c r="J494" s="11">
        <v>46066</v>
      </c>
      <c r="K494" s="13"/>
    </row>
    <row r="495" spans="1:11" ht="18" x14ac:dyDescent="0.4">
      <c r="A495" s="7" t="s">
        <v>719</v>
      </c>
      <c r="B495" s="7" t="s">
        <v>463</v>
      </c>
      <c r="C495" s="8">
        <v>1020</v>
      </c>
      <c r="D495" s="9">
        <v>552821208</v>
      </c>
      <c r="E495" s="57">
        <v>24</v>
      </c>
      <c r="F495" s="10" t="s">
        <v>466</v>
      </c>
      <c r="G495" s="9">
        <v>0</v>
      </c>
      <c r="H495" s="70">
        <f t="shared" si="7"/>
        <v>0</v>
      </c>
      <c r="I495" s="11">
        <v>46069</v>
      </c>
      <c r="J495" s="11">
        <v>46066</v>
      </c>
      <c r="K495" s="13"/>
    </row>
    <row r="496" spans="1:11" ht="18" x14ac:dyDescent="0.4">
      <c r="A496" s="7" t="s">
        <v>719</v>
      </c>
      <c r="B496" s="7" t="s">
        <v>463</v>
      </c>
      <c r="C496" s="8">
        <v>1020</v>
      </c>
      <c r="D496" s="9">
        <v>463404768</v>
      </c>
      <c r="E496" s="57">
        <v>24</v>
      </c>
      <c r="F496" s="10" t="s">
        <v>466</v>
      </c>
      <c r="G496" s="9">
        <v>1800</v>
      </c>
      <c r="H496" s="70">
        <f t="shared" si="7"/>
        <v>75</v>
      </c>
      <c r="I496" s="11">
        <v>46069</v>
      </c>
      <c r="J496" s="11">
        <v>46066</v>
      </c>
      <c r="K496" s="13"/>
    </row>
    <row r="497" spans="1:11" ht="18" x14ac:dyDescent="0.4">
      <c r="A497" s="7" t="s">
        <v>719</v>
      </c>
      <c r="B497" s="7" t="s">
        <v>463</v>
      </c>
      <c r="C497" s="8">
        <v>1020</v>
      </c>
      <c r="D497" s="9">
        <v>552821178</v>
      </c>
      <c r="E497" s="57">
        <v>24</v>
      </c>
      <c r="F497" s="10" t="s">
        <v>467</v>
      </c>
      <c r="G497" s="9">
        <v>624</v>
      </c>
      <c r="H497" s="70">
        <f t="shared" si="7"/>
        <v>26</v>
      </c>
      <c r="I497" s="11">
        <v>46069</v>
      </c>
      <c r="J497" s="11">
        <v>46066</v>
      </c>
      <c r="K497" s="13"/>
    </row>
    <row r="498" spans="1:11" ht="25.5" customHeight="1" x14ac:dyDescent="0.4">
      <c r="A498" s="7" t="s">
        <v>719</v>
      </c>
      <c r="B498" s="7" t="s">
        <v>95</v>
      </c>
      <c r="C498" s="8">
        <v>45150</v>
      </c>
      <c r="D498" s="9">
        <v>552681821</v>
      </c>
      <c r="E498" s="57">
        <v>40</v>
      </c>
      <c r="F498" s="37" t="s">
        <v>468</v>
      </c>
      <c r="G498" s="9">
        <v>1200</v>
      </c>
      <c r="H498" s="70">
        <f t="shared" si="7"/>
        <v>30</v>
      </c>
      <c r="I498" s="11">
        <v>46069</v>
      </c>
      <c r="J498" s="11">
        <v>46066</v>
      </c>
      <c r="K498" s="13"/>
    </row>
    <row r="499" spans="1:11" ht="18" x14ac:dyDescent="0.4">
      <c r="A499" s="7" t="s">
        <v>719</v>
      </c>
      <c r="B499" s="7" t="s">
        <v>95</v>
      </c>
      <c r="C499" s="8">
        <v>45150</v>
      </c>
      <c r="D499" s="9">
        <v>552677041</v>
      </c>
      <c r="E499" s="57">
        <v>40</v>
      </c>
      <c r="F499" s="10" t="s">
        <v>469</v>
      </c>
      <c r="G499" s="9">
        <v>400</v>
      </c>
      <c r="H499" s="70">
        <f t="shared" si="7"/>
        <v>10</v>
      </c>
      <c r="I499" s="11">
        <v>46069</v>
      </c>
      <c r="J499" s="11">
        <v>46066</v>
      </c>
      <c r="K499" s="13"/>
    </row>
    <row r="500" spans="1:11" ht="18" x14ac:dyDescent="0.4">
      <c r="A500" s="7" t="s">
        <v>719</v>
      </c>
      <c r="B500" s="7" t="s">
        <v>470</v>
      </c>
      <c r="C500" s="8">
        <v>21796</v>
      </c>
      <c r="D500" s="9">
        <v>552808040</v>
      </c>
      <c r="E500" s="57">
        <v>1920</v>
      </c>
      <c r="F500" s="10" t="s">
        <v>154</v>
      </c>
      <c r="G500" s="9">
        <v>0</v>
      </c>
      <c r="H500" s="70">
        <f t="shared" si="7"/>
        <v>0</v>
      </c>
      <c r="I500" s="11">
        <v>46069</v>
      </c>
      <c r="J500" s="11">
        <v>46066</v>
      </c>
      <c r="K500" s="13"/>
    </row>
    <row r="501" spans="1:11" ht="18" x14ac:dyDescent="0.4">
      <c r="A501" s="7" t="s">
        <v>719</v>
      </c>
      <c r="B501" s="7" t="s">
        <v>471</v>
      </c>
      <c r="C501" s="8">
        <v>42932</v>
      </c>
      <c r="D501" s="9">
        <v>463404510</v>
      </c>
      <c r="E501" s="57">
        <v>60</v>
      </c>
      <c r="F501" s="10" t="s">
        <v>155</v>
      </c>
      <c r="G501" s="9">
        <v>0</v>
      </c>
      <c r="H501" s="70">
        <f t="shared" si="7"/>
        <v>0</v>
      </c>
      <c r="I501" s="11">
        <v>46069</v>
      </c>
      <c r="J501" s="11">
        <v>46066</v>
      </c>
      <c r="K501" s="13"/>
    </row>
    <row r="502" spans="1:11" ht="18" x14ac:dyDescent="0.4">
      <c r="A502" s="7" t="s">
        <v>719</v>
      </c>
      <c r="B502" s="7" t="s">
        <v>471</v>
      </c>
      <c r="C502" s="8">
        <v>42932</v>
      </c>
      <c r="D502" s="9">
        <v>463404780</v>
      </c>
      <c r="E502" s="57">
        <v>60</v>
      </c>
      <c r="F502" s="10" t="s">
        <v>155</v>
      </c>
      <c r="G502" s="9">
        <v>0</v>
      </c>
      <c r="H502" s="70">
        <f t="shared" si="7"/>
        <v>0</v>
      </c>
      <c r="I502" s="11">
        <v>46069</v>
      </c>
      <c r="J502" s="11">
        <v>46066</v>
      </c>
      <c r="K502" s="13"/>
    </row>
    <row r="503" spans="1:11" ht="18" x14ac:dyDescent="0.4">
      <c r="A503" s="7" t="s">
        <v>719</v>
      </c>
      <c r="B503" s="7" t="s">
        <v>472</v>
      </c>
      <c r="C503" s="8">
        <v>41469</v>
      </c>
      <c r="D503" s="9">
        <v>463462830</v>
      </c>
      <c r="E503" s="57">
        <v>30</v>
      </c>
      <c r="F503" s="10" t="s">
        <v>428</v>
      </c>
      <c r="G503" s="9">
        <v>0</v>
      </c>
      <c r="H503" s="70">
        <f t="shared" si="7"/>
        <v>0</v>
      </c>
      <c r="I503" s="11">
        <v>46069</v>
      </c>
      <c r="J503" s="11">
        <v>46066</v>
      </c>
      <c r="K503" s="12"/>
    </row>
    <row r="504" spans="1:11" ht="18" x14ac:dyDescent="0.4">
      <c r="A504" s="43" t="s">
        <v>719</v>
      </c>
      <c r="B504" s="43" t="s">
        <v>473</v>
      </c>
      <c r="C504" s="44">
        <v>31775</v>
      </c>
      <c r="D504" s="45">
        <v>463530880</v>
      </c>
      <c r="E504" s="65">
        <v>30</v>
      </c>
      <c r="F504" s="46" t="s">
        <v>474</v>
      </c>
      <c r="G504" s="45">
        <v>0</v>
      </c>
      <c r="H504" s="70">
        <f t="shared" si="7"/>
        <v>0</v>
      </c>
      <c r="I504" s="11">
        <v>46069</v>
      </c>
      <c r="J504" s="47">
        <v>46066</v>
      </c>
      <c r="K504" s="48"/>
    </row>
    <row r="505" spans="1:11" ht="18" x14ac:dyDescent="0.4">
      <c r="A505" s="7" t="s">
        <v>475</v>
      </c>
      <c r="B505" s="16" t="s">
        <v>451</v>
      </c>
      <c r="C505" s="8">
        <v>30460</v>
      </c>
      <c r="D505" s="9">
        <v>463557158</v>
      </c>
      <c r="E505" s="57">
        <v>672</v>
      </c>
      <c r="F505" s="10" t="s">
        <v>476</v>
      </c>
      <c r="G505" s="9">
        <v>0</v>
      </c>
      <c r="H505" s="70">
        <f t="shared" si="7"/>
        <v>0</v>
      </c>
      <c r="I505" s="11">
        <v>46069</v>
      </c>
      <c r="J505" s="11">
        <v>46066</v>
      </c>
      <c r="K505" s="8"/>
    </row>
    <row r="506" spans="1:11" ht="18" x14ac:dyDescent="0.4">
      <c r="A506" s="7" t="s">
        <v>475</v>
      </c>
      <c r="B506" s="16" t="s">
        <v>451</v>
      </c>
      <c r="C506" s="8">
        <v>30460</v>
      </c>
      <c r="D506" s="9">
        <v>463557148</v>
      </c>
      <c r="E506" s="57">
        <v>672</v>
      </c>
      <c r="F506" s="10" t="s">
        <v>477</v>
      </c>
      <c r="G506" s="9">
        <v>0</v>
      </c>
      <c r="H506" s="70">
        <f t="shared" si="7"/>
        <v>0</v>
      </c>
      <c r="I506" s="11">
        <v>46069</v>
      </c>
      <c r="J506" s="11">
        <v>46066</v>
      </c>
      <c r="K506" s="8"/>
    </row>
    <row r="507" spans="1:11" ht="18" x14ac:dyDescent="0.4">
      <c r="A507" s="7" t="s">
        <v>475</v>
      </c>
      <c r="B507" s="16" t="s">
        <v>451</v>
      </c>
      <c r="C507" s="8">
        <v>30460</v>
      </c>
      <c r="D507" s="9">
        <v>552664537</v>
      </c>
      <c r="E507" s="57">
        <v>792</v>
      </c>
      <c r="F507" s="10" t="s">
        <v>478</v>
      </c>
      <c r="G507" s="9">
        <v>0</v>
      </c>
      <c r="H507" s="70">
        <f t="shared" si="7"/>
        <v>0</v>
      </c>
      <c r="I507" s="11">
        <v>46069</v>
      </c>
      <c r="J507" s="11">
        <v>46066</v>
      </c>
      <c r="K507" s="8"/>
    </row>
    <row r="508" spans="1:11" ht="18" x14ac:dyDescent="0.4">
      <c r="A508" s="7" t="s">
        <v>475</v>
      </c>
      <c r="B508" s="16" t="s">
        <v>451</v>
      </c>
      <c r="C508" s="8">
        <v>30460</v>
      </c>
      <c r="D508" s="9">
        <v>552664527</v>
      </c>
      <c r="E508" s="57">
        <v>792</v>
      </c>
      <c r="F508" s="10" t="s">
        <v>479</v>
      </c>
      <c r="G508" s="9">
        <v>0</v>
      </c>
      <c r="H508" s="70">
        <f t="shared" si="7"/>
        <v>0</v>
      </c>
      <c r="I508" s="11">
        <v>46069</v>
      </c>
      <c r="J508" s="11">
        <v>46066</v>
      </c>
      <c r="K508" s="8"/>
    </row>
    <row r="509" spans="1:11" ht="18" x14ac:dyDescent="0.4">
      <c r="A509" s="7" t="s">
        <v>475</v>
      </c>
      <c r="B509" s="16" t="s">
        <v>451</v>
      </c>
      <c r="C509" s="8">
        <v>30460</v>
      </c>
      <c r="D509" s="9">
        <v>552664547</v>
      </c>
      <c r="E509" s="57">
        <v>672</v>
      </c>
      <c r="F509" s="10" t="s">
        <v>480</v>
      </c>
      <c r="G509" s="9">
        <v>0</v>
      </c>
      <c r="H509" s="70">
        <f t="shared" si="7"/>
        <v>0</v>
      </c>
      <c r="I509" s="11">
        <v>46069</v>
      </c>
      <c r="J509" s="11">
        <v>46066</v>
      </c>
      <c r="K509" s="8"/>
    </row>
    <row r="510" spans="1:11" ht="18" x14ac:dyDescent="0.4">
      <c r="A510" s="7" t="s">
        <v>475</v>
      </c>
      <c r="B510" s="16" t="s">
        <v>451</v>
      </c>
      <c r="C510" s="8">
        <v>30460</v>
      </c>
      <c r="D510" s="9">
        <v>552664557</v>
      </c>
      <c r="E510" s="57">
        <v>672</v>
      </c>
      <c r="F510" s="10" t="s">
        <v>481</v>
      </c>
      <c r="G510" s="9">
        <v>0</v>
      </c>
      <c r="H510" s="70">
        <f t="shared" si="7"/>
        <v>0</v>
      </c>
      <c r="I510" s="11">
        <v>46069</v>
      </c>
      <c r="J510" s="11">
        <v>46066</v>
      </c>
      <c r="K510" s="8"/>
    </row>
    <row r="511" spans="1:11" ht="18" x14ac:dyDescent="0.4">
      <c r="A511" s="7" t="s">
        <v>475</v>
      </c>
      <c r="B511" s="16" t="s">
        <v>451</v>
      </c>
      <c r="C511" s="8">
        <v>30460</v>
      </c>
      <c r="D511" s="9">
        <v>552664567</v>
      </c>
      <c r="E511" s="57">
        <v>756</v>
      </c>
      <c r="F511" s="10" t="s">
        <v>482</v>
      </c>
      <c r="G511" s="9">
        <v>0</v>
      </c>
      <c r="H511" s="70">
        <f t="shared" si="7"/>
        <v>0</v>
      </c>
      <c r="I511" s="11">
        <v>46069</v>
      </c>
      <c r="J511" s="11">
        <v>46066</v>
      </c>
      <c r="K511" s="8"/>
    </row>
    <row r="512" spans="1:11" ht="18" x14ac:dyDescent="0.4">
      <c r="A512" s="7" t="s">
        <v>475</v>
      </c>
      <c r="B512" s="16" t="s">
        <v>451</v>
      </c>
      <c r="C512" s="8">
        <v>30460</v>
      </c>
      <c r="D512" s="9">
        <v>552664577</v>
      </c>
      <c r="E512" s="57">
        <v>756</v>
      </c>
      <c r="F512" s="10" t="s">
        <v>483</v>
      </c>
      <c r="G512" s="9">
        <v>0</v>
      </c>
      <c r="H512" s="70">
        <f t="shared" si="7"/>
        <v>0</v>
      </c>
      <c r="I512" s="11">
        <v>46069</v>
      </c>
      <c r="J512" s="11">
        <v>46066</v>
      </c>
      <c r="K512" s="8"/>
    </row>
    <row r="513" spans="1:11" ht="18" x14ac:dyDescent="0.4">
      <c r="A513" s="7" t="s">
        <v>475</v>
      </c>
      <c r="B513" s="16" t="s">
        <v>451</v>
      </c>
      <c r="C513" s="8">
        <v>30460</v>
      </c>
      <c r="D513" s="9">
        <v>463555108</v>
      </c>
      <c r="E513" s="57">
        <v>588</v>
      </c>
      <c r="F513" s="10" t="s">
        <v>484</v>
      </c>
      <c r="G513" s="9">
        <v>0</v>
      </c>
      <c r="H513" s="70">
        <f t="shared" si="7"/>
        <v>0</v>
      </c>
      <c r="I513" s="11">
        <v>46069</v>
      </c>
      <c r="J513" s="11">
        <v>46066</v>
      </c>
      <c r="K513" s="8"/>
    </row>
    <row r="514" spans="1:11" ht="18" x14ac:dyDescent="0.4">
      <c r="A514" s="7" t="s">
        <v>475</v>
      </c>
      <c r="B514" s="16" t="s">
        <v>451</v>
      </c>
      <c r="C514" s="8">
        <v>30460</v>
      </c>
      <c r="D514" s="9">
        <v>552086937</v>
      </c>
      <c r="E514" s="57">
        <v>588</v>
      </c>
      <c r="F514" s="10" t="s">
        <v>485</v>
      </c>
      <c r="G514" s="9">
        <v>0</v>
      </c>
      <c r="H514" s="70">
        <f t="shared" si="7"/>
        <v>0</v>
      </c>
      <c r="I514" s="11">
        <v>46069</v>
      </c>
      <c r="J514" s="11">
        <v>46066</v>
      </c>
      <c r="K514" s="8"/>
    </row>
    <row r="515" spans="1:11" ht="18" x14ac:dyDescent="0.4">
      <c r="A515" s="7" t="s">
        <v>475</v>
      </c>
      <c r="B515" s="16" t="s">
        <v>451</v>
      </c>
      <c r="C515" s="8">
        <v>30460</v>
      </c>
      <c r="D515" s="9">
        <v>463555088</v>
      </c>
      <c r="E515" s="57">
        <v>588</v>
      </c>
      <c r="F515" s="10" t="s">
        <v>486</v>
      </c>
      <c r="G515" s="9">
        <v>0</v>
      </c>
      <c r="H515" s="70">
        <f t="shared" si="7"/>
        <v>0</v>
      </c>
      <c r="I515" s="11">
        <v>46069</v>
      </c>
      <c r="J515" s="11">
        <v>46066</v>
      </c>
      <c r="K515" s="8"/>
    </row>
    <row r="516" spans="1:11" ht="18" x14ac:dyDescent="0.4">
      <c r="A516" s="7" t="s">
        <v>475</v>
      </c>
      <c r="B516" s="16" t="s">
        <v>451</v>
      </c>
      <c r="C516" s="8">
        <v>30460</v>
      </c>
      <c r="D516" s="9">
        <v>552086957</v>
      </c>
      <c r="E516" s="57">
        <v>588</v>
      </c>
      <c r="F516" s="10" t="s">
        <v>487</v>
      </c>
      <c r="G516" s="9">
        <v>0</v>
      </c>
      <c r="H516" s="70">
        <f t="shared" si="7"/>
        <v>0</v>
      </c>
      <c r="I516" s="11">
        <v>46069</v>
      </c>
      <c r="J516" s="11">
        <v>46066</v>
      </c>
      <c r="K516" s="8"/>
    </row>
    <row r="517" spans="1:11" ht="18" x14ac:dyDescent="0.4">
      <c r="A517" s="7" t="s">
        <v>475</v>
      </c>
      <c r="B517" s="16" t="s">
        <v>451</v>
      </c>
      <c r="C517" s="8">
        <v>30460</v>
      </c>
      <c r="D517" s="9">
        <v>552724278</v>
      </c>
      <c r="E517" s="57">
        <v>588</v>
      </c>
      <c r="F517" s="10" t="s">
        <v>488</v>
      </c>
      <c r="G517" s="9">
        <v>0</v>
      </c>
      <c r="H517" s="70">
        <f t="shared" si="7"/>
        <v>0</v>
      </c>
      <c r="I517" s="11">
        <v>46069</v>
      </c>
      <c r="J517" s="11">
        <v>46066</v>
      </c>
      <c r="K517" s="8"/>
    </row>
    <row r="518" spans="1:11" ht="18" x14ac:dyDescent="0.4">
      <c r="A518" s="7" t="s">
        <v>475</v>
      </c>
      <c r="B518" s="16" t="s">
        <v>451</v>
      </c>
      <c r="C518" s="8">
        <v>30460</v>
      </c>
      <c r="D518" s="9">
        <v>552086967</v>
      </c>
      <c r="E518" s="57">
        <v>294</v>
      </c>
      <c r="F518" s="10" t="s">
        <v>489</v>
      </c>
      <c r="G518" s="9">
        <v>0</v>
      </c>
      <c r="H518" s="70">
        <f t="shared" si="7"/>
        <v>0</v>
      </c>
      <c r="I518" s="11">
        <v>46069</v>
      </c>
      <c r="J518" s="11">
        <v>46066</v>
      </c>
      <c r="K518" s="8"/>
    </row>
    <row r="519" spans="1:11" ht="18" x14ac:dyDescent="0.4">
      <c r="A519" s="7" t="s">
        <v>475</v>
      </c>
      <c r="B519" s="16" t="s">
        <v>451</v>
      </c>
      <c r="C519" s="8">
        <v>30460</v>
      </c>
      <c r="D519" s="9">
        <v>552086977</v>
      </c>
      <c r="E519" s="57">
        <v>294</v>
      </c>
      <c r="F519" s="10" t="s">
        <v>490</v>
      </c>
      <c r="G519" s="9">
        <v>0</v>
      </c>
      <c r="H519" s="70">
        <f t="shared" si="7"/>
        <v>0</v>
      </c>
      <c r="I519" s="11">
        <v>46069</v>
      </c>
      <c r="J519" s="11">
        <v>46066</v>
      </c>
      <c r="K519" s="8"/>
    </row>
    <row r="520" spans="1:11" ht="18" x14ac:dyDescent="0.4">
      <c r="A520" s="7" t="s">
        <v>475</v>
      </c>
      <c r="B520" s="16" t="s">
        <v>451</v>
      </c>
      <c r="C520" s="8">
        <v>30460</v>
      </c>
      <c r="D520" s="9">
        <v>77579477</v>
      </c>
      <c r="E520" s="57">
        <v>294</v>
      </c>
      <c r="F520" s="10" t="s">
        <v>491</v>
      </c>
      <c r="G520" s="9">
        <v>0</v>
      </c>
      <c r="H520" s="70">
        <f t="shared" si="7"/>
        <v>0</v>
      </c>
      <c r="I520" s="11">
        <v>46069</v>
      </c>
      <c r="J520" s="11">
        <v>46066</v>
      </c>
      <c r="K520" s="8"/>
    </row>
    <row r="521" spans="1:11" ht="18" x14ac:dyDescent="0.4">
      <c r="A521" s="7" t="s">
        <v>475</v>
      </c>
      <c r="B521" s="16" t="s">
        <v>451</v>
      </c>
      <c r="C521" s="8">
        <v>30460</v>
      </c>
      <c r="D521" s="9">
        <v>552698778</v>
      </c>
      <c r="E521" s="57">
        <v>672</v>
      </c>
      <c r="F521" s="10" t="s">
        <v>492</v>
      </c>
      <c r="G521" s="9">
        <v>0</v>
      </c>
      <c r="H521" s="70">
        <f t="shared" si="7"/>
        <v>0</v>
      </c>
      <c r="I521" s="11">
        <v>46069</v>
      </c>
      <c r="J521" s="11">
        <v>46066</v>
      </c>
      <c r="K521" s="8"/>
    </row>
    <row r="522" spans="1:11" ht="18" x14ac:dyDescent="0.4">
      <c r="A522" s="7" t="s">
        <v>475</v>
      </c>
      <c r="B522" s="16" t="s">
        <v>451</v>
      </c>
      <c r="C522" s="8">
        <v>30460</v>
      </c>
      <c r="D522" s="9">
        <v>552698768</v>
      </c>
      <c r="E522" s="57">
        <v>672</v>
      </c>
      <c r="F522" s="10" t="s">
        <v>493</v>
      </c>
      <c r="G522" s="9">
        <v>0</v>
      </c>
      <c r="H522" s="70">
        <f t="shared" si="7"/>
        <v>0</v>
      </c>
      <c r="I522" s="11">
        <v>46069</v>
      </c>
      <c r="J522" s="11">
        <v>46066</v>
      </c>
      <c r="K522" s="8"/>
    </row>
    <row r="523" spans="1:11" ht="18" x14ac:dyDescent="0.4">
      <c r="A523" s="7" t="s">
        <v>475</v>
      </c>
      <c r="B523" s="16" t="s">
        <v>451</v>
      </c>
      <c r="C523" s="8">
        <v>30460</v>
      </c>
      <c r="D523" s="9">
        <v>552698758</v>
      </c>
      <c r="E523" s="57">
        <v>672</v>
      </c>
      <c r="F523" s="10" t="s">
        <v>494</v>
      </c>
      <c r="G523" s="9">
        <v>0</v>
      </c>
      <c r="H523" s="70">
        <f t="shared" si="7"/>
        <v>0</v>
      </c>
      <c r="I523" s="11">
        <v>46069</v>
      </c>
      <c r="J523" s="11">
        <v>46066</v>
      </c>
      <c r="K523" s="8"/>
    </row>
    <row r="524" spans="1:11" ht="18" x14ac:dyDescent="0.4">
      <c r="A524" s="7" t="s">
        <v>475</v>
      </c>
      <c r="B524" s="16" t="s">
        <v>451</v>
      </c>
      <c r="C524" s="8">
        <v>30460</v>
      </c>
      <c r="D524" s="9">
        <v>552698748</v>
      </c>
      <c r="E524" s="57">
        <v>672</v>
      </c>
      <c r="F524" s="10" t="s">
        <v>495</v>
      </c>
      <c r="G524" s="9">
        <v>0</v>
      </c>
      <c r="H524" s="70">
        <f t="shared" si="7"/>
        <v>0</v>
      </c>
      <c r="I524" s="11">
        <v>46069</v>
      </c>
      <c r="J524" s="11">
        <v>46066</v>
      </c>
      <c r="K524" s="8"/>
    </row>
    <row r="525" spans="1:11" ht="18" x14ac:dyDescent="0.4">
      <c r="A525" s="7" t="s">
        <v>475</v>
      </c>
      <c r="B525" s="16" t="s">
        <v>451</v>
      </c>
      <c r="C525" s="8">
        <v>30460</v>
      </c>
      <c r="D525" s="9">
        <v>552724288</v>
      </c>
      <c r="E525" s="57">
        <v>672</v>
      </c>
      <c r="F525" s="10" t="s">
        <v>496</v>
      </c>
      <c r="G525" s="9">
        <v>0</v>
      </c>
      <c r="H525" s="70">
        <f t="shared" si="7"/>
        <v>0</v>
      </c>
      <c r="I525" s="11">
        <v>46069</v>
      </c>
      <c r="J525" s="11">
        <v>46066</v>
      </c>
      <c r="K525" s="8"/>
    </row>
    <row r="526" spans="1:11" ht="18" x14ac:dyDescent="0.4">
      <c r="A526" s="7" t="s">
        <v>475</v>
      </c>
      <c r="B526" s="16" t="s">
        <v>451</v>
      </c>
      <c r="C526" s="8">
        <v>30460</v>
      </c>
      <c r="D526" s="9">
        <v>467670637</v>
      </c>
      <c r="E526" s="57">
        <v>792</v>
      </c>
      <c r="F526" s="10" t="s">
        <v>497</v>
      </c>
      <c r="G526" s="9">
        <v>0</v>
      </c>
      <c r="H526" s="70">
        <f t="shared" si="7"/>
        <v>0</v>
      </c>
      <c r="I526" s="11">
        <v>46069</v>
      </c>
      <c r="J526" s="11">
        <v>46066</v>
      </c>
      <c r="K526" s="8"/>
    </row>
    <row r="527" spans="1:11" ht="18" x14ac:dyDescent="0.4">
      <c r="A527" s="7" t="s">
        <v>475</v>
      </c>
      <c r="B527" s="16" t="s">
        <v>451</v>
      </c>
      <c r="C527" s="8">
        <v>30460</v>
      </c>
      <c r="D527" s="9">
        <v>552030228</v>
      </c>
      <c r="E527" s="57">
        <v>392</v>
      </c>
      <c r="F527" s="10" t="s">
        <v>498</v>
      </c>
      <c r="G527" s="9">
        <v>0</v>
      </c>
      <c r="H527" s="70">
        <f t="shared" si="7"/>
        <v>0</v>
      </c>
      <c r="I527" s="11">
        <v>46069</v>
      </c>
      <c r="J527" s="11">
        <v>46066</v>
      </c>
      <c r="K527" s="8"/>
    </row>
    <row r="528" spans="1:11" ht="18" x14ac:dyDescent="0.4">
      <c r="A528" s="7" t="s">
        <v>475</v>
      </c>
      <c r="B528" s="16" t="s">
        <v>451</v>
      </c>
      <c r="C528" s="8">
        <v>30460</v>
      </c>
      <c r="D528" s="9">
        <v>467784288</v>
      </c>
      <c r="E528" s="57">
        <v>392</v>
      </c>
      <c r="F528" s="10" t="s">
        <v>499</v>
      </c>
      <c r="G528" s="9">
        <v>0</v>
      </c>
      <c r="H528" s="70">
        <f t="shared" si="7"/>
        <v>0</v>
      </c>
      <c r="I528" s="11">
        <v>46069</v>
      </c>
      <c r="J528" s="11">
        <v>46066</v>
      </c>
      <c r="K528" s="8"/>
    </row>
    <row r="529" spans="1:11" ht="18" x14ac:dyDescent="0.4">
      <c r="A529" s="7" t="s">
        <v>475</v>
      </c>
      <c r="B529" s="16" t="s">
        <v>451</v>
      </c>
      <c r="C529" s="8">
        <v>30460</v>
      </c>
      <c r="D529" s="9">
        <v>467784297</v>
      </c>
      <c r="E529" s="57">
        <v>392</v>
      </c>
      <c r="F529" s="10" t="s">
        <v>500</v>
      </c>
      <c r="G529" s="9">
        <v>0</v>
      </c>
      <c r="H529" s="70">
        <f t="shared" si="7"/>
        <v>0</v>
      </c>
      <c r="I529" s="11">
        <v>46069</v>
      </c>
      <c r="J529" s="11">
        <v>46066</v>
      </c>
      <c r="K529" s="8"/>
    </row>
    <row r="530" spans="1:11" ht="18" x14ac:dyDescent="0.4">
      <c r="A530" s="7" t="s">
        <v>475</v>
      </c>
      <c r="B530" s="16" t="s">
        <v>451</v>
      </c>
      <c r="C530" s="8">
        <v>30460</v>
      </c>
      <c r="D530" s="9">
        <v>551824567</v>
      </c>
      <c r="E530" s="57">
        <v>392</v>
      </c>
      <c r="F530" s="10" t="s">
        <v>501</v>
      </c>
      <c r="G530" s="9">
        <v>0</v>
      </c>
      <c r="H530" s="70">
        <f t="shared" si="7"/>
        <v>0</v>
      </c>
      <c r="I530" s="11">
        <v>46069</v>
      </c>
      <c r="J530" s="11">
        <v>46066</v>
      </c>
      <c r="K530" s="8"/>
    </row>
    <row r="531" spans="1:11" ht="18" x14ac:dyDescent="0.4">
      <c r="A531" s="7" t="s">
        <v>475</v>
      </c>
      <c r="B531" s="16" t="s">
        <v>451</v>
      </c>
      <c r="C531" s="8">
        <v>30460</v>
      </c>
      <c r="D531" s="9">
        <v>552433468</v>
      </c>
      <c r="E531" s="57">
        <v>392</v>
      </c>
      <c r="F531" s="10" t="s">
        <v>502</v>
      </c>
      <c r="G531" s="9">
        <v>0</v>
      </c>
      <c r="H531" s="70">
        <f t="shared" si="7"/>
        <v>0</v>
      </c>
      <c r="I531" s="11">
        <v>46069</v>
      </c>
      <c r="J531" s="11">
        <v>46066</v>
      </c>
      <c r="K531" s="8"/>
    </row>
    <row r="532" spans="1:11" ht="18" x14ac:dyDescent="0.4">
      <c r="A532" s="7" t="s">
        <v>475</v>
      </c>
      <c r="B532" s="16" t="s">
        <v>451</v>
      </c>
      <c r="C532" s="8">
        <v>30460</v>
      </c>
      <c r="D532" s="9">
        <v>463503958</v>
      </c>
      <c r="E532" s="57">
        <v>392</v>
      </c>
      <c r="F532" s="10" t="s">
        <v>503</v>
      </c>
      <c r="G532" s="9">
        <v>0</v>
      </c>
      <c r="H532" s="70">
        <f t="shared" si="7"/>
        <v>0</v>
      </c>
      <c r="I532" s="11">
        <v>46069</v>
      </c>
      <c r="J532" s="11">
        <v>46066</v>
      </c>
      <c r="K532" s="8"/>
    </row>
    <row r="533" spans="1:11" ht="18" x14ac:dyDescent="0.4">
      <c r="A533" s="7" t="s">
        <v>475</v>
      </c>
      <c r="B533" s="16" t="s">
        <v>451</v>
      </c>
      <c r="C533" s="8">
        <v>30460</v>
      </c>
      <c r="D533" s="9">
        <v>552486498</v>
      </c>
      <c r="E533" s="57">
        <v>392</v>
      </c>
      <c r="F533" s="10" t="s">
        <v>504</v>
      </c>
      <c r="G533" s="9">
        <v>0</v>
      </c>
      <c r="H533" s="70">
        <f t="shared" si="7"/>
        <v>0</v>
      </c>
      <c r="I533" s="11">
        <v>46069</v>
      </c>
      <c r="J533" s="11">
        <v>46066</v>
      </c>
      <c r="K533" s="8"/>
    </row>
    <row r="534" spans="1:11" ht="18" x14ac:dyDescent="0.4">
      <c r="A534" s="7" t="s">
        <v>475</v>
      </c>
      <c r="B534" s="16" t="s">
        <v>451</v>
      </c>
      <c r="C534" s="8">
        <v>30460</v>
      </c>
      <c r="D534" s="9">
        <v>468076307</v>
      </c>
      <c r="E534" s="57">
        <v>546</v>
      </c>
      <c r="F534" s="10" t="s">
        <v>505</v>
      </c>
      <c r="G534" s="9">
        <v>0</v>
      </c>
      <c r="H534" s="70">
        <f t="shared" si="7"/>
        <v>0</v>
      </c>
      <c r="I534" s="11">
        <v>46069</v>
      </c>
      <c r="J534" s="11">
        <v>46066</v>
      </c>
      <c r="K534" s="8"/>
    </row>
    <row r="535" spans="1:11" ht="18" x14ac:dyDescent="0.4">
      <c r="A535" s="7" t="s">
        <v>475</v>
      </c>
      <c r="B535" s="16" t="s">
        <v>451</v>
      </c>
      <c r="C535" s="8">
        <v>30460</v>
      </c>
      <c r="D535" s="9">
        <v>468084487</v>
      </c>
      <c r="E535" s="57">
        <v>546</v>
      </c>
      <c r="F535" s="10" t="s">
        <v>506</v>
      </c>
      <c r="G535" s="9">
        <v>0</v>
      </c>
      <c r="H535" s="70">
        <f t="shared" si="7"/>
        <v>0</v>
      </c>
      <c r="I535" s="11">
        <v>46069</v>
      </c>
      <c r="J535" s="11">
        <v>46066</v>
      </c>
      <c r="K535" s="8"/>
    </row>
    <row r="536" spans="1:11" ht="18" x14ac:dyDescent="0.4">
      <c r="A536" s="7" t="s">
        <v>475</v>
      </c>
      <c r="B536" s="16" t="s">
        <v>451</v>
      </c>
      <c r="C536" s="8">
        <v>30460</v>
      </c>
      <c r="D536" s="9">
        <v>552727098</v>
      </c>
      <c r="E536" s="57">
        <v>546</v>
      </c>
      <c r="F536" s="10" t="s">
        <v>507</v>
      </c>
      <c r="G536" s="9">
        <v>0</v>
      </c>
      <c r="H536" s="70">
        <f t="shared" si="7"/>
        <v>0</v>
      </c>
      <c r="I536" s="11">
        <v>46069</v>
      </c>
      <c r="J536" s="11">
        <v>46066</v>
      </c>
      <c r="K536" s="8"/>
    </row>
    <row r="537" spans="1:11" ht="18" x14ac:dyDescent="0.4">
      <c r="A537" s="7" t="s">
        <v>475</v>
      </c>
      <c r="B537" s="16" t="s">
        <v>451</v>
      </c>
      <c r="C537" s="8">
        <v>30460</v>
      </c>
      <c r="D537" s="9">
        <v>552792228</v>
      </c>
      <c r="E537" s="57">
        <v>546</v>
      </c>
      <c r="F537" s="10" t="s">
        <v>508</v>
      </c>
      <c r="G537" s="9">
        <v>0</v>
      </c>
      <c r="H537" s="70">
        <f t="shared" si="7"/>
        <v>0</v>
      </c>
      <c r="I537" s="11">
        <v>46069</v>
      </c>
      <c r="J537" s="11">
        <v>46066</v>
      </c>
      <c r="K537" s="8"/>
    </row>
    <row r="538" spans="1:11" ht="18" x14ac:dyDescent="0.4">
      <c r="A538" s="7" t="s">
        <v>475</v>
      </c>
      <c r="B538" s="16" t="s">
        <v>451</v>
      </c>
      <c r="C538" s="8">
        <v>30460</v>
      </c>
      <c r="D538" s="9">
        <v>59507209</v>
      </c>
      <c r="E538" s="57">
        <v>450</v>
      </c>
      <c r="F538" s="10" t="s">
        <v>509</v>
      </c>
      <c r="G538" s="9">
        <v>0</v>
      </c>
      <c r="H538" s="70">
        <f t="shared" si="7"/>
        <v>0</v>
      </c>
      <c r="I538" s="11">
        <v>46069</v>
      </c>
      <c r="J538" s="11">
        <v>46066</v>
      </c>
      <c r="K538" s="8"/>
    </row>
    <row r="539" spans="1:11" ht="18" x14ac:dyDescent="0.4">
      <c r="A539" s="7" t="s">
        <v>475</v>
      </c>
      <c r="B539" s="16" t="s">
        <v>451</v>
      </c>
      <c r="C539" s="8">
        <v>30460</v>
      </c>
      <c r="D539" s="9">
        <v>77894039</v>
      </c>
      <c r="E539" s="57">
        <v>2880</v>
      </c>
      <c r="F539" s="10" t="s">
        <v>510</v>
      </c>
      <c r="G539" s="9">
        <v>0</v>
      </c>
      <c r="H539" s="70">
        <f t="shared" si="7"/>
        <v>0</v>
      </c>
      <c r="I539" s="11">
        <v>46069</v>
      </c>
      <c r="J539" s="11">
        <v>46066</v>
      </c>
      <c r="K539" s="8"/>
    </row>
    <row r="540" spans="1:11" ht="18" x14ac:dyDescent="0.4">
      <c r="A540" s="7" t="s">
        <v>475</v>
      </c>
      <c r="B540" s="16" t="s">
        <v>451</v>
      </c>
      <c r="C540" s="8">
        <v>30460</v>
      </c>
      <c r="D540" s="9">
        <v>551955737</v>
      </c>
      <c r="E540" s="57">
        <v>700</v>
      </c>
      <c r="F540" s="10" t="s">
        <v>511</v>
      </c>
      <c r="G540" s="9">
        <v>0</v>
      </c>
      <c r="H540" s="70">
        <f t="shared" si="7"/>
        <v>0</v>
      </c>
      <c r="I540" s="11">
        <v>46069</v>
      </c>
      <c r="J540" s="11">
        <v>46066</v>
      </c>
      <c r="K540" s="8"/>
    </row>
    <row r="541" spans="1:11" ht="18" x14ac:dyDescent="0.4">
      <c r="A541" s="7" t="s">
        <v>475</v>
      </c>
      <c r="B541" s="16" t="s">
        <v>451</v>
      </c>
      <c r="C541" s="8">
        <v>30460</v>
      </c>
      <c r="D541" s="9">
        <v>551955748</v>
      </c>
      <c r="E541" s="57">
        <v>700</v>
      </c>
      <c r="F541" s="10" t="s">
        <v>512</v>
      </c>
      <c r="G541" s="9">
        <v>0</v>
      </c>
      <c r="H541" s="70">
        <f t="shared" si="7"/>
        <v>0</v>
      </c>
      <c r="I541" s="11">
        <v>46069</v>
      </c>
      <c r="J541" s="11">
        <v>46066</v>
      </c>
      <c r="K541" s="8"/>
    </row>
    <row r="542" spans="1:11" ht="18" x14ac:dyDescent="0.4">
      <c r="A542" s="7" t="s">
        <v>475</v>
      </c>
      <c r="B542" s="16" t="s">
        <v>451</v>
      </c>
      <c r="C542" s="8">
        <v>30460</v>
      </c>
      <c r="D542" s="9">
        <v>552792238</v>
      </c>
      <c r="E542" s="57">
        <v>700</v>
      </c>
      <c r="F542" s="10" t="s">
        <v>513</v>
      </c>
      <c r="G542" s="9">
        <v>0</v>
      </c>
      <c r="H542" s="70">
        <f t="shared" si="7"/>
        <v>0</v>
      </c>
      <c r="I542" s="11">
        <v>46069</v>
      </c>
      <c r="J542" s="11">
        <v>46066</v>
      </c>
      <c r="K542" s="8"/>
    </row>
    <row r="543" spans="1:11" ht="18" x14ac:dyDescent="0.4">
      <c r="A543" s="60" t="s">
        <v>475</v>
      </c>
      <c r="B543" s="81" t="s">
        <v>451</v>
      </c>
      <c r="C543" s="60">
        <v>30460</v>
      </c>
      <c r="D543" s="61">
        <v>463458098</v>
      </c>
      <c r="E543" s="57">
        <v>1650</v>
      </c>
      <c r="F543" s="10" t="s">
        <v>514</v>
      </c>
      <c r="G543" s="9">
        <v>0</v>
      </c>
      <c r="H543" s="70">
        <f t="shared" si="7"/>
        <v>0</v>
      </c>
      <c r="I543" s="11">
        <v>46069</v>
      </c>
      <c r="J543" s="11">
        <v>46066</v>
      </c>
      <c r="K543" s="8"/>
    </row>
    <row r="544" spans="1:11" ht="18" x14ac:dyDescent="0.4">
      <c r="A544" s="7" t="s">
        <v>475</v>
      </c>
      <c r="B544" s="7" t="s">
        <v>95</v>
      </c>
      <c r="C544" s="8">
        <v>45150</v>
      </c>
      <c r="D544" s="9">
        <v>77894011</v>
      </c>
      <c r="E544" s="57">
        <v>300</v>
      </c>
      <c r="F544" s="10" t="s">
        <v>515</v>
      </c>
      <c r="G544" s="9">
        <v>0</v>
      </c>
      <c r="H544" s="70">
        <f t="shared" ref="H544:H607" si="8">+G544/E544</f>
        <v>0</v>
      </c>
      <c r="I544" s="11">
        <v>46069</v>
      </c>
      <c r="J544" s="11">
        <v>46066</v>
      </c>
      <c r="K544" s="8"/>
    </row>
    <row r="545" spans="1:11" ht="18" x14ac:dyDescent="0.4">
      <c r="A545" s="7" t="s">
        <v>475</v>
      </c>
      <c r="B545" s="7" t="s">
        <v>95</v>
      </c>
      <c r="C545" s="8">
        <v>45150</v>
      </c>
      <c r="D545" s="9">
        <v>467721611</v>
      </c>
      <c r="E545" s="57">
        <v>240</v>
      </c>
      <c r="F545" s="10" t="s">
        <v>516</v>
      </c>
      <c r="G545" s="9">
        <v>0</v>
      </c>
      <c r="H545" s="70">
        <f t="shared" si="8"/>
        <v>0</v>
      </c>
      <c r="I545" s="11">
        <v>46069</v>
      </c>
      <c r="J545" s="11">
        <v>46066</v>
      </c>
      <c r="K545" s="8"/>
    </row>
    <row r="546" spans="1:11" ht="18" x14ac:dyDescent="0.4">
      <c r="A546" s="60" t="s">
        <v>475</v>
      </c>
      <c r="B546" s="60" t="s">
        <v>517</v>
      </c>
      <c r="C546" s="60">
        <v>46051</v>
      </c>
      <c r="D546" s="61">
        <v>463559961</v>
      </c>
      <c r="E546" s="57">
        <v>270</v>
      </c>
      <c r="F546" s="10" t="s">
        <v>518</v>
      </c>
      <c r="G546" s="9">
        <v>0</v>
      </c>
      <c r="H546" s="70">
        <f t="shared" si="8"/>
        <v>0</v>
      </c>
      <c r="I546" s="11">
        <v>46069</v>
      </c>
      <c r="J546" s="11">
        <v>46066</v>
      </c>
      <c r="K546" s="8"/>
    </row>
    <row r="547" spans="1:11" ht="18" x14ac:dyDescent="0.4">
      <c r="A547" s="7" t="s">
        <v>475</v>
      </c>
      <c r="B547" s="7" t="s">
        <v>517</v>
      </c>
      <c r="C547" s="8">
        <v>46051</v>
      </c>
      <c r="D547" s="9">
        <v>75821121</v>
      </c>
      <c r="E547" s="57">
        <v>270</v>
      </c>
      <c r="F547" s="10" t="s">
        <v>519</v>
      </c>
      <c r="G547" s="9">
        <v>0</v>
      </c>
      <c r="H547" s="70">
        <f t="shared" si="8"/>
        <v>0</v>
      </c>
      <c r="I547" s="11">
        <v>46069</v>
      </c>
      <c r="J547" s="11">
        <v>46066</v>
      </c>
      <c r="K547" s="8"/>
    </row>
    <row r="548" spans="1:11" ht="18" x14ac:dyDescent="0.4">
      <c r="A548" s="7" t="s">
        <v>475</v>
      </c>
      <c r="B548" s="7" t="s">
        <v>517</v>
      </c>
      <c r="C548" s="8">
        <v>46051</v>
      </c>
      <c r="D548" s="9">
        <v>463433241</v>
      </c>
      <c r="E548" s="57">
        <v>270</v>
      </c>
      <c r="F548" s="10" t="s">
        <v>520</v>
      </c>
      <c r="G548" s="9">
        <v>0</v>
      </c>
      <c r="H548" s="70">
        <f t="shared" si="8"/>
        <v>0</v>
      </c>
      <c r="I548" s="11">
        <v>46069</v>
      </c>
      <c r="J548" s="11">
        <v>46066</v>
      </c>
      <c r="K548" s="8"/>
    </row>
    <row r="549" spans="1:11" ht="18" x14ac:dyDescent="0.4">
      <c r="A549" s="7" t="s">
        <v>475</v>
      </c>
      <c r="B549" s="7" t="s">
        <v>517</v>
      </c>
      <c r="C549" s="8">
        <v>46051</v>
      </c>
      <c r="D549" s="9">
        <v>464420321</v>
      </c>
      <c r="E549" s="57">
        <v>270</v>
      </c>
      <c r="F549" s="10" t="s">
        <v>521</v>
      </c>
      <c r="G549" s="9">
        <v>0</v>
      </c>
      <c r="H549" s="70">
        <f t="shared" si="8"/>
        <v>0</v>
      </c>
      <c r="I549" s="11">
        <v>46069</v>
      </c>
      <c r="J549" s="11">
        <v>46066</v>
      </c>
      <c r="K549" s="8"/>
    </row>
    <row r="550" spans="1:11" ht="18" x14ac:dyDescent="0.4">
      <c r="A550" s="7" t="s">
        <v>475</v>
      </c>
      <c r="B550" s="7" t="s">
        <v>517</v>
      </c>
      <c r="C550" s="8">
        <v>46051</v>
      </c>
      <c r="D550" s="9">
        <v>465555151</v>
      </c>
      <c r="E550" s="57">
        <v>270</v>
      </c>
      <c r="F550" s="10" t="s">
        <v>522</v>
      </c>
      <c r="G550" s="9">
        <v>0</v>
      </c>
      <c r="H550" s="70">
        <f t="shared" si="8"/>
        <v>0</v>
      </c>
      <c r="I550" s="11">
        <v>46069</v>
      </c>
      <c r="J550" s="11">
        <v>46066</v>
      </c>
      <c r="K550" s="8"/>
    </row>
    <row r="551" spans="1:11" ht="18" x14ac:dyDescent="0.4">
      <c r="A551" s="7" t="s">
        <v>475</v>
      </c>
      <c r="B551" s="7" t="s">
        <v>517</v>
      </c>
      <c r="C551" s="8">
        <v>46051</v>
      </c>
      <c r="D551" s="9">
        <v>552694438</v>
      </c>
      <c r="E551" s="57">
        <v>270</v>
      </c>
      <c r="F551" s="10" t="s">
        <v>523</v>
      </c>
      <c r="G551" s="9">
        <v>0</v>
      </c>
      <c r="H551" s="70">
        <f t="shared" si="8"/>
        <v>0</v>
      </c>
      <c r="I551" s="11">
        <v>46069</v>
      </c>
      <c r="J551" s="11">
        <v>46066</v>
      </c>
      <c r="K551" s="8"/>
    </row>
    <row r="552" spans="1:11" ht="18" x14ac:dyDescent="0.4">
      <c r="A552" s="7" t="s">
        <v>475</v>
      </c>
      <c r="B552" s="7" t="s">
        <v>517</v>
      </c>
      <c r="C552" s="8">
        <v>46051</v>
      </c>
      <c r="D552" s="9">
        <v>464197038</v>
      </c>
      <c r="E552" s="57">
        <v>270</v>
      </c>
      <c r="F552" s="10" t="s">
        <v>524</v>
      </c>
      <c r="G552" s="9">
        <v>0</v>
      </c>
      <c r="H552" s="70">
        <f t="shared" si="8"/>
        <v>0</v>
      </c>
      <c r="I552" s="11">
        <v>46069</v>
      </c>
      <c r="J552" s="11">
        <v>46066</v>
      </c>
      <c r="K552" s="8"/>
    </row>
    <row r="553" spans="1:11" ht="18" x14ac:dyDescent="0.4">
      <c r="A553" s="7" t="s">
        <v>475</v>
      </c>
      <c r="B553" s="7" t="s">
        <v>517</v>
      </c>
      <c r="C553" s="8">
        <v>46051</v>
      </c>
      <c r="D553" s="9">
        <v>77603518</v>
      </c>
      <c r="E553" s="57">
        <v>270</v>
      </c>
      <c r="F553" s="10" t="s">
        <v>525</v>
      </c>
      <c r="G553" s="9">
        <v>0</v>
      </c>
      <c r="H553" s="70">
        <f t="shared" si="8"/>
        <v>0</v>
      </c>
      <c r="I553" s="11">
        <v>46069</v>
      </c>
      <c r="J553" s="11">
        <v>46066</v>
      </c>
      <c r="K553" s="8"/>
    </row>
    <row r="554" spans="1:11" ht="18" x14ac:dyDescent="0.4">
      <c r="A554" s="60" t="s">
        <v>475</v>
      </c>
      <c r="B554" s="60" t="s">
        <v>517</v>
      </c>
      <c r="C554" s="60">
        <v>46051</v>
      </c>
      <c r="D554" s="61">
        <v>463559978</v>
      </c>
      <c r="E554" s="57">
        <v>270</v>
      </c>
      <c r="F554" s="37" t="s">
        <v>526</v>
      </c>
      <c r="G554" s="9">
        <v>0</v>
      </c>
      <c r="H554" s="70">
        <f t="shared" si="8"/>
        <v>0</v>
      </c>
      <c r="I554" s="11">
        <v>46069</v>
      </c>
      <c r="J554" s="11">
        <v>46066</v>
      </c>
      <c r="K554" s="8"/>
    </row>
    <row r="555" spans="1:11" ht="18" x14ac:dyDescent="0.4">
      <c r="A555" s="7" t="s">
        <v>475</v>
      </c>
      <c r="B555" s="7" t="s">
        <v>517</v>
      </c>
      <c r="C555" s="8">
        <v>46051</v>
      </c>
      <c r="D555" s="9">
        <v>463433238</v>
      </c>
      <c r="E555" s="57">
        <v>270</v>
      </c>
      <c r="F555" s="37" t="s">
        <v>527</v>
      </c>
      <c r="G555" s="9">
        <v>0</v>
      </c>
      <c r="H555" s="70">
        <f t="shared" si="8"/>
        <v>0</v>
      </c>
      <c r="I555" s="11">
        <v>46069</v>
      </c>
      <c r="J555" s="11">
        <v>46066</v>
      </c>
      <c r="K555" s="8"/>
    </row>
    <row r="556" spans="1:11" ht="18" x14ac:dyDescent="0.4">
      <c r="A556" s="60" t="s">
        <v>475</v>
      </c>
      <c r="B556" s="60" t="s">
        <v>517</v>
      </c>
      <c r="C556" s="60">
        <v>46051</v>
      </c>
      <c r="D556" s="61">
        <v>463585598</v>
      </c>
      <c r="E556" s="57">
        <v>270</v>
      </c>
      <c r="F556" s="37" t="s">
        <v>527</v>
      </c>
      <c r="G556" s="9">
        <v>0</v>
      </c>
      <c r="H556" s="70">
        <f t="shared" si="8"/>
        <v>0</v>
      </c>
      <c r="I556" s="11">
        <v>46069</v>
      </c>
      <c r="J556" s="11">
        <v>46066</v>
      </c>
      <c r="K556" s="8"/>
    </row>
    <row r="557" spans="1:11" ht="18" x14ac:dyDescent="0.4">
      <c r="A557" s="7" t="s">
        <v>475</v>
      </c>
      <c r="B557" s="7" t="s">
        <v>517</v>
      </c>
      <c r="C557" s="8">
        <v>46051</v>
      </c>
      <c r="D557" s="9">
        <v>465555148</v>
      </c>
      <c r="E557" s="57">
        <v>270</v>
      </c>
      <c r="F557" s="37" t="s">
        <v>528</v>
      </c>
      <c r="G557" s="9">
        <v>0</v>
      </c>
      <c r="H557" s="70">
        <f t="shared" si="8"/>
        <v>0</v>
      </c>
      <c r="I557" s="11">
        <v>46069</v>
      </c>
      <c r="J557" s="11">
        <v>46066</v>
      </c>
      <c r="K557" s="8"/>
    </row>
    <row r="558" spans="1:11" ht="18" x14ac:dyDescent="0.4">
      <c r="A558" s="7" t="s">
        <v>475</v>
      </c>
      <c r="B558" s="7" t="s">
        <v>517</v>
      </c>
      <c r="C558" s="8">
        <v>46051</v>
      </c>
      <c r="D558" s="9">
        <v>463496858</v>
      </c>
      <c r="E558" s="57">
        <v>270</v>
      </c>
      <c r="F558" s="37" t="s">
        <v>529</v>
      </c>
      <c r="G558" s="9">
        <v>0</v>
      </c>
      <c r="H558" s="70">
        <f t="shared" si="8"/>
        <v>0</v>
      </c>
      <c r="I558" s="11">
        <v>46069</v>
      </c>
      <c r="J558" s="11">
        <v>46066</v>
      </c>
      <c r="K558" s="8"/>
    </row>
    <row r="559" spans="1:11" ht="18" x14ac:dyDescent="0.4">
      <c r="A559" s="7" t="s">
        <v>475</v>
      </c>
      <c r="B559" s="7" t="s">
        <v>517</v>
      </c>
      <c r="C559" s="8">
        <v>46051</v>
      </c>
      <c r="D559" s="9">
        <v>463535748</v>
      </c>
      <c r="E559" s="57">
        <v>270</v>
      </c>
      <c r="F559" s="37" t="s">
        <v>528</v>
      </c>
      <c r="G559" s="9">
        <v>0</v>
      </c>
      <c r="H559" s="70">
        <f t="shared" si="8"/>
        <v>0</v>
      </c>
      <c r="I559" s="11">
        <v>46069</v>
      </c>
      <c r="J559" s="11">
        <v>46066</v>
      </c>
      <c r="K559" s="8"/>
    </row>
    <row r="560" spans="1:11" ht="18" x14ac:dyDescent="0.4">
      <c r="A560" s="7" t="s">
        <v>475</v>
      </c>
      <c r="B560" s="7" t="s">
        <v>517</v>
      </c>
      <c r="C560" s="8">
        <v>46051</v>
      </c>
      <c r="D560" s="9">
        <v>552694428</v>
      </c>
      <c r="E560" s="57">
        <v>270</v>
      </c>
      <c r="F560" s="10" t="s">
        <v>530</v>
      </c>
      <c r="G560" s="9">
        <v>0</v>
      </c>
      <c r="H560" s="70">
        <f t="shared" si="8"/>
        <v>0</v>
      </c>
      <c r="I560" s="11">
        <v>46069</v>
      </c>
      <c r="J560" s="11">
        <v>46066</v>
      </c>
      <c r="K560" s="8"/>
    </row>
    <row r="561" spans="1:11" ht="18" x14ac:dyDescent="0.4">
      <c r="A561" s="7" t="s">
        <v>475</v>
      </c>
      <c r="B561" s="7" t="s">
        <v>517</v>
      </c>
      <c r="C561" s="8">
        <v>46051</v>
      </c>
      <c r="D561" s="9">
        <v>552571388</v>
      </c>
      <c r="E561" s="57">
        <v>270</v>
      </c>
      <c r="F561" s="37" t="s">
        <v>531</v>
      </c>
      <c r="G561" s="9">
        <v>0</v>
      </c>
      <c r="H561" s="70">
        <f t="shared" si="8"/>
        <v>0</v>
      </c>
      <c r="I561" s="11">
        <v>46069</v>
      </c>
      <c r="J561" s="11">
        <v>46066</v>
      </c>
      <c r="K561" s="8"/>
    </row>
    <row r="562" spans="1:11" ht="18" x14ac:dyDescent="0.4">
      <c r="A562" s="7" t="s">
        <v>475</v>
      </c>
      <c r="B562" s="7" t="s">
        <v>517</v>
      </c>
      <c r="C562" s="8">
        <v>46051</v>
      </c>
      <c r="D562" s="9">
        <v>552774808</v>
      </c>
      <c r="E562" s="57">
        <v>270</v>
      </c>
      <c r="F562" s="37" t="s">
        <v>532</v>
      </c>
      <c r="G562" s="9">
        <v>0</v>
      </c>
      <c r="H562" s="70">
        <f t="shared" si="8"/>
        <v>0</v>
      </c>
      <c r="I562" s="11">
        <v>46069</v>
      </c>
      <c r="J562" s="11">
        <v>46066</v>
      </c>
      <c r="K562" s="8"/>
    </row>
    <row r="563" spans="1:11" ht="18" x14ac:dyDescent="0.4">
      <c r="A563" s="7" t="s">
        <v>475</v>
      </c>
      <c r="B563" s="7" t="s">
        <v>517</v>
      </c>
      <c r="C563" s="8">
        <v>46051</v>
      </c>
      <c r="D563" s="9">
        <v>463496828</v>
      </c>
      <c r="E563" s="57">
        <v>270</v>
      </c>
      <c r="F563" s="37" t="s">
        <v>533</v>
      </c>
      <c r="G563" s="9">
        <v>0</v>
      </c>
      <c r="H563" s="70">
        <f t="shared" si="8"/>
        <v>0</v>
      </c>
      <c r="I563" s="11">
        <v>46069</v>
      </c>
      <c r="J563" s="11">
        <v>46066</v>
      </c>
      <c r="K563" s="8"/>
    </row>
    <row r="564" spans="1:11" ht="18" x14ac:dyDescent="0.4">
      <c r="A564" s="7" t="s">
        <v>475</v>
      </c>
      <c r="B564" s="7" t="s">
        <v>517</v>
      </c>
      <c r="C564" s="8">
        <v>46051</v>
      </c>
      <c r="D564" s="9">
        <v>552825828</v>
      </c>
      <c r="E564" s="57">
        <v>270</v>
      </c>
      <c r="F564" s="37" t="s">
        <v>534</v>
      </c>
      <c r="G564" s="9">
        <v>0</v>
      </c>
      <c r="H564" s="70">
        <f t="shared" si="8"/>
        <v>0</v>
      </c>
      <c r="I564" s="11">
        <v>46069</v>
      </c>
      <c r="J564" s="11">
        <v>46066</v>
      </c>
      <c r="K564" s="8"/>
    </row>
    <row r="565" spans="1:11" ht="18" x14ac:dyDescent="0.4">
      <c r="A565" s="7" t="s">
        <v>475</v>
      </c>
      <c r="B565" s="7" t="s">
        <v>517</v>
      </c>
      <c r="C565" s="8">
        <v>46051</v>
      </c>
      <c r="D565" s="9">
        <v>552835168</v>
      </c>
      <c r="E565" s="57">
        <v>270</v>
      </c>
      <c r="F565" s="37" t="s">
        <v>535</v>
      </c>
      <c r="G565" s="9">
        <v>0</v>
      </c>
      <c r="H565" s="70">
        <f t="shared" si="8"/>
        <v>0</v>
      </c>
      <c r="I565" s="11">
        <v>46069</v>
      </c>
      <c r="J565" s="11">
        <v>46066</v>
      </c>
      <c r="K565" s="8"/>
    </row>
    <row r="566" spans="1:11" ht="18" x14ac:dyDescent="0.4">
      <c r="A566" s="7" t="s">
        <v>475</v>
      </c>
      <c r="B566" s="7" t="s">
        <v>517</v>
      </c>
      <c r="C566" s="8">
        <v>46051</v>
      </c>
      <c r="D566" s="9">
        <v>551957818</v>
      </c>
      <c r="E566" s="57">
        <v>270</v>
      </c>
      <c r="F566" s="37" t="s">
        <v>536</v>
      </c>
      <c r="G566" s="9">
        <v>0</v>
      </c>
      <c r="H566" s="70">
        <f t="shared" si="8"/>
        <v>0</v>
      </c>
      <c r="I566" s="11">
        <v>46069</v>
      </c>
      <c r="J566" s="11">
        <v>46066</v>
      </c>
      <c r="K566" s="8"/>
    </row>
    <row r="567" spans="1:11" ht="18" x14ac:dyDescent="0.4">
      <c r="A567" s="7" t="s">
        <v>475</v>
      </c>
      <c r="B567" s="7" t="s">
        <v>517</v>
      </c>
      <c r="C567" s="8">
        <v>46051</v>
      </c>
      <c r="D567" s="9">
        <v>463496838</v>
      </c>
      <c r="E567" s="57">
        <v>270</v>
      </c>
      <c r="F567" s="37" t="s">
        <v>536</v>
      </c>
      <c r="G567" s="9">
        <v>0</v>
      </c>
      <c r="H567" s="70">
        <f t="shared" si="8"/>
        <v>0</v>
      </c>
      <c r="I567" s="11">
        <v>46069</v>
      </c>
      <c r="J567" s="11">
        <v>46066</v>
      </c>
      <c r="K567" s="8"/>
    </row>
    <row r="568" spans="1:11" ht="18" x14ac:dyDescent="0.4">
      <c r="A568" s="7" t="s">
        <v>475</v>
      </c>
      <c r="B568" s="7" t="s">
        <v>517</v>
      </c>
      <c r="C568" s="8">
        <v>46051</v>
      </c>
      <c r="D568" s="9">
        <v>552284868</v>
      </c>
      <c r="E568" s="57">
        <v>270</v>
      </c>
      <c r="F568" s="37" t="s">
        <v>537</v>
      </c>
      <c r="G568" s="9">
        <v>0</v>
      </c>
      <c r="H568" s="70">
        <f t="shared" si="8"/>
        <v>0</v>
      </c>
      <c r="I568" s="11">
        <v>46069</v>
      </c>
      <c r="J568" s="11">
        <v>46066</v>
      </c>
      <c r="K568" s="8"/>
    </row>
    <row r="569" spans="1:11" ht="18" x14ac:dyDescent="0.4">
      <c r="A569" s="7" t="s">
        <v>475</v>
      </c>
      <c r="B569" s="7" t="s">
        <v>517</v>
      </c>
      <c r="C569" s="8">
        <v>46051</v>
      </c>
      <c r="D569" s="9">
        <v>463496848</v>
      </c>
      <c r="E569" s="57">
        <v>270</v>
      </c>
      <c r="F569" s="37" t="s">
        <v>538</v>
      </c>
      <c r="G569" s="9">
        <v>0</v>
      </c>
      <c r="H569" s="70">
        <f t="shared" si="8"/>
        <v>0</v>
      </c>
      <c r="I569" s="11">
        <v>46069</v>
      </c>
      <c r="J569" s="11">
        <v>46066</v>
      </c>
      <c r="K569" s="8"/>
    </row>
    <row r="570" spans="1:11" ht="18" x14ac:dyDescent="0.4">
      <c r="A570" s="7" t="s">
        <v>475</v>
      </c>
      <c r="B570" s="7" t="s">
        <v>517</v>
      </c>
      <c r="C570" s="8">
        <v>46051</v>
      </c>
      <c r="D570" s="9">
        <v>552696328</v>
      </c>
      <c r="E570" s="57">
        <v>180</v>
      </c>
      <c r="F570" s="37" t="s">
        <v>539</v>
      </c>
      <c r="G570" s="9">
        <v>0</v>
      </c>
      <c r="H570" s="70">
        <f t="shared" si="8"/>
        <v>0</v>
      </c>
      <c r="I570" s="11">
        <v>46069</v>
      </c>
      <c r="J570" s="11">
        <v>46066</v>
      </c>
      <c r="K570" s="8"/>
    </row>
    <row r="571" spans="1:11" ht="18" x14ac:dyDescent="0.4">
      <c r="A571" s="7" t="s">
        <v>475</v>
      </c>
      <c r="B571" s="7" t="s">
        <v>517</v>
      </c>
      <c r="C571" s="8">
        <v>46051</v>
      </c>
      <c r="D571" s="9">
        <v>463496868</v>
      </c>
      <c r="E571" s="57">
        <v>180</v>
      </c>
      <c r="F571" s="38" t="s">
        <v>540</v>
      </c>
      <c r="G571" s="9">
        <v>0</v>
      </c>
      <c r="H571" s="70">
        <f t="shared" si="8"/>
        <v>0</v>
      </c>
      <c r="I571" s="11">
        <v>46069</v>
      </c>
      <c r="J571" s="11">
        <v>46066</v>
      </c>
      <c r="K571" s="8"/>
    </row>
    <row r="572" spans="1:11" ht="18" x14ac:dyDescent="0.4">
      <c r="A572" s="39" t="s">
        <v>475</v>
      </c>
      <c r="B572" s="39" t="s">
        <v>517</v>
      </c>
      <c r="C572" s="40">
        <v>46051</v>
      </c>
      <c r="D572" s="41">
        <v>552727078</v>
      </c>
      <c r="E572" s="66">
        <v>180</v>
      </c>
      <c r="F572" s="42" t="s">
        <v>541</v>
      </c>
      <c r="G572" s="9">
        <v>0</v>
      </c>
      <c r="H572" s="70">
        <f t="shared" si="8"/>
        <v>0</v>
      </c>
      <c r="I572" s="11">
        <v>46069</v>
      </c>
      <c r="J572" s="11">
        <v>46066</v>
      </c>
      <c r="K572" s="8"/>
    </row>
    <row r="573" spans="1:11" ht="33" customHeight="1" x14ac:dyDescent="0.4">
      <c r="A573" s="39" t="s">
        <v>475</v>
      </c>
      <c r="B573" s="39" t="s">
        <v>517</v>
      </c>
      <c r="C573" s="40">
        <v>46051</v>
      </c>
      <c r="D573" s="41">
        <v>552770948</v>
      </c>
      <c r="E573" s="66">
        <v>180</v>
      </c>
      <c r="F573" s="42" t="s">
        <v>542</v>
      </c>
      <c r="G573" s="9">
        <v>0</v>
      </c>
      <c r="H573" s="70">
        <f t="shared" si="8"/>
        <v>0</v>
      </c>
      <c r="I573" s="11">
        <v>46069</v>
      </c>
      <c r="J573" s="11">
        <v>46066</v>
      </c>
      <c r="K573" s="8"/>
    </row>
    <row r="574" spans="1:11" ht="18" x14ac:dyDescent="0.4">
      <c r="A574" s="7" t="s">
        <v>475</v>
      </c>
      <c r="B574" s="7" t="s">
        <v>517</v>
      </c>
      <c r="C574" s="8">
        <v>46051</v>
      </c>
      <c r="D574" s="9">
        <v>468084498</v>
      </c>
      <c r="E574" s="57">
        <v>180</v>
      </c>
      <c r="F574" s="37" t="s">
        <v>543</v>
      </c>
      <c r="G574" s="9">
        <v>0</v>
      </c>
      <c r="H574" s="70">
        <f t="shared" si="8"/>
        <v>0</v>
      </c>
      <c r="I574" s="11">
        <v>46069</v>
      </c>
      <c r="J574" s="11">
        <v>46066</v>
      </c>
      <c r="K574" s="8"/>
    </row>
    <row r="575" spans="1:11" ht="18" x14ac:dyDescent="0.4">
      <c r="A575" s="7" t="s">
        <v>475</v>
      </c>
      <c r="B575" s="7" t="s">
        <v>517</v>
      </c>
      <c r="C575" s="8">
        <v>46051</v>
      </c>
      <c r="D575" s="9">
        <v>463496808</v>
      </c>
      <c r="E575" s="57">
        <v>180</v>
      </c>
      <c r="F575" s="37" t="s">
        <v>543</v>
      </c>
      <c r="G575" s="9">
        <v>0</v>
      </c>
      <c r="H575" s="70">
        <f t="shared" si="8"/>
        <v>0</v>
      </c>
      <c r="I575" s="11">
        <v>46069</v>
      </c>
      <c r="J575" s="11">
        <v>46066</v>
      </c>
      <c r="K575" s="8"/>
    </row>
    <row r="576" spans="1:11" ht="18" x14ac:dyDescent="0.4">
      <c r="A576" s="7" t="s">
        <v>475</v>
      </c>
      <c r="B576" s="7" t="s">
        <v>517</v>
      </c>
      <c r="C576" s="8">
        <v>46051</v>
      </c>
      <c r="D576" s="9">
        <v>552792188</v>
      </c>
      <c r="E576" s="57">
        <v>180</v>
      </c>
      <c r="F576" s="37" t="s">
        <v>544</v>
      </c>
      <c r="G576" s="9">
        <v>0</v>
      </c>
      <c r="H576" s="70">
        <f t="shared" si="8"/>
        <v>0</v>
      </c>
      <c r="I576" s="11">
        <v>46069</v>
      </c>
      <c r="J576" s="11">
        <v>46066</v>
      </c>
      <c r="K576" s="8"/>
    </row>
    <row r="577" spans="1:14" ht="18" x14ac:dyDescent="0.4">
      <c r="A577" s="7" t="s">
        <v>475</v>
      </c>
      <c r="B577" s="7" t="s">
        <v>517</v>
      </c>
      <c r="C577" s="8">
        <v>46051</v>
      </c>
      <c r="D577" s="9">
        <v>463504548</v>
      </c>
      <c r="E577" s="57">
        <v>180</v>
      </c>
      <c r="F577" s="37" t="s">
        <v>545</v>
      </c>
      <c r="G577" s="9">
        <v>0</v>
      </c>
      <c r="H577" s="70">
        <f t="shared" si="8"/>
        <v>0</v>
      </c>
      <c r="I577" s="11">
        <v>46069</v>
      </c>
      <c r="J577" s="11">
        <v>46066</v>
      </c>
      <c r="K577" s="8"/>
    </row>
    <row r="578" spans="1:14" ht="18" x14ac:dyDescent="0.4">
      <c r="A578" s="7" t="s">
        <v>475</v>
      </c>
      <c r="B578" s="7" t="s">
        <v>517</v>
      </c>
      <c r="C578" s="8">
        <v>46051</v>
      </c>
      <c r="D578" s="9">
        <v>468085168</v>
      </c>
      <c r="E578" s="57">
        <v>180</v>
      </c>
      <c r="F578" s="37" t="s">
        <v>546</v>
      </c>
      <c r="G578" s="9">
        <v>0</v>
      </c>
      <c r="H578" s="70">
        <f t="shared" si="8"/>
        <v>0</v>
      </c>
      <c r="I578" s="11">
        <v>46069</v>
      </c>
      <c r="J578" s="11">
        <v>46066</v>
      </c>
      <c r="K578" s="8"/>
    </row>
    <row r="579" spans="1:14" ht="18" x14ac:dyDescent="0.4">
      <c r="A579" s="7" t="s">
        <v>475</v>
      </c>
      <c r="B579" s="7" t="s">
        <v>517</v>
      </c>
      <c r="C579" s="8">
        <v>46051</v>
      </c>
      <c r="D579" s="9">
        <v>468085188</v>
      </c>
      <c r="E579" s="57">
        <v>180</v>
      </c>
      <c r="F579" s="37" t="s">
        <v>547</v>
      </c>
      <c r="G579" s="9">
        <v>0</v>
      </c>
      <c r="H579" s="70">
        <f t="shared" si="8"/>
        <v>0</v>
      </c>
      <c r="I579" s="11">
        <v>46069</v>
      </c>
      <c r="J579" s="11">
        <v>46066</v>
      </c>
      <c r="K579" s="8"/>
    </row>
    <row r="580" spans="1:14" ht="18" x14ac:dyDescent="0.4">
      <c r="A580" s="7" t="s">
        <v>475</v>
      </c>
      <c r="B580" s="7" t="s">
        <v>517</v>
      </c>
      <c r="C580" s="8">
        <v>46051</v>
      </c>
      <c r="D580" s="9">
        <v>552049748</v>
      </c>
      <c r="E580" s="57">
        <v>180</v>
      </c>
      <c r="F580" s="37" t="s">
        <v>545</v>
      </c>
      <c r="G580" s="9">
        <v>0</v>
      </c>
      <c r="H580" s="70">
        <f t="shared" si="8"/>
        <v>0</v>
      </c>
      <c r="I580" s="11">
        <v>46069</v>
      </c>
      <c r="J580" s="11">
        <v>46066</v>
      </c>
      <c r="K580" s="8"/>
    </row>
    <row r="581" spans="1:14" ht="18" x14ac:dyDescent="0.4">
      <c r="A581" s="7" t="s">
        <v>475</v>
      </c>
      <c r="B581" s="7" t="s">
        <v>517</v>
      </c>
      <c r="C581" s="8">
        <v>46051</v>
      </c>
      <c r="D581" s="9">
        <v>552486488</v>
      </c>
      <c r="E581" s="57">
        <v>180</v>
      </c>
      <c r="F581" s="37" t="s">
        <v>548</v>
      </c>
      <c r="G581" s="9">
        <v>0</v>
      </c>
      <c r="H581" s="70">
        <f t="shared" si="8"/>
        <v>0</v>
      </c>
      <c r="I581" s="11">
        <v>46069</v>
      </c>
      <c r="J581" s="11">
        <v>46066</v>
      </c>
      <c r="K581" s="8"/>
    </row>
    <row r="582" spans="1:14" ht="18" x14ac:dyDescent="0.4">
      <c r="A582" s="7" t="s">
        <v>475</v>
      </c>
      <c r="B582" s="7" t="s">
        <v>517</v>
      </c>
      <c r="C582" s="8">
        <v>46051</v>
      </c>
      <c r="D582" s="9">
        <v>463508568</v>
      </c>
      <c r="E582" s="57">
        <v>180</v>
      </c>
      <c r="F582" s="37" t="s">
        <v>549</v>
      </c>
      <c r="G582" s="9">
        <v>0</v>
      </c>
      <c r="H582" s="70">
        <f t="shared" si="8"/>
        <v>0</v>
      </c>
      <c r="I582" s="11">
        <v>46069</v>
      </c>
      <c r="J582" s="11">
        <v>46066</v>
      </c>
      <c r="K582" s="8"/>
      <c r="N582" s="26"/>
    </row>
    <row r="583" spans="1:14" ht="18" x14ac:dyDescent="0.4">
      <c r="A583" s="7" t="s">
        <v>475</v>
      </c>
      <c r="B583" s="7" t="s">
        <v>517</v>
      </c>
      <c r="C583" s="8">
        <v>46051</v>
      </c>
      <c r="D583" s="9">
        <v>463503948</v>
      </c>
      <c r="E583" s="57">
        <v>180</v>
      </c>
      <c r="F583" s="37" t="s">
        <v>550</v>
      </c>
      <c r="G583" s="9">
        <v>0</v>
      </c>
      <c r="H583" s="70">
        <f t="shared" si="8"/>
        <v>0</v>
      </c>
      <c r="I583" s="11">
        <v>46069</v>
      </c>
      <c r="J583" s="11">
        <v>46066</v>
      </c>
      <c r="K583" s="8"/>
    </row>
    <row r="584" spans="1:14" ht="18" x14ac:dyDescent="0.4">
      <c r="A584" s="7" t="s">
        <v>475</v>
      </c>
      <c r="B584" s="7" t="s">
        <v>517</v>
      </c>
      <c r="C584" s="8">
        <v>46051</v>
      </c>
      <c r="D584" s="9">
        <v>463496798</v>
      </c>
      <c r="E584" s="57">
        <v>180</v>
      </c>
      <c r="F584" s="37" t="s">
        <v>551</v>
      </c>
      <c r="G584" s="9">
        <v>0</v>
      </c>
      <c r="H584" s="70">
        <f t="shared" si="8"/>
        <v>0</v>
      </c>
      <c r="I584" s="11">
        <v>46069</v>
      </c>
      <c r="J584" s="11">
        <v>46066</v>
      </c>
      <c r="K584" s="8"/>
    </row>
    <row r="585" spans="1:14" ht="18" x14ac:dyDescent="0.4">
      <c r="A585" s="7" t="s">
        <v>475</v>
      </c>
      <c r="B585" s="7" t="s">
        <v>517</v>
      </c>
      <c r="C585" s="8">
        <v>46051</v>
      </c>
      <c r="D585" s="9">
        <v>552696318</v>
      </c>
      <c r="E585" s="57">
        <v>180</v>
      </c>
      <c r="F585" s="37" t="s">
        <v>551</v>
      </c>
      <c r="G585" s="9">
        <v>0</v>
      </c>
      <c r="H585" s="70">
        <f t="shared" si="8"/>
        <v>0</v>
      </c>
      <c r="I585" s="11">
        <v>46069</v>
      </c>
      <c r="J585" s="11">
        <v>46066</v>
      </c>
      <c r="K585" s="8"/>
    </row>
    <row r="586" spans="1:14" ht="18" x14ac:dyDescent="0.4">
      <c r="A586" s="92" t="s">
        <v>475</v>
      </c>
      <c r="B586" s="22" t="s">
        <v>552</v>
      </c>
      <c r="C586" s="23">
        <v>19414</v>
      </c>
      <c r="D586" s="24">
        <v>76779780</v>
      </c>
      <c r="E586" s="67">
        <v>300</v>
      </c>
      <c r="F586" s="25" t="s">
        <v>553</v>
      </c>
      <c r="G586" s="99">
        <v>0</v>
      </c>
      <c r="H586" s="70">
        <f t="shared" si="8"/>
        <v>0</v>
      </c>
      <c r="I586" s="11">
        <v>46069</v>
      </c>
      <c r="J586" s="11">
        <v>46066</v>
      </c>
      <c r="K586" s="13"/>
    </row>
    <row r="587" spans="1:14" ht="18" x14ac:dyDescent="0.4">
      <c r="A587" s="93" t="s">
        <v>475</v>
      </c>
      <c r="B587" s="16" t="s">
        <v>552</v>
      </c>
      <c r="C587" s="8">
        <v>19414</v>
      </c>
      <c r="D587" s="9">
        <v>135549210</v>
      </c>
      <c r="E587" s="57">
        <v>250</v>
      </c>
      <c r="F587" s="10" t="s">
        <v>554</v>
      </c>
      <c r="G587" s="94">
        <v>0</v>
      </c>
      <c r="H587" s="70">
        <f t="shared" si="8"/>
        <v>0</v>
      </c>
      <c r="I587" s="11">
        <v>46069</v>
      </c>
      <c r="J587" s="11">
        <v>46066</v>
      </c>
      <c r="K587" s="13"/>
    </row>
    <row r="588" spans="1:14" ht="18" x14ac:dyDescent="0.4">
      <c r="A588" s="93" t="s">
        <v>475</v>
      </c>
      <c r="B588" s="16" t="s">
        <v>552</v>
      </c>
      <c r="C588" s="8">
        <v>19414</v>
      </c>
      <c r="D588" s="9">
        <v>149359240</v>
      </c>
      <c r="E588" s="57">
        <v>1000</v>
      </c>
      <c r="F588" s="10" t="s">
        <v>555</v>
      </c>
      <c r="G588" s="94">
        <v>0</v>
      </c>
      <c r="H588" s="70">
        <f t="shared" si="8"/>
        <v>0</v>
      </c>
      <c r="I588" s="11">
        <v>46069</v>
      </c>
      <c r="J588" s="11">
        <v>46066</v>
      </c>
      <c r="K588" s="13"/>
    </row>
    <row r="589" spans="1:14" ht="18" x14ac:dyDescent="0.4">
      <c r="A589" s="93" t="s">
        <v>475</v>
      </c>
      <c r="B589" s="16" t="s">
        <v>552</v>
      </c>
      <c r="C589" s="8">
        <v>19414</v>
      </c>
      <c r="D589" s="9">
        <v>162876210</v>
      </c>
      <c r="E589" s="57">
        <v>500</v>
      </c>
      <c r="F589" s="10" t="s">
        <v>556</v>
      </c>
      <c r="G589" s="94">
        <v>0</v>
      </c>
      <c r="H589" s="70">
        <f t="shared" si="8"/>
        <v>0</v>
      </c>
      <c r="I589" s="11">
        <v>46069</v>
      </c>
      <c r="J589" s="11">
        <v>46066</v>
      </c>
      <c r="K589" s="13"/>
    </row>
    <row r="590" spans="1:14" ht="18" x14ac:dyDescent="0.4">
      <c r="A590" s="93" t="s">
        <v>475</v>
      </c>
      <c r="B590" s="16" t="s">
        <v>552</v>
      </c>
      <c r="C590" s="8">
        <v>19414</v>
      </c>
      <c r="D590" s="9">
        <v>162885240</v>
      </c>
      <c r="E590" s="57">
        <v>300</v>
      </c>
      <c r="F590" s="10" t="s">
        <v>557</v>
      </c>
      <c r="G590" s="94">
        <v>0</v>
      </c>
      <c r="H590" s="70">
        <f t="shared" si="8"/>
        <v>0</v>
      </c>
      <c r="I590" s="11">
        <v>46069</v>
      </c>
      <c r="J590" s="11">
        <v>46066</v>
      </c>
      <c r="K590" s="13"/>
    </row>
    <row r="591" spans="1:14" ht="18" x14ac:dyDescent="0.4">
      <c r="A591" s="93" t="s">
        <v>475</v>
      </c>
      <c r="B591" s="16" t="s">
        <v>552</v>
      </c>
      <c r="C591" s="8">
        <v>19414</v>
      </c>
      <c r="D591" s="9">
        <v>187519210</v>
      </c>
      <c r="E591" s="57">
        <v>400</v>
      </c>
      <c r="F591" s="10" t="s">
        <v>558</v>
      </c>
      <c r="G591" s="94">
        <v>0</v>
      </c>
      <c r="H591" s="70">
        <f t="shared" si="8"/>
        <v>0</v>
      </c>
      <c r="I591" s="11">
        <v>46069</v>
      </c>
      <c r="J591" s="11">
        <v>46066</v>
      </c>
      <c r="K591" s="13"/>
    </row>
    <row r="592" spans="1:14" ht="18" x14ac:dyDescent="0.4">
      <c r="A592" s="93" t="s">
        <v>475</v>
      </c>
      <c r="B592" s="16" t="s">
        <v>552</v>
      </c>
      <c r="C592" s="8">
        <v>19414</v>
      </c>
      <c r="D592" s="9">
        <v>187525210</v>
      </c>
      <c r="E592" s="57">
        <v>500</v>
      </c>
      <c r="F592" s="10" t="s">
        <v>559</v>
      </c>
      <c r="G592" s="94">
        <v>0</v>
      </c>
      <c r="H592" s="70">
        <f t="shared" si="8"/>
        <v>0</v>
      </c>
      <c r="I592" s="11">
        <v>46069</v>
      </c>
      <c r="J592" s="11">
        <v>46066</v>
      </c>
      <c r="K592" s="13"/>
    </row>
    <row r="593" spans="1:11" ht="18" x14ac:dyDescent="0.4">
      <c r="A593" s="93" t="s">
        <v>475</v>
      </c>
      <c r="B593" s="16" t="s">
        <v>552</v>
      </c>
      <c r="C593" s="8">
        <v>19414</v>
      </c>
      <c r="D593" s="9">
        <v>187527210</v>
      </c>
      <c r="E593" s="57">
        <v>500</v>
      </c>
      <c r="F593" s="10" t="s">
        <v>560</v>
      </c>
      <c r="G593" s="94">
        <v>0</v>
      </c>
      <c r="H593" s="70">
        <f t="shared" si="8"/>
        <v>0</v>
      </c>
      <c r="I593" s="11">
        <v>46069</v>
      </c>
      <c r="J593" s="11">
        <v>46066</v>
      </c>
      <c r="K593" s="13"/>
    </row>
    <row r="594" spans="1:11" ht="18" x14ac:dyDescent="0.4">
      <c r="A594" s="93" t="s">
        <v>475</v>
      </c>
      <c r="B594" s="16" t="s">
        <v>552</v>
      </c>
      <c r="C594" s="8">
        <v>19414</v>
      </c>
      <c r="D594" s="9">
        <v>187530210</v>
      </c>
      <c r="E594" s="57">
        <v>500</v>
      </c>
      <c r="F594" s="10" t="s">
        <v>561</v>
      </c>
      <c r="G594" s="94">
        <v>0</v>
      </c>
      <c r="H594" s="70">
        <f t="shared" si="8"/>
        <v>0</v>
      </c>
      <c r="I594" s="11">
        <v>46069</v>
      </c>
      <c r="J594" s="11">
        <v>46066</v>
      </c>
      <c r="K594" s="13"/>
    </row>
    <row r="595" spans="1:11" ht="18" x14ac:dyDescent="0.4">
      <c r="A595" s="93" t="s">
        <v>475</v>
      </c>
      <c r="B595" s="16" t="s">
        <v>552</v>
      </c>
      <c r="C595" s="8">
        <v>19414</v>
      </c>
      <c r="D595" s="9">
        <v>464555000</v>
      </c>
      <c r="E595" s="57">
        <v>250</v>
      </c>
      <c r="F595" s="10" t="s">
        <v>562</v>
      </c>
      <c r="G595" s="94">
        <v>0</v>
      </c>
      <c r="H595" s="70">
        <f t="shared" si="8"/>
        <v>0</v>
      </c>
      <c r="I595" s="11">
        <v>46069</v>
      </c>
      <c r="J595" s="11">
        <v>46066</v>
      </c>
      <c r="K595" s="13"/>
    </row>
    <row r="596" spans="1:11" ht="18" x14ac:dyDescent="0.4">
      <c r="A596" s="93" t="s">
        <v>475</v>
      </c>
      <c r="B596" s="16" t="s">
        <v>552</v>
      </c>
      <c r="C596" s="8">
        <v>19414</v>
      </c>
      <c r="D596" s="9">
        <v>43913530</v>
      </c>
      <c r="E596" s="57">
        <v>400</v>
      </c>
      <c r="F596" s="10" t="s">
        <v>563</v>
      </c>
      <c r="G596" s="94">
        <v>0</v>
      </c>
      <c r="H596" s="70">
        <f t="shared" si="8"/>
        <v>0</v>
      </c>
      <c r="I596" s="11">
        <v>46069</v>
      </c>
      <c r="J596" s="11">
        <v>46066</v>
      </c>
      <c r="K596" s="13"/>
    </row>
    <row r="597" spans="1:11" ht="18" x14ac:dyDescent="0.4">
      <c r="A597" s="93" t="s">
        <v>475</v>
      </c>
      <c r="B597" s="16" t="s">
        <v>552</v>
      </c>
      <c r="C597" s="8">
        <v>19414</v>
      </c>
      <c r="D597" s="9">
        <v>75754720</v>
      </c>
      <c r="E597" s="57">
        <v>1500</v>
      </c>
      <c r="F597" s="10" t="s">
        <v>564</v>
      </c>
      <c r="G597" s="94">
        <v>0</v>
      </c>
      <c r="H597" s="70">
        <f t="shared" si="8"/>
        <v>0</v>
      </c>
      <c r="I597" s="11">
        <v>46069</v>
      </c>
      <c r="J597" s="11">
        <v>46066</v>
      </c>
      <c r="K597" s="13"/>
    </row>
    <row r="598" spans="1:11" ht="18" x14ac:dyDescent="0.4">
      <c r="A598" s="93" t="s">
        <v>475</v>
      </c>
      <c r="B598" s="16" t="s">
        <v>552</v>
      </c>
      <c r="C598" s="8">
        <v>19414</v>
      </c>
      <c r="D598" s="9">
        <v>76648820</v>
      </c>
      <c r="E598" s="57">
        <v>300</v>
      </c>
      <c r="F598" s="10" t="s">
        <v>565</v>
      </c>
      <c r="G598" s="94">
        <v>0</v>
      </c>
      <c r="H598" s="70">
        <f t="shared" si="8"/>
        <v>0</v>
      </c>
      <c r="I598" s="11">
        <v>46069</v>
      </c>
      <c r="J598" s="11">
        <v>46066</v>
      </c>
      <c r="K598" s="13"/>
    </row>
    <row r="599" spans="1:11" ht="18" x14ac:dyDescent="0.4">
      <c r="A599" s="93" t="s">
        <v>475</v>
      </c>
      <c r="B599" s="16" t="s">
        <v>552</v>
      </c>
      <c r="C599" s="8">
        <v>19414</v>
      </c>
      <c r="D599" s="9">
        <v>162970240</v>
      </c>
      <c r="E599" s="57">
        <v>1200</v>
      </c>
      <c r="F599" s="10" t="s">
        <v>196</v>
      </c>
      <c r="G599" s="94">
        <v>0</v>
      </c>
      <c r="H599" s="70">
        <f t="shared" si="8"/>
        <v>0</v>
      </c>
      <c r="I599" s="11">
        <v>46069</v>
      </c>
      <c r="J599" s="11">
        <v>46066</v>
      </c>
      <c r="K599" s="13"/>
    </row>
    <row r="600" spans="1:11" ht="18" x14ac:dyDescent="0.4">
      <c r="A600" s="93" t="s">
        <v>475</v>
      </c>
      <c r="B600" s="7" t="s">
        <v>552</v>
      </c>
      <c r="C600" s="8">
        <v>19414</v>
      </c>
      <c r="D600" s="9">
        <v>552599580</v>
      </c>
      <c r="E600" s="57">
        <v>800</v>
      </c>
      <c r="F600" s="18" t="s">
        <v>566</v>
      </c>
      <c r="G600" s="94">
        <v>0</v>
      </c>
      <c r="H600" s="70">
        <f t="shared" si="8"/>
        <v>0</v>
      </c>
      <c r="I600" s="11">
        <v>46069</v>
      </c>
      <c r="J600" s="11">
        <v>46066</v>
      </c>
      <c r="K600" s="13"/>
    </row>
    <row r="601" spans="1:11" ht="18" x14ac:dyDescent="0.4">
      <c r="A601" s="93" t="s">
        <v>475</v>
      </c>
      <c r="B601" s="7" t="s">
        <v>552</v>
      </c>
      <c r="C601" s="8">
        <v>19414</v>
      </c>
      <c r="D601" s="9">
        <v>552599570</v>
      </c>
      <c r="E601" s="57">
        <v>1400</v>
      </c>
      <c r="F601" s="18" t="s">
        <v>566</v>
      </c>
      <c r="G601" s="94">
        <v>0</v>
      </c>
      <c r="H601" s="70">
        <f t="shared" si="8"/>
        <v>0</v>
      </c>
      <c r="I601" s="11">
        <v>46069</v>
      </c>
      <c r="J601" s="11">
        <v>46066</v>
      </c>
      <c r="K601" s="13"/>
    </row>
    <row r="602" spans="1:11" ht="18" x14ac:dyDescent="0.4">
      <c r="A602" s="93" t="s">
        <v>475</v>
      </c>
      <c r="B602" s="7" t="s">
        <v>567</v>
      </c>
      <c r="C602" s="8">
        <v>19271</v>
      </c>
      <c r="D602" s="9">
        <v>75810590</v>
      </c>
      <c r="E602" s="57">
        <v>900</v>
      </c>
      <c r="F602" s="18" t="s">
        <v>568</v>
      </c>
      <c r="G602" s="94">
        <v>0</v>
      </c>
      <c r="H602" s="70">
        <f t="shared" si="8"/>
        <v>0</v>
      </c>
      <c r="I602" s="11">
        <v>46069</v>
      </c>
      <c r="J602" s="11">
        <v>46066</v>
      </c>
      <c r="K602" s="13"/>
    </row>
    <row r="603" spans="1:11" ht="18" x14ac:dyDescent="0.4">
      <c r="A603" s="93" t="s">
        <v>475</v>
      </c>
      <c r="B603" s="7" t="s">
        <v>567</v>
      </c>
      <c r="C603" s="8">
        <v>19271</v>
      </c>
      <c r="D603" s="9">
        <v>465162750</v>
      </c>
      <c r="E603" s="57">
        <v>1620</v>
      </c>
      <c r="F603" s="18" t="s">
        <v>569</v>
      </c>
      <c r="G603" s="94">
        <v>0</v>
      </c>
      <c r="H603" s="70">
        <f t="shared" si="8"/>
        <v>0</v>
      </c>
      <c r="I603" s="11">
        <v>46069</v>
      </c>
      <c r="J603" s="11">
        <v>46066</v>
      </c>
      <c r="K603" s="13"/>
    </row>
    <row r="604" spans="1:11" ht="18" x14ac:dyDescent="0.4">
      <c r="A604" s="93" t="s">
        <v>475</v>
      </c>
      <c r="B604" s="7" t="s">
        <v>567</v>
      </c>
      <c r="C604" s="8">
        <v>19271</v>
      </c>
      <c r="D604" s="9">
        <v>468147230</v>
      </c>
      <c r="E604" s="57">
        <v>1600</v>
      </c>
      <c r="F604" s="18" t="s">
        <v>570</v>
      </c>
      <c r="G604" s="94">
        <v>0</v>
      </c>
      <c r="H604" s="70">
        <f t="shared" si="8"/>
        <v>0</v>
      </c>
      <c r="I604" s="11">
        <v>46069</v>
      </c>
      <c r="J604" s="11">
        <v>46066</v>
      </c>
      <c r="K604" s="13"/>
    </row>
    <row r="605" spans="1:11" ht="18" x14ac:dyDescent="0.4">
      <c r="A605" s="93" t="s">
        <v>475</v>
      </c>
      <c r="B605" s="7" t="s">
        <v>567</v>
      </c>
      <c r="C605" s="8">
        <v>19271</v>
      </c>
      <c r="D605" s="9">
        <v>552547090</v>
      </c>
      <c r="E605" s="57">
        <v>270</v>
      </c>
      <c r="F605" s="18" t="s">
        <v>571</v>
      </c>
      <c r="G605" s="94">
        <v>0</v>
      </c>
      <c r="H605" s="70">
        <f t="shared" si="8"/>
        <v>0</v>
      </c>
      <c r="I605" s="11">
        <v>46069</v>
      </c>
      <c r="J605" s="11">
        <v>46066</v>
      </c>
      <c r="K605" s="13"/>
    </row>
    <row r="606" spans="1:11" ht="18" x14ac:dyDescent="0.4">
      <c r="A606" s="93" t="s">
        <v>475</v>
      </c>
      <c r="B606" s="7" t="s">
        <v>567</v>
      </c>
      <c r="C606" s="8">
        <v>19271</v>
      </c>
      <c r="D606" s="9">
        <v>552551360</v>
      </c>
      <c r="E606" s="57">
        <v>360</v>
      </c>
      <c r="F606" s="18" t="s">
        <v>572</v>
      </c>
      <c r="G606" s="94">
        <v>0</v>
      </c>
      <c r="H606" s="70">
        <f t="shared" si="8"/>
        <v>0</v>
      </c>
      <c r="I606" s="11">
        <v>46069</v>
      </c>
      <c r="J606" s="11">
        <v>46066</v>
      </c>
      <c r="K606" s="13"/>
    </row>
    <row r="607" spans="1:11" ht="18" x14ac:dyDescent="0.4">
      <c r="A607" s="93" t="s">
        <v>475</v>
      </c>
      <c r="B607" s="7" t="s">
        <v>567</v>
      </c>
      <c r="C607" s="8">
        <v>19271</v>
      </c>
      <c r="D607" s="9">
        <v>735017020</v>
      </c>
      <c r="E607" s="57">
        <v>1440</v>
      </c>
      <c r="F607" s="18" t="s">
        <v>573</v>
      </c>
      <c r="G607" s="94">
        <v>0</v>
      </c>
      <c r="H607" s="70">
        <f t="shared" si="8"/>
        <v>0</v>
      </c>
      <c r="I607" s="11">
        <v>46069</v>
      </c>
      <c r="J607" s="11">
        <v>46066</v>
      </c>
      <c r="K607" s="13"/>
    </row>
    <row r="608" spans="1:11" ht="18" x14ac:dyDescent="0.4">
      <c r="A608" s="93" t="s">
        <v>475</v>
      </c>
      <c r="B608" s="7" t="s">
        <v>567</v>
      </c>
      <c r="C608" s="8">
        <v>19271</v>
      </c>
      <c r="D608" s="9">
        <v>552054650</v>
      </c>
      <c r="E608" s="57">
        <v>1440</v>
      </c>
      <c r="F608" s="18" t="s">
        <v>574</v>
      </c>
      <c r="G608" s="94">
        <v>0</v>
      </c>
      <c r="H608" s="70">
        <f t="shared" ref="H608:H671" si="9">+G608/E608</f>
        <v>0</v>
      </c>
      <c r="I608" s="11">
        <v>46069</v>
      </c>
      <c r="J608" s="11">
        <v>46066</v>
      </c>
      <c r="K608" s="13"/>
    </row>
    <row r="609" spans="1:11" ht="18" x14ac:dyDescent="0.4">
      <c r="A609" s="93" t="s">
        <v>475</v>
      </c>
      <c r="B609" s="16" t="s">
        <v>567</v>
      </c>
      <c r="C609" s="8">
        <v>19271</v>
      </c>
      <c r="D609" s="9">
        <v>463409620</v>
      </c>
      <c r="E609" s="57">
        <v>360</v>
      </c>
      <c r="F609" s="10" t="s">
        <v>572</v>
      </c>
      <c r="G609" s="94">
        <v>0</v>
      </c>
      <c r="H609" s="70">
        <f t="shared" si="9"/>
        <v>0</v>
      </c>
      <c r="I609" s="11">
        <v>46069</v>
      </c>
      <c r="J609" s="11">
        <v>46066</v>
      </c>
      <c r="K609" s="13"/>
    </row>
    <row r="610" spans="1:11" ht="18" x14ac:dyDescent="0.4">
      <c r="A610" s="93" t="s">
        <v>475</v>
      </c>
      <c r="B610" s="16" t="s">
        <v>567</v>
      </c>
      <c r="C610" s="8">
        <v>19271</v>
      </c>
      <c r="D610" s="9">
        <v>463409610</v>
      </c>
      <c r="E610" s="57">
        <v>360</v>
      </c>
      <c r="F610" s="10" t="s">
        <v>575</v>
      </c>
      <c r="G610" s="94">
        <v>0</v>
      </c>
      <c r="H610" s="70">
        <f t="shared" si="9"/>
        <v>0</v>
      </c>
      <c r="I610" s="11">
        <v>46069</v>
      </c>
      <c r="J610" s="11">
        <v>46066</v>
      </c>
      <c r="K610" s="13"/>
    </row>
    <row r="611" spans="1:11" ht="18" x14ac:dyDescent="0.4">
      <c r="A611" s="93" t="s">
        <v>475</v>
      </c>
      <c r="B611" s="16" t="s">
        <v>576</v>
      </c>
      <c r="C611" s="8">
        <v>19807</v>
      </c>
      <c r="D611" s="9">
        <v>552594720</v>
      </c>
      <c r="E611" s="57">
        <v>900</v>
      </c>
      <c r="F611" s="10" t="s">
        <v>577</v>
      </c>
      <c r="G611" s="94">
        <v>0</v>
      </c>
      <c r="H611" s="70">
        <f t="shared" si="9"/>
        <v>0</v>
      </c>
      <c r="I611" s="11">
        <v>46069</v>
      </c>
      <c r="J611" s="11">
        <v>46066</v>
      </c>
      <c r="K611" s="13"/>
    </row>
    <row r="612" spans="1:11" ht="18" x14ac:dyDescent="0.4">
      <c r="A612" s="93" t="s">
        <v>475</v>
      </c>
      <c r="B612" s="16" t="s">
        <v>576</v>
      </c>
      <c r="C612" s="8">
        <v>19807</v>
      </c>
      <c r="D612" s="9">
        <v>463602340</v>
      </c>
      <c r="E612" s="57">
        <v>900</v>
      </c>
      <c r="F612" s="10" t="s">
        <v>578</v>
      </c>
      <c r="G612" s="94">
        <v>0</v>
      </c>
      <c r="H612" s="70">
        <f t="shared" si="9"/>
        <v>0</v>
      </c>
      <c r="I612" s="11">
        <v>46069</v>
      </c>
      <c r="J612" s="11">
        <v>46066</v>
      </c>
      <c r="K612" s="13"/>
    </row>
    <row r="613" spans="1:11" ht="18" x14ac:dyDescent="0.4">
      <c r="A613" s="93" t="s">
        <v>475</v>
      </c>
      <c r="B613" s="16" t="s">
        <v>576</v>
      </c>
      <c r="C613" s="8">
        <v>19807</v>
      </c>
      <c r="D613" s="9">
        <v>552594730</v>
      </c>
      <c r="E613" s="57">
        <v>900</v>
      </c>
      <c r="F613" s="10" t="s">
        <v>579</v>
      </c>
      <c r="G613" s="94">
        <v>0</v>
      </c>
      <c r="H613" s="70">
        <f t="shared" si="9"/>
        <v>0</v>
      </c>
      <c r="I613" s="11">
        <v>46069</v>
      </c>
      <c r="J613" s="11">
        <v>46066</v>
      </c>
      <c r="K613" s="13"/>
    </row>
    <row r="614" spans="1:11" ht="18" x14ac:dyDescent="0.4">
      <c r="A614" s="93" t="s">
        <v>475</v>
      </c>
      <c r="B614" s="16" t="s">
        <v>576</v>
      </c>
      <c r="C614" s="8">
        <v>19807</v>
      </c>
      <c r="D614" s="9">
        <v>463602350</v>
      </c>
      <c r="E614" s="57">
        <v>900</v>
      </c>
      <c r="F614" s="10" t="s">
        <v>580</v>
      </c>
      <c r="G614" s="94">
        <v>0</v>
      </c>
      <c r="H614" s="70">
        <f t="shared" si="9"/>
        <v>0</v>
      </c>
      <c r="I614" s="11">
        <v>46069</v>
      </c>
      <c r="J614" s="11">
        <v>46066</v>
      </c>
      <c r="K614" s="13"/>
    </row>
    <row r="615" spans="1:11" ht="18" x14ac:dyDescent="0.4">
      <c r="A615" s="93" t="s">
        <v>475</v>
      </c>
      <c r="B615" s="16" t="s">
        <v>372</v>
      </c>
      <c r="C615" s="8">
        <v>27951</v>
      </c>
      <c r="D615" s="9">
        <v>76779780</v>
      </c>
      <c r="E615" s="57">
        <v>300</v>
      </c>
      <c r="F615" s="10" t="s">
        <v>553</v>
      </c>
      <c r="G615" s="94">
        <v>0</v>
      </c>
      <c r="H615" s="70">
        <f t="shared" si="9"/>
        <v>0</v>
      </c>
      <c r="I615" s="11">
        <v>46069</v>
      </c>
      <c r="J615" s="11">
        <v>46066</v>
      </c>
      <c r="K615" s="13"/>
    </row>
    <row r="616" spans="1:11" ht="18" x14ac:dyDescent="0.4">
      <c r="A616" s="93" t="s">
        <v>475</v>
      </c>
      <c r="B616" s="16" t="s">
        <v>372</v>
      </c>
      <c r="C616" s="8">
        <v>27951</v>
      </c>
      <c r="D616" s="9">
        <v>187538210</v>
      </c>
      <c r="E616" s="57">
        <v>180</v>
      </c>
      <c r="F616" s="10" t="s">
        <v>581</v>
      </c>
      <c r="G616" s="94">
        <v>0</v>
      </c>
      <c r="H616" s="70">
        <f t="shared" si="9"/>
        <v>0</v>
      </c>
      <c r="I616" s="11">
        <v>46069</v>
      </c>
      <c r="J616" s="11">
        <v>46066</v>
      </c>
      <c r="K616" s="13"/>
    </row>
    <row r="617" spans="1:11" ht="18" x14ac:dyDescent="0.4">
      <c r="A617" s="93" t="s">
        <v>475</v>
      </c>
      <c r="B617" s="16" t="s">
        <v>372</v>
      </c>
      <c r="C617" s="8">
        <v>27951</v>
      </c>
      <c r="D617" s="9">
        <v>463436280</v>
      </c>
      <c r="E617" s="57">
        <v>600</v>
      </c>
      <c r="F617" s="10" t="s">
        <v>582</v>
      </c>
      <c r="G617" s="94">
        <v>0</v>
      </c>
      <c r="H617" s="70">
        <f t="shared" si="9"/>
        <v>0</v>
      </c>
      <c r="I617" s="11">
        <v>46069</v>
      </c>
      <c r="J617" s="11">
        <v>46066</v>
      </c>
      <c r="K617" s="13"/>
    </row>
    <row r="618" spans="1:11" ht="18" x14ac:dyDescent="0.4">
      <c r="A618" s="93" t="s">
        <v>475</v>
      </c>
      <c r="B618" s="16" t="s">
        <v>377</v>
      </c>
      <c r="C618" s="8">
        <v>36019</v>
      </c>
      <c r="D618" s="9">
        <v>160504340</v>
      </c>
      <c r="E618" s="57">
        <v>400</v>
      </c>
      <c r="F618" s="10" t="s">
        <v>583</v>
      </c>
      <c r="G618" s="94">
        <v>0</v>
      </c>
      <c r="H618" s="70">
        <f t="shared" si="9"/>
        <v>0</v>
      </c>
      <c r="I618" s="11">
        <v>46069</v>
      </c>
      <c r="J618" s="11">
        <v>46066</v>
      </c>
      <c r="K618" s="13"/>
    </row>
    <row r="619" spans="1:11" ht="18" x14ac:dyDescent="0.4">
      <c r="A619" s="93" t="s">
        <v>475</v>
      </c>
      <c r="B619" s="16" t="s">
        <v>377</v>
      </c>
      <c r="C619" s="8">
        <v>36019</v>
      </c>
      <c r="D619" s="9">
        <v>468130270</v>
      </c>
      <c r="E619" s="57">
        <v>1200</v>
      </c>
      <c r="F619" s="10" t="s">
        <v>584</v>
      </c>
      <c r="G619" s="94">
        <v>0</v>
      </c>
      <c r="H619" s="70">
        <f t="shared" si="9"/>
        <v>0</v>
      </c>
      <c r="I619" s="11">
        <v>46069</v>
      </c>
      <c r="J619" s="11">
        <v>46066</v>
      </c>
      <c r="K619" s="13"/>
    </row>
    <row r="620" spans="1:11" ht="18" x14ac:dyDescent="0.4">
      <c r="A620" s="93" t="s">
        <v>475</v>
      </c>
      <c r="B620" s="16" t="s">
        <v>585</v>
      </c>
      <c r="C620" s="8">
        <v>10429</v>
      </c>
      <c r="D620" s="9">
        <v>467670560</v>
      </c>
      <c r="E620" s="57">
        <v>1152</v>
      </c>
      <c r="F620" s="10" t="s">
        <v>586</v>
      </c>
      <c r="G620" s="94">
        <v>0</v>
      </c>
      <c r="H620" s="70">
        <f t="shared" si="9"/>
        <v>0</v>
      </c>
      <c r="I620" s="11">
        <v>46069</v>
      </c>
      <c r="J620" s="11">
        <v>46066</v>
      </c>
      <c r="K620" s="13"/>
    </row>
    <row r="621" spans="1:11" ht="18" x14ac:dyDescent="0.4">
      <c r="A621" s="93" t="s">
        <v>475</v>
      </c>
      <c r="B621" s="16" t="s">
        <v>585</v>
      </c>
      <c r="C621" s="8">
        <v>10429</v>
      </c>
      <c r="D621" s="9">
        <v>467689270</v>
      </c>
      <c r="E621" s="57">
        <v>1440</v>
      </c>
      <c r="F621" s="10" t="s">
        <v>587</v>
      </c>
      <c r="G621" s="94">
        <v>0</v>
      </c>
      <c r="H621" s="70">
        <f t="shared" si="9"/>
        <v>0</v>
      </c>
      <c r="I621" s="11">
        <v>46069</v>
      </c>
      <c r="J621" s="11">
        <v>46066</v>
      </c>
      <c r="K621" s="13"/>
    </row>
    <row r="622" spans="1:11" ht="18" x14ac:dyDescent="0.4">
      <c r="A622" s="93" t="s">
        <v>475</v>
      </c>
      <c r="B622" s="16" t="s">
        <v>585</v>
      </c>
      <c r="C622" s="8">
        <v>10429</v>
      </c>
      <c r="D622" s="9">
        <v>467761970</v>
      </c>
      <c r="E622" s="57">
        <v>1200</v>
      </c>
      <c r="F622" s="10" t="s">
        <v>588</v>
      </c>
      <c r="G622" s="94">
        <v>0</v>
      </c>
      <c r="H622" s="70">
        <f t="shared" si="9"/>
        <v>0</v>
      </c>
      <c r="I622" s="11">
        <v>46069</v>
      </c>
      <c r="J622" s="11">
        <v>46066</v>
      </c>
      <c r="K622" s="13"/>
    </row>
    <row r="623" spans="1:11" ht="18" x14ac:dyDescent="0.4">
      <c r="A623" s="93" t="s">
        <v>475</v>
      </c>
      <c r="B623" s="16" t="s">
        <v>585</v>
      </c>
      <c r="C623" s="8">
        <v>10429</v>
      </c>
      <c r="D623" s="9">
        <v>467761990</v>
      </c>
      <c r="E623" s="57">
        <v>864</v>
      </c>
      <c r="F623" s="10" t="s">
        <v>589</v>
      </c>
      <c r="G623" s="94">
        <v>0</v>
      </c>
      <c r="H623" s="70">
        <f t="shared" si="9"/>
        <v>0</v>
      </c>
      <c r="I623" s="11">
        <v>46069</v>
      </c>
      <c r="J623" s="11">
        <v>46066</v>
      </c>
      <c r="K623" s="13"/>
    </row>
    <row r="624" spans="1:11" ht="18" x14ac:dyDescent="0.4">
      <c r="A624" s="93" t="s">
        <v>475</v>
      </c>
      <c r="B624" s="16" t="s">
        <v>585</v>
      </c>
      <c r="C624" s="8">
        <v>10429</v>
      </c>
      <c r="D624" s="9">
        <v>552597100</v>
      </c>
      <c r="E624" s="57">
        <v>1152</v>
      </c>
      <c r="F624" s="10" t="s">
        <v>590</v>
      </c>
      <c r="G624" s="94">
        <v>0</v>
      </c>
      <c r="H624" s="70">
        <f t="shared" si="9"/>
        <v>0</v>
      </c>
      <c r="I624" s="11">
        <v>46069</v>
      </c>
      <c r="J624" s="11">
        <v>46066</v>
      </c>
      <c r="K624" s="13"/>
    </row>
    <row r="625" spans="1:11" ht="18" x14ac:dyDescent="0.4">
      <c r="A625" s="102" t="s">
        <v>475</v>
      </c>
      <c r="B625" s="103" t="s">
        <v>591</v>
      </c>
      <c r="C625" s="102">
        <v>43749</v>
      </c>
      <c r="D625" s="104">
        <v>400047600</v>
      </c>
      <c r="E625" s="102">
        <v>480</v>
      </c>
      <c r="F625" s="105" t="s">
        <v>592</v>
      </c>
      <c r="G625" s="94">
        <v>0</v>
      </c>
      <c r="H625" s="70">
        <f t="shared" si="9"/>
        <v>0</v>
      </c>
      <c r="I625" s="11">
        <v>46069</v>
      </c>
      <c r="J625" s="11">
        <v>46066</v>
      </c>
      <c r="K625" s="13"/>
    </row>
    <row r="626" spans="1:11" ht="18" x14ac:dyDescent="0.4">
      <c r="A626" s="102" t="s">
        <v>475</v>
      </c>
      <c r="B626" s="103" t="s">
        <v>591</v>
      </c>
      <c r="C626" s="102">
        <v>43749</v>
      </c>
      <c r="D626" s="104">
        <v>400048200</v>
      </c>
      <c r="E626" s="102">
        <v>780</v>
      </c>
      <c r="F626" s="105" t="s">
        <v>593</v>
      </c>
      <c r="G626" s="94">
        <v>0</v>
      </c>
      <c r="H626" s="70">
        <f t="shared" si="9"/>
        <v>0</v>
      </c>
      <c r="I626" s="11">
        <v>46069</v>
      </c>
      <c r="J626" s="11">
        <v>46066</v>
      </c>
      <c r="K626" s="13"/>
    </row>
    <row r="627" spans="1:11" ht="18" x14ac:dyDescent="0.4">
      <c r="A627" s="102" t="s">
        <v>475</v>
      </c>
      <c r="B627" s="103" t="s">
        <v>594</v>
      </c>
      <c r="C627" s="102">
        <v>31107</v>
      </c>
      <c r="D627" s="104">
        <v>552600330</v>
      </c>
      <c r="E627" s="102">
        <v>2700</v>
      </c>
      <c r="F627" s="105" t="s">
        <v>595</v>
      </c>
      <c r="G627" s="94">
        <v>0</v>
      </c>
      <c r="H627" s="70">
        <f t="shared" si="9"/>
        <v>0</v>
      </c>
      <c r="I627" s="11">
        <v>46069</v>
      </c>
      <c r="J627" s="11">
        <v>46066</v>
      </c>
      <c r="K627" s="13"/>
    </row>
    <row r="628" spans="1:11" ht="18" x14ac:dyDescent="0.4">
      <c r="A628" s="102" t="s">
        <v>475</v>
      </c>
      <c r="B628" s="103" t="s">
        <v>596</v>
      </c>
      <c r="C628" s="102">
        <v>33301</v>
      </c>
      <c r="D628" s="104">
        <v>552294200</v>
      </c>
      <c r="E628" s="102">
        <v>240</v>
      </c>
      <c r="F628" s="105" t="s">
        <v>597</v>
      </c>
      <c r="G628" s="94">
        <v>0</v>
      </c>
      <c r="H628" s="70">
        <f t="shared" si="9"/>
        <v>0</v>
      </c>
      <c r="I628" s="11">
        <v>46069</v>
      </c>
      <c r="J628" s="11">
        <v>46066</v>
      </c>
      <c r="K628" s="13"/>
    </row>
    <row r="629" spans="1:11" ht="18" x14ac:dyDescent="0.4">
      <c r="A629" s="102" t="s">
        <v>475</v>
      </c>
      <c r="B629" s="103" t="s">
        <v>596</v>
      </c>
      <c r="C629" s="102">
        <v>33301</v>
      </c>
      <c r="D629" s="104">
        <v>552340160</v>
      </c>
      <c r="E629" s="102">
        <v>240</v>
      </c>
      <c r="F629" s="105" t="s">
        <v>598</v>
      </c>
      <c r="G629" s="94">
        <v>0</v>
      </c>
      <c r="H629" s="70">
        <f t="shared" si="9"/>
        <v>0</v>
      </c>
      <c r="I629" s="11">
        <v>46069</v>
      </c>
      <c r="J629" s="11">
        <v>46066</v>
      </c>
      <c r="K629" s="13"/>
    </row>
    <row r="630" spans="1:11" ht="18" x14ac:dyDescent="0.4">
      <c r="A630" s="93" t="s">
        <v>475</v>
      </c>
      <c r="B630" s="16" t="s">
        <v>414</v>
      </c>
      <c r="C630" s="8">
        <v>21570</v>
      </c>
      <c r="D630" s="9">
        <v>552826500</v>
      </c>
      <c r="E630" s="57">
        <v>900</v>
      </c>
      <c r="F630" s="10" t="s">
        <v>599</v>
      </c>
      <c r="G630" s="94">
        <v>0</v>
      </c>
      <c r="H630" s="70">
        <f t="shared" si="9"/>
        <v>0</v>
      </c>
      <c r="I630" s="11">
        <v>46069</v>
      </c>
      <c r="J630" s="11">
        <v>46066</v>
      </c>
      <c r="K630" s="13"/>
    </row>
    <row r="631" spans="1:11" ht="18" x14ac:dyDescent="0.4">
      <c r="A631" s="93" t="s">
        <v>475</v>
      </c>
      <c r="B631" s="16" t="s">
        <v>414</v>
      </c>
      <c r="C631" s="8">
        <v>21570</v>
      </c>
      <c r="D631" s="9">
        <v>552826470</v>
      </c>
      <c r="E631" s="57">
        <v>1500</v>
      </c>
      <c r="F631" s="10" t="s">
        <v>600</v>
      </c>
      <c r="G631" s="94">
        <v>0</v>
      </c>
      <c r="H631" s="70">
        <f t="shared" si="9"/>
        <v>0</v>
      </c>
      <c r="I631" s="11">
        <v>46069</v>
      </c>
      <c r="J631" s="11">
        <v>46066</v>
      </c>
      <c r="K631" s="13"/>
    </row>
    <row r="632" spans="1:11" ht="18" x14ac:dyDescent="0.4">
      <c r="A632" s="93" t="s">
        <v>475</v>
      </c>
      <c r="B632" s="16" t="s">
        <v>414</v>
      </c>
      <c r="C632" s="8">
        <v>21570</v>
      </c>
      <c r="D632" s="9">
        <v>552826490</v>
      </c>
      <c r="E632" s="57">
        <v>200</v>
      </c>
      <c r="F632" s="10" t="s">
        <v>601</v>
      </c>
      <c r="G632" s="94">
        <v>0</v>
      </c>
      <c r="H632" s="70">
        <f t="shared" si="9"/>
        <v>0</v>
      </c>
      <c r="I632" s="11">
        <v>46069</v>
      </c>
      <c r="J632" s="11">
        <v>46066</v>
      </c>
      <c r="K632" s="13"/>
    </row>
    <row r="633" spans="1:11" ht="18" x14ac:dyDescent="0.4">
      <c r="A633" s="93" t="s">
        <v>475</v>
      </c>
      <c r="B633" s="16" t="s">
        <v>414</v>
      </c>
      <c r="C633" s="8">
        <v>21570</v>
      </c>
      <c r="D633" s="9">
        <v>552826480</v>
      </c>
      <c r="E633" s="57">
        <v>200</v>
      </c>
      <c r="F633" s="10" t="s">
        <v>602</v>
      </c>
      <c r="G633" s="94">
        <v>0</v>
      </c>
      <c r="H633" s="70">
        <f t="shared" si="9"/>
        <v>0</v>
      </c>
      <c r="I633" s="11">
        <v>46069</v>
      </c>
      <c r="J633" s="11">
        <v>46066</v>
      </c>
      <c r="K633" s="13"/>
    </row>
    <row r="634" spans="1:11" ht="18" x14ac:dyDescent="0.4">
      <c r="A634" s="93" t="s">
        <v>475</v>
      </c>
      <c r="B634" s="16" t="s">
        <v>439</v>
      </c>
      <c r="C634" s="8">
        <v>40840</v>
      </c>
      <c r="D634" s="9">
        <v>187521210</v>
      </c>
      <c r="E634" s="57">
        <v>900</v>
      </c>
      <c r="F634" s="95" t="s">
        <v>312</v>
      </c>
      <c r="G634" s="94">
        <v>0</v>
      </c>
      <c r="H634" s="70">
        <f t="shared" si="9"/>
        <v>0</v>
      </c>
      <c r="I634" s="11">
        <v>46069</v>
      </c>
      <c r="J634" s="11">
        <v>46066</v>
      </c>
      <c r="K634" s="13"/>
    </row>
    <row r="635" spans="1:11" ht="18" x14ac:dyDescent="0.4">
      <c r="A635" s="93" t="s">
        <v>475</v>
      </c>
      <c r="B635" s="16" t="s">
        <v>439</v>
      </c>
      <c r="C635" s="8">
        <v>40840</v>
      </c>
      <c r="D635" s="9">
        <v>187543240</v>
      </c>
      <c r="E635" s="57">
        <v>400</v>
      </c>
      <c r="F635" s="95" t="s">
        <v>565</v>
      </c>
      <c r="G635" s="94">
        <v>0</v>
      </c>
      <c r="H635" s="70">
        <f t="shared" si="9"/>
        <v>0</v>
      </c>
      <c r="I635" s="11">
        <v>46069</v>
      </c>
      <c r="J635" s="11">
        <v>46066</v>
      </c>
      <c r="K635" s="13"/>
    </row>
    <row r="636" spans="1:11" ht="18" x14ac:dyDescent="0.4">
      <c r="A636" s="93" t="s">
        <v>475</v>
      </c>
      <c r="B636" s="16" t="s">
        <v>439</v>
      </c>
      <c r="C636" s="8">
        <v>40840</v>
      </c>
      <c r="D636" s="9">
        <v>187532210</v>
      </c>
      <c r="E636" s="57">
        <v>350</v>
      </c>
      <c r="F636" s="95" t="s">
        <v>603</v>
      </c>
      <c r="G636" s="94">
        <v>0</v>
      </c>
      <c r="H636" s="70">
        <f t="shared" si="9"/>
        <v>0</v>
      </c>
      <c r="I636" s="11">
        <v>46069</v>
      </c>
      <c r="J636" s="11">
        <v>46066</v>
      </c>
      <c r="K636" s="13"/>
    </row>
    <row r="637" spans="1:11" ht="18" x14ac:dyDescent="0.4">
      <c r="A637" s="93" t="s">
        <v>475</v>
      </c>
      <c r="B637" s="16" t="s">
        <v>439</v>
      </c>
      <c r="C637" s="8">
        <v>40840</v>
      </c>
      <c r="D637" s="9">
        <v>109026210</v>
      </c>
      <c r="E637" s="57">
        <v>1500</v>
      </c>
      <c r="F637" s="95" t="s">
        <v>604</v>
      </c>
      <c r="G637" s="94">
        <v>0</v>
      </c>
      <c r="H637" s="70">
        <f t="shared" si="9"/>
        <v>0</v>
      </c>
      <c r="I637" s="11">
        <v>46069</v>
      </c>
      <c r="J637" s="11">
        <v>46066</v>
      </c>
      <c r="K637" s="13"/>
    </row>
    <row r="638" spans="1:11" ht="18" x14ac:dyDescent="0.4">
      <c r="A638" s="93" t="s">
        <v>475</v>
      </c>
      <c r="B638" s="16" t="s">
        <v>439</v>
      </c>
      <c r="C638" s="8">
        <v>40840</v>
      </c>
      <c r="D638" s="9">
        <v>162860210</v>
      </c>
      <c r="E638" s="57">
        <v>1750</v>
      </c>
      <c r="F638" s="95" t="s">
        <v>605</v>
      </c>
      <c r="G638" s="94">
        <v>0</v>
      </c>
      <c r="H638" s="70">
        <f t="shared" si="9"/>
        <v>0</v>
      </c>
      <c r="I638" s="11">
        <v>46069</v>
      </c>
      <c r="J638" s="11">
        <v>46066</v>
      </c>
      <c r="K638" s="13"/>
    </row>
    <row r="639" spans="1:11" ht="18" x14ac:dyDescent="0.4">
      <c r="A639" s="93" t="s">
        <v>475</v>
      </c>
      <c r="B639" s="16" t="s">
        <v>606</v>
      </c>
      <c r="C639" s="8">
        <v>23480</v>
      </c>
      <c r="D639" s="9">
        <v>43283640</v>
      </c>
      <c r="E639" s="57">
        <v>2000</v>
      </c>
      <c r="F639" s="10" t="s">
        <v>607</v>
      </c>
      <c r="G639" s="94">
        <v>0</v>
      </c>
      <c r="H639" s="70">
        <f t="shared" si="9"/>
        <v>0</v>
      </c>
      <c r="I639" s="11">
        <v>46069</v>
      </c>
      <c r="J639" s="11">
        <v>46066</v>
      </c>
      <c r="K639" s="13"/>
    </row>
    <row r="640" spans="1:11" ht="18" x14ac:dyDescent="0.4">
      <c r="A640" s="93" t="s">
        <v>475</v>
      </c>
      <c r="B640" s="16" t="s">
        <v>606</v>
      </c>
      <c r="C640" s="8">
        <v>23480</v>
      </c>
      <c r="D640" s="9">
        <v>75395980</v>
      </c>
      <c r="E640" s="57">
        <v>4000</v>
      </c>
      <c r="F640" s="10" t="s">
        <v>608</v>
      </c>
      <c r="G640" s="94">
        <v>0</v>
      </c>
      <c r="H640" s="70">
        <f t="shared" si="9"/>
        <v>0</v>
      </c>
      <c r="I640" s="11">
        <v>46069</v>
      </c>
      <c r="J640" s="11">
        <v>46066</v>
      </c>
      <c r="K640" s="13"/>
    </row>
    <row r="641" spans="1:11" ht="18" x14ac:dyDescent="0.4">
      <c r="A641" s="93" t="s">
        <v>475</v>
      </c>
      <c r="B641" s="7" t="s">
        <v>606</v>
      </c>
      <c r="C641" s="8">
        <v>23480</v>
      </c>
      <c r="D641" s="9">
        <v>144557800</v>
      </c>
      <c r="E641" s="57">
        <v>1000</v>
      </c>
      <c r="F641" s="10" t="s">
        <v>609</v>
      </c>
      <c r="G641" s="94">
        <v>0</v>
      </c>
      <c r="H641" s="70">
        <f t="shared" si="9"/>
        <v>0</v>
      </c>
      <c r="I641" s="11">
        <v>46069</v>
      </c>
      <c r="J641" s="11">
        <v>46066</v>
      </c>
      <c r="K641" s="13"/>
    </row>
    <row r="642" spans="1:11" ht="18" x14ac:dyDescent="0.4">
      <c r="A642" s="93" t="s">
        <v>475</v>
      </c>
      <c r="B642" s="16" t="s">
        <v>606</v>
      </c>
      <c r="C642" s="8">
        <v>23480</v>
      </c>
      <c r="D642" s="9">
        <v>500080480</v>
      </c>
      <c r="E642" s="57">
        <v>3000</v>
      </c>
      <c r="F642" s="10" t="s">
        <v>610</v>
      </c>
      <c r="G642" s="94">
        <v>0</v>
      </c>
      <c r="H642" s="70">
        <f t="shared" si="9"/>
        <v>0</v>
      </c>
      <c r="I642" s="11">
        <v>46069</v>
      </c>
      <c r="J642" s="11">
        <v>46066</v>
      </c>
      <c r="K642" s="13"/>
    </row>
    <row r="643" spans="1:11" ht="18" x14ac:dyDescent="0.4">
      <c r="A643" s="93" t="s">
        <v>475</v>
      </c>
      <c r="B643" s="16" t="s">
        <v>611</v>
      </c>
      <c r="C643" s="8">
        <v>42998</v>
      </c>
      <c r="D643" s="9">
        <v>463545200</v>
      </c>
      <c r="E643" s="57">
        <v>600</v>
      </c>
      <c r="F643" s="10" t="s">
        <v>612</v>
      </c>
      <c r="G643" s="94">
        <v>0</v>
      </c>
      <c r="H643" s="70">
        <f t="shared" si="9"/>
        <v>0</v>
      </c>
      <c r="I643" s="11">
        <v>46069</v>
      </c>
      <c r="J643" s="11">
        <v>46066</v>
      </c>
      <c r="K643" s="13"/>
    </row>
    <row r="644" spans="1:11" ht="18" x14ac:dyDescent="0.4">
      <c r="A644" s="93" t="s">
        <v>475</v>
      </c>
      <c r="B644" s="16" t="s">
        <v>473</v>
      </c>
      <c r="C644" s="8">
        <v>31775</v>
      </c>
      <c r="D644" s="9">
        <v>552597070</v>
      </c>
      <c r="E644" s="57">
        <v>900</v>
      </c>
      <c r="F644" s="10" t="s">
        <v>613</v>
      </c>
      <c r="G644" s="94">
        <v>0</v>
      </c>
      <c r="H644" s="70">
        <f t="shared" si="9"/>
        <v>0</v>
      </c>
      <c r="I644" s="11">
        <v>46069</v>
      </c>
      <c r="J644" s="11">
        <v>46066</v>
      </c>
      <c r="K644" s="13"/>
    </row>
    <row r="645" spans="1:11" ht="18" x14ac:dyDescent="0.4">
      <c r="A645" s="102" t="s">
        <v>475</v>
      </c>
      <c r="B645" s="103" t="s">
        <v>614</v>
      </c>
      <c r="C645" s="102">
        <v>10627</v>
      </c>
      <c r="D645" s="104">
        <v>77132900</v>
      </c>
      <c r="E645" s="102">
        <v>2500</v>
      </c>
      <c r="F645" s="105" t="s">
        <v>615</v>
      </c>
      <c r="G645" s="94">
        <v>0</v>
      </c>
      <c r="H645" s="70">
        <f t="shared" si="9"/>
        <v>0</v>
      </c>
      <c r="I645" s="11">
        <v>46069</v>
      </c>
      <c r="J645" s="11">
        <v>46066</v>
      </c>
      <c r="K645" s="13"/>
    </row>
    <row r="646" spans="1:11" ht="19.5" x14ac:dyDescent="0.55000000000000004">
      <c r="A646" s="93" t="s">
        <v>475</v>
      </c>
      <c r="B646" s="16" t="s">
        <v>616</v>
      </c>
      <c r="C646" s="8">
        <v>50050</v>
      </c>
      <c r="D646" s="9">
        <v>552807940</v>
      </c>
      <c r="E646" s="57">
        <v>360</v>
      </c>
      <c r="F646" s="10" t="s">
        <v>617</v>
      </c>
      <c r="G646" s="94">
        <v>0</v>
      </c>
      <c r="H646" s="70">
        <f t="shared" si="9"/>
        <v>0</v>
      </c>
      <c r="I646" s="11">
        <v>46069</v>
      </c>
      <c r="J646" s="11">
        <v>46066</v>
      </c>
      <c r="K646" s="58"/>
    </row>
    <row r="647" spans="1:11" ht="19.5" x14ac:dyDescent="0.55000000000000004">
      <c r="A647" s="93" t="s">
        <v>475</v>
      </c>
      <c r="B647" s="16" t="s">
        <v>616</v>
      </c>
      <c r="C647" s="8">
        <v>50050</v>
      </c>
      <c r="D647" s="9">
        <v>552807950</v>
      </c>
      <c r="E647" s="57">
        <v>360</v>
      </c>
      <c r="F647" s="10" t="s">
        <v>618</v>
      </c>
      <c r="G647" s="94">
        <v>0</v>
      </c>
      <c r="H647" s="70">
        <f t="shared" si="9"/>
        <v>0</v>
      </c>
      <c r="I647" s="11">
        <v>46069</v>
      </c>
      <c r="J647" s="11">
        <v>46066</v>
      </c>
      <c r="K647" s="58"/>
    </row>
    <row r="648" spans="1:11" ht="19.5" x14ac:dyDescent="0.55000000000000004">
      <c r="A648" s="93" t="s">
        <v>475</v>
      </c>
      <c r="B648" s="16" t="s">
        <v>616</v>
      </c>
      <c r="C648" s="8">
        <v>50050</v>
      </c>
      <c r="D648" s="9">
        <v>552810000</v>
      </c>
      <c r="E648" s="57">
        <v>450</v>
      </c>
      <c r="F648" s="10" t="s">
        <v>619</v>
      </c>
      <c r="G648" s="94">
        <v>0</v>
      </c>
      <c r="H648" s="70">
        <f t="shared" si="9"/>
        <v>0</v>
      </c>
      <c r="I648" s="53">
        <v>46069</v>
      </c>
      <c r="J648" s="11">
        <v>46066</v>
      </c>
      <c r="K648" s="58"/>
    </row>
    <row r="649" spans="1:11" ht="19.5" x14ac:dyDescent="0.55000000000000004">
      <c r="A649" s="93" t="s">
        <v>475</v>
      </c>
      <c r="B649" s="16" t="s">
        <v>616</v>
      </c>
      <c r="C649" s="8">
        <v>50050</v>
      </c>
      <c r="D649" s="9">
        <v>552807960</v>
      </c>
      <c r="E649" s="57">
        <v>180</v>
      </c>
      <c r="F649" s="10" t="s">
        <v>620</v>
      </c>
      <c r="G649" s="94">
        <v>0</v>
      </c>
      <c r="H649" s="70">
        <f t="shared" si="9"/>
        <v>0</v>
      </c>
      <c r="I649" s="53">
        <v>46069</v>
      </c>
      <c r="J649" s="11">
        <v>46066</v>
      </c>
      <c r="K649" s="58"/>
    </row>
    <row r="650" spans="1:11" ht="19.5" x14ac:dyDescent="0.55000000000000004">
      <c r="A650" s="93" t="s">
        <v>475</v>
      </c>
      <c r="B650" s="16" t="s">
        <v>616</v>
      </c>
      <c r="C650" s="8">
        <v>50050</v>
      </c>
      <c r="D650" s="9">
        <v>552512680</v>
      </c>
      <c r="E650" s="57">
        <v>1800</v>
      </c>
      <c r="F650" s="10" t="s">
        <v>621</v>
      </c>
      <c r="G650" s="94">
        <v>0</v>
      </c>
      <c r="H650" s="70">
        <f t="shared" si="9"/>
        <v>0</v>
      </c>
      <c r="I650" s="53">
        <v>46069</v>
      </c>
      <c r="J650" s="11">
        <v>46066</v>
      </c>
      <c r="K650" s="58"/>
    </row>
    <row r="651" spans="1:11" ht="19.5" x14ac:dyDescent="0.55000000000000004">
      <c r="A651" s="93" t="s">
        <v>475</v>
      </c>
      <c r="B651" s="16" t="s">
        <v>616</v>
      </c>
      <c r="C651" s="8">
        <v>50050</v>
      </c>
      <c r="D651" s="9">
        <v>552500530</v>
      </c>
      <c r="E651" s="57">
        <v>2400</v>
      </c>
      <c r="F651" s="10" t="s">
        <v>621</v>
      </c>
      <c r="G651" s="94">
        <v>0</v>
      </c>
      <c r="H651" s="70">
        <f t="shared" si="9"/>
        <v>0</v>
      </c>
      <c r="I651" s="53">
        <v>46069</v>
      </c>
      <c r="J651" s="11">
        <v>46066</v>
      </c>
      <c r="K651" s="58"/>
    </row>
    <row r="652" spans="1:11" ht="19.5" x14ac:dyDescent="0.55000000000000004">
      <c r="A652" s="93" t="s">
        <v>475</v>
      </c>
      <c r="B652" s="16" t="s">
        <v>616</v>
      </c>
      <c r="C652" s="8">
        <v>50050</v>
      </c>
      <c r="D652" s="9">
        <v>552807970</v>
      </c>
      <c r="E652" s="57">
        <v>180</v>
      </c>
      <c r="F652" s="10" t="s">
        <v>622</v>
      </c>
      <c r="G652" s="94">
        <v>0</v>
      </c>
      <c r="H652" s="70">
        <f t="shared" si="9"/>
        <v>0</v>
      </c>
      <c r="I652" s="53">
        <v>46069</v>
      </c>
      <c r="J652" s="11">
        <v>46066</v>
      </c>
      <c r="K652" s="58"/>
    </row>
    <row r="653" spans="1:11" ht="19.5" x14ac:dyDescent="0.55000000000000004">
      <c r="A653" s="93" t="s">
        <v>475</v>
      </c>
      <c r="B653" s="16" t="s">
        <v>286</v>
      </c>
      <c r="C653" s="8">
        <v>51625</v>
      </c>
      <c r="D653" s="9">
        <v>463458000</v>
      </c>
      <c r="E653" s="57">
        <v>1800</v>
      </c>
      <c r="F653" s="10" t="s">
        <v>623</v>
      </c>
      <c r="G653" s="94">
        <v>0</v>
      </c>
      <c r="H653" s="70">
        <f t="shared" si="9"/>
        <v>0</v>
      </c>
      <c r="I653" s="53">
        <v>46069</v>
      </c>
      <c r="J653" s="11">
        <v>46066</v>
      </c>
      <c r="K653" s="58"/>
    </row>
    <row r="654" spans="1:11" ht="19.5" x14ac:dyDescent="0.55000000000000004">
      <c r="A654" s="93" t="s">
        <v>475</v>
      </c>
      <c r="B654" s="16" t="s">
        <v>286</v>
      </c>
      <c r="C654" s="8">
        <v>51625</v>
      </c>
      <c r="D654" s="9">
        <v>463457980</v>
      </c>
      <c r="E654" s="57">
        <v>1600</v>
      </c>
      <c r="F654" s="10" t="s">
        <v>624</v>
      </c>
      <c r="G654" s="94">
        <v>0</v>
      </c>
      <c r="H654" s="70">
        <f t="shared" si="9"/>
        <v>0</v>
      </c>
      <c r="I654" s="11">
        <v>46069</v>
      </c>
      <c r="J654" s="11">
        <v>46066</v>
      </c>
      <c r="K654" s="58"/>
    </row>
    <row r="655" spans="1:11" ht="19.5" x14ac:dyDescent="0.55000000000000004">
      <c r="A655" s="93" t="s">
        <v>475</v>
      </c>
      <c r="B655" s="16" t="s">
        <v>286</v>
      </c>
      <c r="C655" s="8">
        <v>51625</v>
      </c>
      <c r="D655" s="9">
        <v>463457990</v>
      </c>
      <c r="E655" s="57">
        <v>1920</v>
      </c>
      <c r="F655" s="10" t="s">
        <v>625</v>
      </c>
      <c r="G655" s="94">
        <v>0</v>
      </c>
      <c r="H655" s="70">
        <f t="shared" si="9"/>
        <v>0</v>
      </c>
      <c r="I655" s="11">
        <v>46069</v>
      </c>
      <c r="J655" s="11">
        <v>46066</v>
      </c>
      <c r="K655" s="58"/>
    </row>
    <row r="656" spans="1:11" ht="18" x14ac:dyDescent="0.4">
      <c r="A656" s="102" t="s">
        <v>475</v>
      </c>
      <c r="B656" s="103" t="s">
        <v>626</v>
      </c>
      <c r="C656" s="102">
        <v>13093</v>
      </c>
      <c r="D656" s="104">
        <v>552679890</v>
      </c>
      <c r="E656" s="102">
        <v>150</v>
      </c>
      <c r="F656" s="105" t="s">
        <v>627</v>
      </c>
      <c r="G656" s="94">
        <v>0</v>
      </c>
      <c r="H656" s="70">
        <f t="shared" si="9"/>
        <v>0</v>
      </c>
      <c r="I656" s="11">
        <v>46069</v>
      </c>
      <c r="J656" s="11">
        <v>46066</v>
      </c>
      <c r="K656" s="13"/>
    </row>
    <row r="657" spans="1:11" ht="18" x14ac:dyDescent="0.4">
      <c r="A657" s="93" t="s">
        <v>475</v>
      </c>
      <c r="B657" s="16" t="s">
        <v>628</v>
      </c>
      <c r="C657" s="60">
        <v>30467</v>
      </c>
      <c r="D657" s="61">
        <v>552757120</v>
      </c>
      <c r="E657" s="60">
        <v>300</v>
      </c>
      <c r="F657" s="96" t="s">
        <v>629</v>
      </c>
      <c r="G657" s="94">
        <v>0</v>
      </c>
      <c r="H657" s="70">
        <f t="shared" si="9"/>
        <v>0</v>
      </c>
      <c r="I657" s="11">
        <v>46069</v>
      </c>
      <c r="J657" s="11">
        <v>46066</v>
      </c>
      <c r="K657" s="13"/>
    </row>
    <row r="658" spans="1:11" ht="18" x14ac:dyDescent="0.4">
      <c r="A658" s="93" t="s">
        <v>475</v>
      </c>
      <c r="B658" s="16" t="s">
        <v>628</v>
      </c>
      <c r="C658" s="60">
        <v>30467</v>
      </c>
      <c r="D658" s="61">
        <v>77894039</v>
      </c>
      <c r="E658" s="60">
        <v>2880</v>
      </c>
      <c r="F658" s="96" t="s">
        <v>510</v>
      </c>
      <c r="G658" s="94">
        <v>0</v>
      </c>
      <c r="H658" s="70">
        <f t="shared" si="9"/>
        <v>0</v>
      </c>
      <c r="I658" s="11">
        <v>46069</v>
      </c>
      <c r="J658" s="11">
        <v>46066</v>
      </c>
      <c r="K658" s="13"/>
    </row>
    <row r="659" spans="1:11" ht="18" x14ac:dyDescent="0.4">
      <c r="A659" s="93" t="s">
        <v>475</v>
      </c>
      <c r="B659" s="16" t="s">
        <v>628</v>
      </c>
      <c r="C659" s="60">
        <v>30467</v>
      </c>
      <c r="D659" s="61">
        <v>463458088</v>
      </c>
      <c r="E659" s="60">
        <v>1440</v>
      </c>
      <c r="F659" s="96" t="s">
        <v>630</v>
      </c>
      <c r="G659" s="94">
        <v>0</v>
      </c>
      <c r="H659" s="70">
        <f t="shared" si="9"/>
        <v>0</v>
      </c>
      <c r="I659" s="11">
        <v>46069</v>
      </c>
      <c r="J659" s="11">
        <v>46066</v>
      </c>
      <c r="K659" s="13"/>
    </row>
    <row r="660" spans="1:11" ht="18" x14ac:dyDescent="0.4">
      <c r="A660" s="93" t="s">
        <v>475</v>
      </c>
      <c r="B660" s="16" t="s">
        <v>631</v>
      </c>
      <c r="C660" s="8">
        <v>60644</v>
      </c>
      <c r="D660" s="9">
        <v>75742790</v>
      </c>
      <c r="E660" s="57">
        <v>400</v>
      </c>
      <c r="F660" s="10" t="s">
        <v>632</v>
      </c>
      <c r="G660" s="94">
        <v>0</v>
      </c>
      <c r="H660" s="70">
        <f t="shared" si="9"/>
        <v>0</v>
      </c>
      <c r="I660" s="11">
        <v>46069</v>
      </c>
      <c r="J660" s="11">
        <v>46066</v>
      </c>
      <c r="K660" s="13"/>
    </row>
    <row r="661" spans="1:11" ht="18" x14ac:dyDescent="0.4">
      <c r="A661" s="93" t="s">
        <v>475</v>
      </c>
      <c r="B661" s="16" t="s">
        <v>631</v>
      </c>
      <c r="C661" s="8">
        <v>60644</v>
      </c>
      <c r="D661" s="9">
        <v>464600430</v>
      </c>
      <c r="E661" s="57">
        <v>72</v>
      </c>
      <c r="F661" s="10" t="s">
        <v>633</v>
      </c>
      <c r="G661" s="94">
        <v>0</v>
      </c>
      <c r="H661" s="70">
        <f t="shared" si="9"/>
        <v>0</v>
      </c>
      <c r="I661" s="11">
        <v>46069</v>
      </c>
      <c r="J661" s="11">
        <v>46066</v>
      </c>
      <c r="K661" s="13"/>
    </row>
    <row r="662" spans="1:11" ht="19.5" x14ac:dyDescent="0.55000000000000004">
      <c r="A662" s="93" t="s">
        <v>475</v>
      </c>
      <c r="B662" s="16" t="s">
        <v>634</v>
      </c>
      <c r="C662" s="8">
        <v>63192</v>
      </c>
      <c r="D662" s="9">
        <v>552044480</v>
      </c>
      <c r="E662" s="57">
        <v>45</v>
      </c>
      <c r="F662" s="10" t="s">
        <v>635</v>
      </c>
      <c r="G662" s="94">
        <v>0</v>
      </c>
      <c r="H662" s="70">
        <f t="shared" si="9"/>
        <v>0</v>
      </c>
      <c r="I662" s="11">
        <v>46069</v>
      </c>
      <c r="J662" s="11">
        <v>46066</v>
      </c>
      <c r="K662" s="59"/>
    </row>
    <row r="663" spans="1:11" ht="19.5" x14ac:dyDescent="0.55000000000000004">
      <c r="A663" s="93" t="s">
        <v>475</v>
      </c>
      <c r="B663" s="16" t="s">
        <v>634</v>
      </c>
      <c r="C663" s="8">
        <v>63192</v>
      </c>
      <c r="D663" s="9">
        <v>552044490</v>
      </c>
      <c r="E663" s="57">
        <v>45</v>
      </c>
      <c r="F663" s="10" t="s">
        <v>635</v>
      </c>
      <c r="G663" s="94">
        <v>0</v>
      </c>
      <c r="H663" s="70">
        <f t="shared" si="9"/>
        <v>0</v>
      </c>
      <c r="I663" s="11">
        <v>46069</v>
      </c>
      <c r="J663" s="11">
        <v>46066</v>
      </c>
      <c r="K663" s="59"/>
    </row>
    <row r="664" spans="1:11" ht="18" x14ac:dyDescent="0.4">
      <c r="A664" s="93" t="s">
        <v>475</v>
      </c>
      <c r="B664" s="16" t="s">
        <v>637</v>
      </c>
      <c r="C664" s="8">
        <v>64641</v>
      </c>
      <c r="D664" s="9">
        <v>143253110</v>
      </c>
      <c r="E664" s="57">
        <v>350</v>
      </c>
      <c r="F664" s="10" t="s">
        <v>638</v>
      </c>
      <c r="G664" s="94">
        <v>0</v>
      </c>
      <c r="H664" s="70">
        <f t="shared" si="9"/>
        <v>0</v>
      </c>
      <c r="I664" s="11">
        <v>46069</v>
      </c>
      <c r="J664" s="11">
        <v>46066</v>
      </c>
      <c r="K664" s="13"/>
    </row>
    <row r="665" spans="1:11" ht="18" x14ac:dyDescent="0.4">
      <c r="A665" s="93" t="s">
        <v>475</v>
      </c>
      <c r="B665" s="16" t="s">
        <v>639</v>
      </c>
      <c r="C665" s="8">
        <v>29928</v>
      </c>
      <c r="D665" s="9">
        <v>400048200</v>
      </c>
      <c r="E665" s="57">
        <v>480</v>
      </c>
      <c r="F665" s="10" t="s">
        <v>593</v>
      </c>
      <c r="G665" s="94">
        <v>0</v>
      </c>
      <c r="H665" s="70">
        <f t="shared" si="9"/>
        <v>0</v>
      </c>
      <c r="I665" s="11">
        <v>46069</v>
      </c>
      <c r="J665" s="11">
        <v>46066</v>
      </c>
      <c r="K665" s="13"/>
    </row>
    <row r="666" spans="1:11" ht="18" x14ac:dyDescent="0.4">
      <c r="A666" s="102" t="s">
        <v>475</v>
      </c>
      <c r="B666" s="103" t="s">
        <v>640</v>
      </c>
      <c r="C666" s="102">
        <v>68265</v>
      </c>
      <c r="D666" s="104">
        <v>463415970</v>
      </c>
      <c r="E666" s="102">
        <v>360</v>
      </c>
      <c r="F666" s="105" t="s">
        <v>641</v>
      </c>
      <c r="G666" s="94">
        <v>0</v>
      </c>
      <c r="H666" s="70">
        <f t="shared" si="9"/>
        <v>0</v>
      </c>
      <c r="I666" s="11">
        <v>46069</v>
      </c>
      <c r="J666" s="11">
        <v>46066</v>
      </c>
      <c r="K666" s="13"/>
    </row>
    <row r="667" spans="1:11" ht="18" x14ac:dyDescent="0.4">
      <c r="A667" s="102" t="s">
        <v>475</v>
      </c>
      <c r="B667" s="103" t="s">
        <v>640</v>
      </c>
      <c r="C667" s="102">
        <v>68265</v>
      </c>
      <c r="D667" s="104">
        <v>551914710</v>
      </c>
      <c r="E667" s="102">
        <v>360</v>
      </c>
      <c r="F667" s="105" t="s">
        <v>642</v>
      </c>
      <c r="G667" s="94">
        <v>0</v>
      </c>
      <c r="H667" s="70">
        <f t="shared" si="9"/>
        <v>0</v>
      </c>
      <c r="I667" s="11">
        <v>46069</v>
      </c>
      <c r="J667" s="11">
        <v>46066</v>
      </c>
      <c r="K667" s="13"/>
    </row>
    <row r="668" spans="1:11" ht="18" x14ac:dyDescent="0.4">
      <c r="A668" s="102" t="s">
        <v>475</v>
      </c>
      <c r="B668" s="103" t="s">
        <v>640</v>
      </c>
      <c r="C668" s="102">
        <v>68265</v>
      </c>
      <c r="D668" s="104">
        <v>552444220</v>
      </c>
      <c r="E668" s="102">
        <v>180</v>
      </c>
      <c r="F668" s="105" t="s">
        <v>641</v>
      </c>
      <c r="G668" s="94">
        <v>0</v>
      </c>
      <c r="H668" s="70">
        <f t="shared" si="9"/>
        <v>0</v>
      </c>
      <c r="I668" s="11">
        <v>46069</v>
      </c>
      <c r="J668" s="11">
        <v>46066</v>
      </c>
      <c r="K668" s="13"/>
    </row>
    <row r="669" spans="1:11" ht="18" x14ac:dyDescent="0.4">
      <c r="A669" s="102" t="s">
        <v>475</v>
      </c>
      <c r="B669" s="103" t="s">
        <v>640</v>
      </c>
      <c r="C669" s="102">
        <v>68265</v>
      </c>
      <c r="D669" s="104">
        <v>552701450</v>
      </c>
      <c r="E669" s="102">
        <v>360</v>
      </c>
      <c r="F669" s="105" t="s">
        <v>643</v>
      </c>
      <c r="G669" s="94">
        <v>0</v>
      </c>
      <c r="H669" s="70">
        <f t="shared" si="9"/>
        <v>0</v>
      </c>
      <c r="I669" s="11">
        <v>46069</v>
      </c>
      <c r="J669" s="11">
        <v>46066</v>
      </c>
      <c r="K669" s="13"/>
    </row>
    <row r="670" spans="1:11" ht="18" x14ac:dyDescent="0.4">
      <c r="A670" s="93" t="s">
        <v>475</v>
      </c>
      <c r="B670" s="16" t="s">
        <v>644</v>
      </c>
      <c r="C670" s="8">
        <v>68265</v>
      </c>
      <c r="D670" s="9">
        <v>59999700</v>
      </c>
      <c r="E670" s="57">
        <v>102</v>
      </c>
      <c r="F670" s="10" t="s">
        <v>645</v>
      </c>
      <c r="G670" s="94">
        <v>0</v>
      </c>
      <c r="H670" s="70">
        <f t="shared" si="9"/>
        <v>0</v>
      </c>
      <c r="I670" s="11">
        <v>46069</v>
      </c>
      <c r="J670" s="11">
        <v>46066</v>
      </c>
      <c r="K670" s="13"/>
    </row>
    <row r="671" spans="1:11" ht="18" x14ac:dyDescent="0.4">
      <c r="A671" s="93" t="s">
        <v>475</v>
      </c>
      <c r="B671" s="16" t="s">
        <v>644</v>
      </c>
      <c r="C671" s="8">
        <v>68265</v>
      </c>
      <c r="D671" s="9">
        <v>75645190</v>
      </c>
      <c r="E671" s="57">
        <v>126</v>
      </c>
      <c r="F671" s="10" t="s">
        <v>646</v>
      </c>
      <c r="G671" s="94">
        <v>0</v>
      </c>
      <c r="H671" s="70">
        <f t="shared" si="9"/>
        <v>0</v>
      </c>
      <c r="I671" s="11">
        <v>46069</v>
      </c>
      <c r="J671" s="11">
        <v>46066</v>
      </c>
      <c r="K671" s="13"/>
    </row>
    <row r="672" spans="1:11" ht="18" x14ac:dyDescent="0.4">
      <c r="A672" s="93" t="s">
        <v>475</v>
      </c>
      <c r="B672" s="16" t="s">
        <v>644</v>
      </c>
      <c r="C672" s="8">
        <v>68265</v>
      </c>
      <c r="D672" s="9">
        <v>463602640</v>
      </c>
      <c r="E672" s="57">
        <v>144</v>
      </c>
      <c r="F672" s="10" t="s">
        <v>647</v>
      </c>
      <c r="G672" s="94">
        <v>0</v>
      </c>
      <c r="H672" s="70">
        <f t="shared" ref="H672:H720" si="10">+G672/E672</f>
        <v>0</v>
      </c>
      <c r="I672" s="11">
        <v>46069</v>
      </c>
      <c r="J672" s="11">
        <v>46066</v>
      </c>
      <c r="K672" s="13"/>
    </row>
    <row r="673" spans="1:11" ht="18" x14ac:dyDescent="0.4">
      <c r="A673" s="93" t="s">
        <v>475</v>
      </c>
      <c r="B673" s="16" t="s">
        <v>644</v>
      </c>
      <c r="C673" s="8">
        <v>68265</v>
      </c>
      <c r="D673" s="9">
        <v>75756860</v>
      </c>
      <c r="E673" s="57">
        <v>120</v>
      </c>
      <c r="F673" s="10" t="s">
        <v>648</v>
      </c>
      <c r="G673" s="94">
        <v>0</v>
      </c>
      <c r="H673" s="70">
        <f t="shared" si="10"/>
        <v>0</v>
      </c>
      <c r="I673" s="11">
        <v>46069</v>
      </c>
      <c r="J673" s="11">
        <v>46066</v>
      </c>
      <c r="K673" s="13"/>
    </row>
    <row r="674" spans="1:11" ht="18" x14ac:dyDescent="0.4">
      <c r="A674" s="93" t="s">
        <v>475</v>
      </c>
      <c r="B674" s="16" t="s">
        <v>644</v>
      </c>
      <c r="C674" s="8">
        <v>68265</v>
      </c>
      <c r="D674" s="9">
        <v>75756870</v>
      </c>
      <c r="E674" s="57">
        <v>204</v>
      </c>
      <c r="F674" s="10" t="s">
        <v>649</v>
      </c>
      <c r="G674" s="94">
        <v>0</v>
      </c>
      <c r="H674" s="70">
        <f t="shared" si="10"/>
        <v>0</v>
      </c>
      <c r="I674" s="11">
        <v>46069</v>
      </c>
      <c r="J674" s="11">
        <v>46066</v>
      </c>
      <c r="K674" s="13"/>
    </row>
    <row r="675" spans="1:11" ht="18" x14ac:dyDescent="0.4">
      <c r="A675" s="93" t="s">
        <v>475</v>
      </c>
      <c r="B675" s="16" t="s">
        <v>644</v>
      </c>
      <c r="C675" s="8">
        <v>68265</v>
      </c>
      <c r="D675" s="9">
        <v>465364600</v>
      </c>
      <c r="E675" s="57">
        <v>90</v>
      </c>
      <c r="F675" s="10" t="s">
        <v>650</v>
      </c>
      <c r="G675" s="94">
        <v>0</v>
      </c>
      <c r="H675" s="70">
        <f t="shared" si="10"/>
        <v>0</v>
      </c>
      <c r="I675" s="11">
        <v>46069</v>
      </c>
      <c r="J675" s="11">
        <v>46066</v>
      </c>
      <c r="K675" s="13"/>
    </row>
    <row r="676" spans="1:11" ht="18" x14ac:dyDescent="0.4">
      <c r="A676" s="93" t="s">
        <v>475</v>
      </c>
      <c r="B676" s="16" t="s">
        <v>644</v>
      </c>
      <c r="C676" s="8">
        <v>68265</v>
      </c>
      <c r="D676" s="9">
        <v>463457970</v>
      </c>
      <c r="E676" s="57">
        <v>2000</v>
      </c>
      <c r="F676" s="10" t="s">
        <v>651</v>
      </c>
      <c r="G676" s="94">
        <v>0</v>
      </c>
      <c r="H676" s="70">
        <f t="shared" si="10"/>
        <v>0</v>
      </c>
      <c r="I676" s="11">
        <v>46069</v>
      </c>
      <c r="J676" s="11">
        <v>46066</v>
      </c>
      <c r="K676" s="13"/>
    </row>
    <row r="677" spans="1:11" ht="18" x14ac:dyDescent="0.4">
      <c r="A677" s="93" t="s">
        <v>475</v>
      </c>
      <c r="B677" s="16" t="s">
        <v>644</v>
      </c>
      <c r="C677" s="8">
        <v>68265</v>
      </c>
      <c r="D677" s="9">
        <v>467761980</v>
      </c>
      <c r="E677" s="57">
        <v>96</v>
      </c>
      <c r="F677" s="10" t="s">
        <v>652</v>
      </c>
      <c r="G677" s="94">
        <v>0</v>
      </c>
      <c r="H677" s="70">
        <f t="shared" si="10"/>
        <v>0</v>
      </c>
      <c r="I677" s="11">
        <v>46069</v>
      </c>
      <c r="J677" s="11">
        <v>46066</v>
      </c>
      <c r="K677" s="13"/>
    </row>
    <row r="678" spans="1:11" ht="18" x14ac:dyDescent="0.4">
      <c r="A678" s="93" t="s">
        <v>475</v>
      </c>
      <c r="B678" s="16" t="s">
        <v>644</v>
      </c>
      <c r="C678" s="8">
        <v>68265</v>
      </c>
      <c r="D678" s="9">
        <v>467984770</v>
      </c>
      <c r="E678" s="57">
        <v>216</v>
      </c>
      <c r="F678" s="10" t="s">
        <v>653</v>
      </c>
      <c r="G678" s="94">
        <v>0</v>
      </c>
      <c r="H678" s="70">
        <f t="shared" si="10"/>
        <v>0</v>
      </c>
      <c r="I678" s="11">
        <v>46069</v>
      </c>
      <c r="J678" s="11">
        <v>46066</v>
      </c>
      <c r="K678" s="13"/>
    </row>
    <row r="679" spans="1:11" ht="18" x14ac:dyDescent="0.4">
      <c r="A679" s="93" t="s">
        <v>475</v>
      </c>
      <c r="B679" s="16" t="s">
        <v>644</v>
      </c>
      <c r="C679" s="8">
        <v>68265</v>
      </c>
      <c r="D679" s="9">
        <v>552180370</v>
      </c>
      <c r="E679" s="57">
        <v>390</v>
      </c>
      <c r="F679" s="10" t="s">
        <v>654</v>
      </c>
      <c r="G679" s="94">
        <v>0</v>
      </c>
      <c r="H679" s="70">
        <f t="shared" si="10"/>
        <v>0</v>
      </c>
      <c r="I679" s="11">
        <v>46069</v>
      </c>
      <c r="J679" s="11">
        <v>46066</v>
      </c>
      <c r="K679" s="13"/>
    </row>
    <row r="680" spans="1:11" ht="18" x14ac:dyDescent="0.4">
      <c r="A680" s="93" t="s">
        <v>475</v>
      </c>
      <c r="B680" s="16" t="s">
        <v>644</v>
      </c>
      <c r="C680" s="8">
        <v>68265</v>
      </c>
      <c r="D680" s="9">
        <v>463559990</v>
      </c>
      <c r="E680" s="57">
        <v>102</v>
      </c>
      <c r="F680" s="10" t="s">
        <v>655</v>
      </c>
      <c r="G680" s="94">
        <v>0</v>
      </c>
      <c r="H680" s="70">
        <f t="shared" si="10"/>
        <v>0</v>
      </c>
      <c r="I680" s="11">
        <v>46069</v>
      </c>
      <c r="J680" s="11">
        <v>46066</v>
      </c>
      <c r="K680" s="13"/>
    </row>
    <row r="681" spans="1:11" ht="18" x14ac:dyDescent="0.4">
      <c r="A681" s="93" t="s">
        <v>475</v>
      </c>
      <c r="B681" s="16" t="s">
        <v>656</v>
      </c>
      <c r="C681" s="8">
        <v>70930</v>
      </c>
      <c r="D681" s="9">
        <v>75095320</v>
      </c>
      <c r="E681" s="57">
        <v>600</v>
      </c>
      <c r="F681" s="10" t="s">
        <v>657</v>
      </c>
      <c r="G681" s="94">
        <v>0</v>
      </c>
      <c r="H681" s="70">
        <f t="shared" si="10"/>
        <v>0</v>
      </c>
      <c r="I681" s="11">
        <v>46069</v>
      </c>
      <c r="J681" s="11">
        <v>46066</v>
      </c>
      <c r="K681" s="13"/>
    </row>
    <row r="682" spans="1:11" ht="18" x14ac:dyDescent="0.4">
      <c r="A682" s="93" t="s">
        <v>475</v>
      </c>
      <c r="B682" s="16" t="s">
        <v>656</v>
      </c>
      <c r="C682" s="8">
        <v>70930</v>
      </c>
      <c r="D682" s="9">
        <v>75095330</v>
      </c>
      <c r="E682" s="57">
        <v>840</v>
      </c>
      <c r="F682" s="10" t="s">
        <v>658</v>
      </c>
      <c r="G682" s="94">
        <v>0</v>
      </c>
      <c r="H682" s="70">
        <f t="shared" si="10"/>
        <v>0</v>
      </c>
      <c r="I682" s="11">
        <v>46069</v>
      </c>
      <c r="J682" s="11">
        <v>46066</v>
      </c>
      <c r="K682" s="13"/>
    </row>
    <row r="683" spans="1:11" ht="18" x14ac:dyDescent="0.4">
      <c r="A683" s="93" t="s">
        <v>475</v>
      </c>
      <c r="B683" s="16" t="s">
        <v>656</v>
      </c>
      <c r="C683" s="8">
        <v>70930</v>
      </c>
      <c r="D683" s="9">
        <v>464752630</v>
      </c>
      <c r="E683" s="57">
        <v>3456</v>
      </c>
      <c r="F683" s="10" t="s">
        <v>659</v>
      </c>
      <c r="G683" s="94">
        <v>0</v>
      </c>
      <c r="H683" s="70">
        <f t="shared" si="10"/>
        <v>0</v>
      </c>
      <c r="I683" s="11">
        <v>46069</v>
      </c>
      <c r="J683" s="11">
        <v>46066</v>
      </c>
      <c r="K683" s="13"/>
    </row>
    <row r="684" spans="1:11" ht="18" x14ac:dyDescent="0.4">
      <c r="A684" s="93" t="s">
        <v>475</v>
      </c>
      <c r="B684" s="16" t="s">
        <v>656</v>
      </c>
      <c r="C684" s="8">
        <v>70930</v>
      </c>
      <c r="D684" s="9">
        <v>464133490</v>
      </c>
      <c r="E684" s="57">
        <v>1152</v>
      </c>
      <c r="F684" s="10" t="s">
        <v>660</v>
      </c>
      <c r="G684" s="94">
        <v>0</v>
      </c>
      <c r="H684" s="70">
        <f t="shared" si="10"/>
        <v>0</v>
      </c>
      <c r="I684" s="11">
        <v>46069</v>
      </c>
      <c r="J684" s="11">
        <v>46066</v>
      </c>
      <c r="K684" s="13"/>
    </row>
    <row r="685" spans="1:11" ht="18" x14ac:dyDescent="0.4">
      <c r="A685" s="93" t="s">
        <v>475</v>
      </c>
      <c r="B685" s="7" t="s">
        <v>656</v>
      </c>
      <c r="C685" s="8">
        <v>70930</v>
      </c>
      <c r="D685" s="9">
        <v>552261480</v>
      </c>
      <c r="E685" s="57">
        <v>1426</v>
      </c>
      <c r="F685" s="10" t="s">
        <v>661</v>
      </c>
      <c r="G685" s="94">
        <v>0</v>
      </c>
      <c r="H685" s="70">
        <f t="shared" si="10"/>
        <v>0</v>
      </c>
      <c r="I685" s="11">
        <v>46069</v>
      </c>
      <c r="J685" s="11">
        <v>46066</v>
      </c>
      <c r="K685" s="13"/>
    </row>
    <row r="686" spans="1:11" ht="18" x14ac:dyDescent="0.4">
      <c r="A686" s="93" t="s">
        <v>475</v>
      </c>
      <c r="B686" s="7" t="s">
        <v>656</v>
      </c>
      <c r="C686" s="8">
        <v>70930</v>
      </c>
      <c r="D686" s="9">
        <v>552261490</v>
      </c>
      <c r="E686" s="57">
        <v>1200</v>
      </c>
      <c r="F686" s="10" t="s">
        <v>662</v>
      </c>
      <c r="G686" s="94">
        <v>0</v>
      </c>
      <c r="H686" s="70">
        <f t="shared" si="10"/>
        <v>0</v>
      </c>
      <c r="I686" s="11">
        <v>46069</v>
      </c>
      <c r="J686" s="11">
        <v>46066</v>
      </c>
      <c r="K686" s="13"/>
    </row>
    <row r="687" spans="1:11" ht="18" x14ac:dyDescent="0.4">
      <c r="A687" s="93" t="s">
        <v>475</v>
      </c>
      <c r="B687" s="7" t="s">
        <v>663</v>
      </c>
      <c r="C687" s="8">
        <v>14872</v>
      </c>
      <c r="D687" s="9">
        <v>77131980</v>
      </c>
      <c r="E687" s="57">
        <v>1000</v>
      </c>
      <c r="F687" s="10" t="s">
        <v>664</v>
      </c>
      <c r="G687" s="94">
        <v>0</v>
      </c>
      <c r="H687" s="70">
        <f t="shared" si="10"/>
        <v>0</v>
      </c>
      <c r="I687" s="11">
        <v>46069</v>
      </c>
      <c r="J687" s="11">
        <v>46066</v>
      </c>
      <c r="K687" s="13"/>
    </row>
    <row r="688" spans="1:11" ht="18" x14ac:dyDescent="0.4">
      <c r="A688" s="93" t="s">
        <v>475</v>
      </c>
      <c r="B688" s="7" t="s">
        <v>663</v>
      </c>
      <c r="C688" s="8">
        <v>14872</v>
      </c>
      <c r="D688" s="9">
        <v>552759150</v>
      </c>
      <c r="E688" s="57">
        <v>1000</v>
      </c>
      <c r="F688" s="10" t="s">
        <v>664</v>
      </c>
      <c r="G688" s="94">
        <v>0</v>
      </c>
      <c r="H688" s="70">
        <f t="shared" si="10"/>
        <v>0</v>
      </c>
      <c r="I688" s="11">
        <v>46069</v>
      </c>
      <c r="J688" s="11">
        <v>46066</v>
      </c>
      <c r="K688" s="13"/>
    </row>
    <row r="689" spans="1:11" ht="18" x14ac:dyDescent="0.4">
      <c r="A689" s="93" t="s">
        <v>475</v>
      </c>
      <c r="B689" s="7" t="s">
        <v>663</v>
      </c>
      <c r="C689" s="8">
        <v>14872</v>
      </c>
      <c r="D689" s="9">
        <v>77289810</v>
      </c>
      <c r="E689" s="57">
        <v>400</v>
      </c>
      <c r="F689" s="10" t="s">
        <v>665</v>
      </c>
      <c r="G689" s="94">
        <v>0</v>
      </c>
      <c r="H689" s="70">
        <f t="shared" si="10"/>
        <v>0</v>
      </c>
      <c r="I689" s="11">
        <v>46069</v>
      </c>
      <c r="J689" s="11">
        <v>46066</v>
      </c>
      <c r="K689" s="13"/>
    </row>
    <row r="690" spans="1:11" ht="18" x14ac:dyDescent="0.4">
      <c r="A690" s="93" t="s">
        <v>475</v>
      </c>
      <c r="B690" s="7" t="s">
        <v>663</v>
      </c>
      <c r="C690" s="8">
        <v>14872</v>
      </c>
      <c r="D690" s="9">
        <v>77289820</v>
      </c>
      <c r="E690" s="57">
        <v>400</v>
      </c>
      <c r="F690" s="10" t="s">
        <v>666</v>
      </c>
      <c r="G690" s="94">
        <v>0</v>
      </c>
      <c r="H690" s="70">
        <f t="shared" si="10"/>
        <v>0</v>
      </c>
      <c r="I690" s="11">
        <v>46069</v>
      </c>
      <c r="J690" s="11">
        <v>46066</v>
      </c>
      <c r="K690" s="13"/>
    </row>
    <row r="691" spans="1:11" ht="18" x14ac:dyDescent="0.4">
      <c r="A691" s="93" t="s">
        <v>475</v>
      </c>
      <c r="B691" s="7" t="s">
        <v>663</v>
      </c>
      <c r="C691" s="8">
        <v>14872</v>
      </c>
      <c r="D691" s="9">
        <v>77289830</v>
      </c>
      <c r="E691" s="57">
        <v>400</v>
      </c>
      <c r="F691" s="10" t="s">
        <v>667</v>
      </c>
      <c r="G691" s="94">
        <v>0</v>
      </c>
      <c r="H691" s="70">
        <f t="shared" si="10"/>
        <v>0</v>
      </c>
      <c r="I691" s="11">
        <v>46069</v>
      </c>
      <c r="J691" s="11">
        <v>46066</v>
      </c>
      <c r="K691" s="13"/>
    </row>
    <row r="692" spans="1:11" ht="18" x14ac:dyDescent="0.4">
      <c r="A692" s="93" t="s">
        <v>475</v>
      </c>
      <c r="B692" s="7" t="s">
        <v>663</v>
      </c>
      <c r="C692" s="8">
        <v>14872</v>
      </c>
      <c r="D692" s="9">
        <v>77289840</v>
      </c>
      <c r="E692" s="57">
        <v>200</v>
      </c>
      <c r="F692" s="10" t="s">
        <v>668</v>
      </c>
      <c r="G692" s="94">
        <v>0</v>
      </c>
      <c r="H692" s="70">
        <f t="shared" si="10"/>
        <v>0</v>
      </c>
      <c r="I692" s="11">
        <v>46069</v>
      </c>
      <c r="J692" s="11">
        <v>46066</v>
      </c>
      <c r="K692" s="13"/>
    </row>
    <row r="693" spans="1:11" ht="18" x14ac:dyDescent="0.4">
      <c r="A693" s="93" t="s">
        <v>475</v>
      </c>
      <c r="B693" s="7" t="s">
        <v>663</v>
      </c>
      <c r="C693" s="8">
        <v>14872</v>
      </c>
      <c r="D693" s="9">
        <v>77289850</v>
      </c>
      <c r="E693" s="57">
        <v>200</v>
      </c>
      <c r="F693" s="10" t="s">
        <v>669</v>
      </c>
      <c r="G693" s="94">
        <v>0</v>
      </c>
      <c r="H693" s="70">
        <f t="shared" si="10"/>
        <v>0</v>
      </c>
      <c r="I693" s="11">
        <v>46069</v>
      </c>
      <c r="J693" s="11">
        <v>46066</v>
      </c>
      <c r="K693" s="13"/>
    </row>
    <row r="694" spans="1:11" ht="18" x14ac:dyDescent="0.4">
      <c r="A694" s="93" t="s">
        <v>475</v>
      </c>
      <c r="B694" s="7" t="s">
        <v>663</v>
      </c>
      <c r="C694" s="8">
        <v>14872</v>
      </c>
      <c r="D694" s="9">
        <v>77289860</v>
      </c>
      <c r="E694" s="57">
        <v>150</v>
      </c>
      <c r="F694" s="10" t="s">
        <v>670</v>
      </c>
      <c r="G694" s="94">
        <v>0</v>
      </c>
      <c r="H694" s="70">
        <f t="shared" si="10"/>
        <v>0</v>
      </c>
      <c r="I694" s="11">
        <v>46069</v>
      </c>
      <c r="J694" s="11">
        <v>46066</v>
      </c>
      <c r="K694" s="13"/>
    </row>
    <row r="695" spans="1:11" ht="18" x14ac:dyDescent="0.4">
      <c r="A695" s="93" t="s">
        <v>475</v>
      </c>
      <c r="B695" s="7" t="s">
        <v>663</v>
      </c>
      <c r="C695" s="8">
        <v>14872</v>
      </c>
      <c r="D695" s="9">
        <v>77289870</v>
      </c>
      <c r="E695" s="57">
        <v>400</v>
      </c>
      <c r="F695" s="10" t="s">
        <v>671</v>
      </c>
      <c r="G695" s="94">
        <v>0</v>
      </c>
      <c r="H695" s="70">
        <f t="shared" si="10"/>
        <v>0</v>
      </c>
      <c r="I695" s="11">
        <v>46069</v>
      </c>
      <c r="J695" s="11">
        <v>46066</v>
      </c>
      <c r="K695" s="13"/>
    </row>
    <row r="696" spans="1:11" ht="18" x14ac:dyDescent="0.4">
      <c r="A696" s="93" t="s">
        <v>475</v>
      </c>
      <c r="B696" s="7" t="s">
        <v>663</v>
      </c>
      <c r="C696" s="8">
        <v>14872</v>
      </c>
      <c r="D696" s="9">
        <v>77894040</v>
      </c>
      <c r="E696" s="57">
        <v>200</v>
      </c>
      <c r="F696" s="10" t="s">
        <v>672</v>
      </c>
      <c r="G696" s="94">
        <v>0</v>
      </c>
      <c r="H696" s="70">
        <f t="shared" si="10"/>
        <v>0</v>
      </c>
      <c r="I696" s="11">
        <v>46069</v>
      </c>
      <c r="J696" s="11">
        <v>46066</v>
      </c>
      <c r="K696" s="13"/>
    </row>
    <row r="697" spans="1:11" ht="18" x14ac:dyDescent="0.4">
      <c r="A697" s="93" t="s">
        <v>475</v>
      </c>
      <c r="B697" s="7" t="s">
        <v>663</v>
      </c>
      <c r="C697" s="8">
        <v>14872</v>
      </c>
      <c r="D697" s="9">
        <v>77894530</v>
      </c>
      <c r="E697" s="57">
        <v>400</v>
      </c>
      <c r="F697" s="10" t="s">
        <v>673</v>
      </c>
      <c r="G697" s="94">
        <v>0</v>
      </c>
      <c r="H697" s="70">
        <f t="shared" si="10"/>
        <v>0</v>
      </c>
      <c r="I697" s="11">
        <v>46069</v>
      </c>
      <c r="J697" s="11">
        <v>46066</v>
      </c>
      <c r="K697" s="13"/>
    </row>
    <row r="698" spans="1:11" ht="18" x14ac:dyDescent="0.4">
      <c r="A698" s="93" t="s">
        <v>475</v>
      </c>
      <c r="B698" s="7" t="s">
        <v>663</v>
      </c>
      <c r="C698" s="8">
        <v>14872</v>
      </c>
      <c r="D698" s="9">
        <v>77894540</v>
      </c>
      <c r="E698" s="57">
        <v>480</v>
      </c>
      <c r="F698" s="10" t="s">
        <v>674</v>
      </c>
      <c r="G698" s="94">
        <v>0</v>
      </c>
      <c r="H698" s="70">
        <f t="shared" si="10"/>
        <v>0</v>
      </c>
      <c r="I698" s="11">
        <v>46069</v>
      </c>
      <c r="J698" s="11">
        <v>46066</v>
      </c>
      <c r="K698" s="13"/>
    </row>
    <row r="699" spans="1:11" ht="18" x14ac:dyDescent="0.4">
      <c r="A699" s="93" t="s">
        <v>475</v>
      </c>
      <c r="B699" s="7" t="s">
        <v>663</v>
      </c>
      <c r="C699" s="8">
        <v>14872</v>
      </c>
      <c r="D699" s="9">
        <v>77894550</v>
      </c>
      <c r="E699" s="57">
        <v>400</v>
      </c>
      <c r="F699" s="10" t="s">
        <v>675</v>
      </c>
      <c r="G699" s="94">
        <v>0</v>
      </c>
      <c r="H699" s="70">
        <f t="shared" si="10"/>
        <v>0</v>
      </c>
      <c r="I699" s="11">
        <v>46069</v>
      </c>
      <c r="J699" s="11">
        <v>46066</v>
      </c>
      <c r="K699" s="13"/>
    </row>
    <row r="700" spans="1:11" ht="18" x14ac:dyDescent="0.4">
      <c r="A700" s="93" t="s">
        <v>475</v>
      </c>
      <c r="B700" s="7" t="s">
        <v>663</v>
      </c>
      <c r="C700" s="8">
        <v>14872</v>
      </c>
      <c r="D700" s="9">
        <v>77894560</v>
      </c>
      <c r="E700" s="57">
        <v>400</v>
      </c>
      <c r="F700" s="10" t="s">
        <v>676</v>
      </c>
      <c r="G700" s="94">
        <v>0</v>
      </c>
      <c r="H700" s="70">
        <f t="shared" si="10"/>
        <v>0</v>
      </c>
      <c r="I700" s="11">
        <v>46069</v>
      </c>
      <c r="J700" s="11">
        <v>46066</v>
      </c>
      <c r="K700" s="13"/>
    </row>
    <row r="701" spans="1:11" ht="18" x14ac:dyDescent="0.4">
      <c r="A701" s="93" t="s">
        <v>475</v>
      </c>
      <c r="B701" s="7" t="s">
        <v>663</v>
      </c>
      <c r="C701" s="8">
        <v>14872</v>
      </c>
      <c r="D701" s="9">
        <v>77894570</v>
      </c>
      <c r="E701" s="57">
        <v>400</v>
      </c>
      <c r="F701" s="10" t="s">
        <v>677</v>
      </c>
      <c r="G701" s="94">
        <v>0</v>
      </c>
      <c r="H701" s="70">
        <f t="shared" si="10"/>
        <v>0</v>
      </c>
      <c r="I701" s="11">
        <v>46069</v>
      </c>
      <c r="J701" s="11">
        <v>46066</v>
      </c>
      <c r="K701" s="13"/>
    </row>
    <row r="702" spans="1:11" ht="18" x14ac:dyDescent="0.4">
      <c r="A702" s="93" t="s">
        <v>475</v>
      </c>
      <c r="B702" s="7" t="s">
        <v>663</v>
      </c>
      <c r="C702" s="8">
        <v>14872</v>
      </c>
      <c r="D702" s="9">
        <v>102980600</v>
      </c>
      <c r="E702" s="57">
        <v>2000</v>
      </c>
      <c r="F702" s="10" t="s">
        <v>678</v>
      </c>
      <c r="G702" s="94">
        <v>0</v>
      </c>
      <c r="H702" s="70">
        <f t="shared" si="10"/>
        <v>0</v>
      </c>
      <c r="I702" s="11">
        <v>46069</v>
      </c>
      <c r="J702" s="11">
        <v>46066</v>
      </c>
      <c r="K702" s="13"/>
    </row>
    <row r="703" spans="1:11" ht="18" x14ac:dyDescent="0.4">
      <c r="A703" s="93" t="s">
        <v>475</v>
      </c>
      <c r="B703" s="16" t="s">
        <v>663</v>
      </c>
      <c r="C703" s="8">
        <v>14872</v>
      </c>
      <c r="D703" s="9">
        <v>126444210</v>
      </c>
      <c r="E703" s="57">
        <v>450</v>
      </c>
      <c r="F703" s="10" t="s">
        <v>679</v>
      </c>
      <c r="G703" s="94">
        <v>0</v>
      </c>
      <c r="H703" s="70">
        <f t="shared" si="10"/>
        <v>0</v>
      </c>
      <c r="I703" s="11">
        <v>46069</v>
      </c>
      <c r="J703" s="11">
        <v>46066</v>
      </c>
      <c r="K703" s="13"/>
    </row>
    <row r="704" spans="1:11" ht="18" x14ac:dyDescent="0.4">
      <c r="A704" s="93" t="s">
        <v>475</v>
      </c>
      <c r="B704" s="16" t="s">
        <v>663</v>
      </c>
      <c r="C704" s="8">
        <v>14872</v>
      </c>
      <c r="D704" s="9">
        <v>552738480</v>
      </c>
      <c r="E704" s="57">
        <v>300</v>
      </c>
      <c r="F704" s="10" t="s">
        <v>680</v>
      </c>
      <c r="G704" s="94">
        <v>0</v>
      </c>
      <c r="H704" s="70">
        <f t="shared" si="10"/>
        <v>0</v>
      </c>
      <c r="I704" s="11">
        <v>46069</v>
      </c>
      <c r="J704" s="11">
        <v>46066</v>
      </c>
      <c r="K704" s="13"/>
    </row>
    <row r="705" spans="1:11" ht="18" x14ac:dyDescent="0.4">
      <c r="A705" s="102" t="s">
        <v>475</v>
      </c>
      <c r="B705" s="103" t="s">
        <v>681</v>
      </c>
      <c r="C705" s="102">
        <v>61950</v>
      </c>
      <c r="D705" s="104">
        <v>551942240</v>
      </c>
      <c r="E705" s="102">
        <v>100</v>
      </c>
      <c r="F705" s="105" t="s">
        <v>682</v>
      </c>
      <c r="G705" s="94">
        <v>0</v>
      </c>
      <c r="H705" s="70">
        <f t="shared" si="10"/>
        <v>0</v>
      </c>
      <c r="I705" s="11">
        <v>46069</v>
      </c>
      <c r="J705" s="11">
        <v>46066</v>
      </c>
      <c r="K705" s="13"/>
    </row>
    <row r="706" spans="1:11" ht="18" x14ac:dyDescent="0.4">
      <c r="A706" s="102" t="s">
        <v>475</v>
      </c>
      <c r="B706" s="103" t="s">
        <v>681</v>
      </c>
      <c r="C706" s="102">
        <v>61950</v>
      </c>
      <c r="D706" s="104">
        <v>552110600</v>
      </c>
      <c r="E706" s="102">
        <v>100</v>
      </c>
      <c r="F706" s="105" t="s">
        <v>682</v>
      </c>
      <c r="G706" s="94">
        <v>0</v>
      </c>
      <c r="H706" s="70">
        <f t="shared" si="10"/>
        <v>0</v>
      </c>
      <c r="I706" s="11">
        <v>46069</v>
      </c>
      <c r="J706" s="11">
        <v>46066</v>
      </c>
      <c r="K706" s="13"/>
    </row>
    <row r="707" spans="1:11" ht="18" x14ac:dyDescent="0.4">
      <c r="A707" s="102" t="s">
        <v>475</v>
      </c>
      <c r="B707" s="103" t="s">
        <v>683</v>
      </c>
      <c r="C707" s="102">
        <v>43317</v>
      </c>
      <c r="D707" s="104">
        <v>76047570</v>
      </c>
      <c r="E707" s="102">
        <v>684</v>
      </c>
      <c r="F707" s="105" t="s">
        <v>612</v>
      </c>
      <c r="G707" s="94">
        <v>0</v>
      </c>
      <c r="H707" s="70">
        <f t="shared" si="10"/>
        <v>0</v>
      </c>
      <c r="I707" s="11">
        <v>46069</v>
      </c>
      <c r="J707" s="11">
        <v>46066</v>
      </c>
      <c r="K707" s="13"/>
    </row>
    <row r="708" spans="1:11" ht="18" x14ac:dyDescent="0.4">
      <c r="A708" s="102" t="s">
        <v>475</v>
      </c>
      <c r="B708" s="102" t="s">
        <v>684</v>
      </c>
      <c r="C708" s="102">
        <v>41341</v>
      </c>
      <c r="D708" s="104">
        <v>75530320</v>
      </c>
      <c r="E708" s="102">
        <v>2500</v>
      </c>
      <c r="F708" s="105" t="s">
        <v>685</v>
      </c>
      <c r="G708" s="94">
        <v>0</v>
      </c>
      <c r="H708" s="70">
        <f t="shared" si="10"/>
        <v>0</v>
      </c>
      <c r="I708" s="11">
        <v>46069</v>
      </c>
      <c r="J708" s="11">
        <v>46066</v>
      </c>
      <c r="K708" s="13"/>
    </row>
    <row r="709" spans="1:11" ht="18" x14ac:dyDescent="0.4">
      <c r="A709" s="102" t="s">
        <v>475</v>
      </c>
      <c r="B709" s="102" t="s">
        <v>684</v>
      </c>
      <c r="C709" s="102">
        <v>41341</v>
      </c>
      <c r="D709" s="104">
        <v>464384590</v>
      </c>
      <c r="E709" s="102">
        <v>1200</v>
      </c>
      <c r="F709" s="105" t="s">
        <v>686</v>
      </c>
      <c r="G709" s="94">
        <v>0</v>
      </c>
      <c r="H709" s="70">
        <f t="shared" si="10"/>
        <v>0</v>
      </c>
      <c r="I709" s="11">
        <v>46069</v>
      </c>
      <c r="J709" s="11">
        <v>46066</v>
      </c>
      <c r="K709" s="8"/>
    </row>
    <row r="710" spans="1:11" ht="18" x14ac:dyDescent="0.4">
      <c r="A710" s="102" t="s">
        <v>475</v>
      </c>
      <c r="B710" s="102" t="s">
        <v>684</v>
      </c>
      <c r="C710" s="102">
        <v>41341</v>
      </c>
      <c r="D710" s="104">
        <v>552153790</v>
      </c>
      <c r="E710" s="102">
        <v>150</v>
      </c>
      <c r="F710" s="105" t="s">
        <v>687</v>
      </c>
      <c r="G710" s="94">
        <v>0</v>
      </c>
      <c r="H710" s="70">
        <f t="shared" si="10"/>
        <v>0</v>
      </c>
      <c r="I710" s="36">
        <v>46069</v>
      </c>
      <c r="J710" s="36">
        <v>46066</v>
      </c>
      <c r="K710" s="8"/>
    </row>
    <row r="711" spans="1:11" ht="18" x14ac:dyDescent="0.4">
      <c r="A711" s="27" t="s">
        <v>475</v>
      </c>
      <c r="B711" s="28" t="s">
        <v>200</v>
      </c>
      <c r="C711" s="28">
        <v>1073</v>
      </c>
      <c r="D711" s="29">
        <v>552795241</v>
      </c>
      <c r="E711" s="68">
        <v>28</v>
      </c>
      <c r="F711" s="30" t="s">
        <v>688</v>
      </c>
      <c r="G711" s="9">
        <v>0</v>
      </c>
      <c r="H711" s="70">
        <f t="shared" si="10"/>
        <v>0</v>
      </c>
      <c r="I711" s="11">
        <v>46069</v>
      </c>
      <c r="J711" s="11">
        <v>46066</v>
      </c>
      <c r="K711" s="31"/>
    </row>
    <row r="712" spans="1:11" ht="18" x14ac:dyDescent="0.4">
      <c r="A712" s="7" t="s">
        <v>475</v>
      </c>
      <c r="B712" s="7" t="s">
        <v>200</v>
      </c>
      <c r="C712" s="7">
        <v>1073</v>
      </c>
      <c r="D712" s="9">
        <v>552649671</v>
      </c>
      <c r="E712" s="57">
        <v>48</v>
      </c>
      <c r="F712" s="19" t="s">
        <v>689</v>
      </c>
      <c r="G712" s="9">
        <v>0</v>
      </c>
      <c r="H712" s="70">
        <f t="shared" si="10"/>
        <v>0</v>
      </c>
      <c r="I712" s="11">
        <v>46069</v>
      </c>
      <c r="J712" s="11">
        <v>46066</v>
      </c>
      <c r="K712" s="13"/>
    </row>
    <row r="713" spans="1:11" ht="18" x14ac:dyDescent="0.4">
      <c r="A713" s="7" t="s">
        <v>475</v>
      </c>
      <c r="B713" s="7" t="s">
        <v>200</v>
      </c>
      <c r="C713" s="7">
        <v>1073</v>
      </c>
      <c r="D713" s="9">
        <v>463516451</v>
      </c>
      <c r="E713" s="57">
        <v>28</v>
      </c>
      <c r="F713" s="96" t="s">
        <v>690</v>
      </c>
      <c r="G713" s="9">
        <v>0</v>
      </c>
      <c r="H713" s="70">
        <f t="shared" si="10"/>
        <v>0</v>
      </c>
      <c r="I713" s="11">
        <v>46069</v>
      </c>
      <c r="J713" s="11">
        <v>46066</v>
      </c>
      <c r="K713" s="13"/>
    </row>
    <row r="714" spans="1:11" ht="18" x14ac:dyDescent="0.4">
      <c r="A714" s="7" t="s">
        <v>475</v>
      </c>
      <c r="B714" s="7" t="s">
        <v>200</v>
      </c>
      <c r="C714" s="7">
        <v>1073</v>
      </c>
      <c r="D714" s="9">
        <v>552649651</v>
      </c>
      <c r="E714" s="57">
        <v>24</v>
      </c>
      <c r="F714" s="19" t="s">
        <v>691</v>
      </c>
      <c r="G714" s="9">
        <v>0</v>
      </c>
      <c r="H714" s="70">
        <f t="shared" si="10"/>
        <v>0</v>
      </c>
      <c r="I714" s="11">
        <v>46069</v>
      </c>
      <c r="J714" s="11">
        <v>46066</v>
      </c>
      <c r="K714" s="8"/>
    </row>
    <row r="715" spans="1:11" ht="18" x14ac:dyDescent="0.4">
      <c r="A715" s="7" t="s">
        <v>475</v>
      </c>
      <c r="B715" s="7" t="s">
        <v>200</v>
      </c>
      <c r="C715" s="7">
        <v>1073</v>
      </c>
      <c r="D715" s="9">
        <v>463471951</v>
      </c>
      <c r="E715" s="57">
        <v>48</v>
      </c>
      <c r="F715" s="19" t="s">
        <v>692</v>
      </c>
      <c r="G715" s="9">
        <v>0</v>
      </c>
      <c r="H715" s="70">
        <f t="shared" si="10"/>
        <v>0</v>
      </c>
      <c r="I715" s="11">
        <v>46069</v>
      </c>
      <c r="J715" s="11">
        <v>46066</v>
      </c>
      <c r="K715" s="8"/>
    </row>
    <row r="716" spans="1:11" ht="18" x14ac:dyDescent="0.4">
      <c r="A716" s="7" t="s">
        <v>475</v>
      </c>
      <c r="B716" s="7" t="s">
        <v>452</v>
      </c>
      <c r="C716" s="7">
        <v>56589</v>
      </c>
      <c r="D716" s="9">
        <v>976510460</v>
      </c>
      <c r="E716" s="57">
        <v>30</v>
      </c>
      <c r="F716" s="19" t="s">
        <v>693</v>
      </c>
      <c r="G716" s="9">
        <v>0</v>
      </c>
      <c r="H716" s="70">
        <f t="shared" si="10"/>
        <v>0</v>
      </c>
      <c r="I716" s="11">
        <v>46069</v>
      </c>
      <c r="J716" s="11">
        <v>46066</v>
      </c>
      <c r="K716" s="8"/>
    </row>
    <row r="717" spans="1:11" ht="18" x14ac:dyDescent="0.4">
      <c r="A717" s="7" t="s">
        <v>475</v>
      </c>
      <c r="B717" s="7" t="s">
        <v>452</v>
      </c>
      <c r="C717" s="7">
        <v>56589</v>
      </c>
      <c r="D717" s="9">
        <v>976510450</v>
      </c>
      <c r="E717" s="57">
        <v>50</v>
      </c>
      <c r="F717" s="19" t="s">
        <v>694</v>
      </c>
      <c r="G717" s="9">
        <v>0</v>
      </c>
      <c r="H717" s="70">
        <f t="shared" si="10"/>
        <v>0</v>
      </c>
      <c r="I717" s="11">
        <v>46069</v>
      </c>
      <c r="J717" s="11">
        <v>46066</v>
      </c>
      <c r="K717" s="8"/>
    </row>
    <row r="718" spans="1:11" ht="18" x14ac:dyDescent="0.4">
      <c r="A718" s="7" t="s">
        <v>475</v>
      </c>
      <c r="B718" s="7" t="s">
        <v>452</v>
      </c>
      <c r="C718" s="7">
        <v>56589</v>
      </c>
      <c r="D718" s="9">
        <v>463528128</v>
      </c>
      <c r="E718" s="57">
        <v>50</v>
      </c>
      <c r="F718" s="96" t="s">
        <v>695</v>
      </c>
      <c r="G718" s="9">
        <v>0</v>
      </c>
      <c r="H718" s="70">
        <f t="shared" si="10"/>
        <v>0</v>
      </c>
      <c r="I718" s="11">
        <v>46069</v>
      </c>
      <c r="J718" s="11">
        <v>46066</v>
      </c>
      <c r="K718" s="8"/>
    </row>
    <row r="719" spans="1:11" ht="18" x14ac:dyDescent="0.4">
      <c r="A719" s="7" t="s">
        <v>475</v>
      </c>
      <c r="B719" s="7" t="s">
        <v>452</v>
      </c>
      <c r="C719" s="7">
        <v>56589</v>
      </c>
      <c r="D719" s="9">
        <v>552553318</v>
      </c>
      <c r="E719" s="57">
        <v>30</v>
      </c>
      <c r="F719" s="19" t="s">
        <v>688</v>
      </c>
      <c r="G719" s="9">
        <v>0</v>
      </c>
      <c r="H719" s="70">
        <f t="shared" si="10"/>
        <v>0</v>
      </c>
      <c r="I719" s="11">
        <v>46069</v>
      </c>
      <c r="J719" s="11">
        <v>46066</v>
      </c>
      <c r="K719" s="8"/>
    </row>
    <row r="720" spans="1:11" ht="18" x14ac:dyDescent="0.4">
      <c r="A720" s="7" t="s">
        <v>475</v>
      </c>
      <c r="B720" s="7" t="s">
        <v>452</v>
      </c>
      <c r="C720" s="7">
        <v>56589</v>
      </c>
      <c r="D720" s="9">
        <v>463530718</v>
      </c>
      <c r="E720" s="57">
        <v>30</v>
      </c>
      <c r="F720" s="96" t="s">
        <v>696</v>
      </c>
      <c r="G720" s="9">
        <v>0</v>
      </c>
      <c r="H720" s="70">
        <f t="shared" si="10"/>
        <v>0</v>
      </c>
      <c r="I720" s="11">
        <v>46069</v>
      </c>
      <c r="J720" s="11">
        <v>46066</v>
      </c>
      <c r="K720" s="8"/>
    </row>
    <row r="721" spans="1:11" ht="18" x14ac:dyDescent="0.4">
      <c r="A721" s="20"/>
      <c r="B721" s="16"/>
      <c r="C721" s="16"/>
      <c r="D721" s="9"/>
      <c r="E721" s="63"/>
      <c r="F721" s="16"/>
      <c r="G721" s="16"/>
      <c r="H721" s="16"/>
      <c r="I721" s="11"/>
      <c r="J721" s="16"/>
      <c r="K721" s="21"/>
    </row>
    <row r="722" spans="1:11" ht="18" x14ac:dyDescent="0.4">
      <c r="A722" s="20"/>
      <c r="B722" s="16"/>
      <c r="C722" s="16"/>
      <c r="D722" s="9"/>
      <c r="E722" s="63"/>
      <c r="F722" s="16"/>
      <c r="G722" s="16"/>
      <c r="H722" s="16"/>
      <c r="I722" s="16"/>
      <c r="J722" s="16"/>
      <c r="K722" s="21"/>
    </row>
    <row r="723" spans="1:11" ht="18" x14ac:dyDescent="0.4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1" ht="18" x14ac:dyDescent="0.4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1" ht="18" x14ac:dyDescent="0.4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1" ht="18" x14ac:dyDescent="0.4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1" ht="18" x14ac:dyDescent="0.4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1" ht="18" x14ac:dyDescent="0.4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1" ht="18" x14ac:dyDescent="0.4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1" ht="18" x14ac:dyDescent="0.4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1" ht="18" x14ac:dyDescent="0.4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1" ht="18" x14ac:dyDescent="0.4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1" ht="18" x14ac:dyDescent="0.4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1" ht="18" x14ac:dyDescent="0.4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1" ht="18" x14ac:dyDescent="0.4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1" ht="18" x14ac:dyDescent="0.4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 x14ac:dyDescent="0.4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 x14ac:dyDescent="0.4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 x14ac:dyDescent="0.4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 x14ac:dyDescent="0.4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 x14ac:dyDescent="0.4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 x14ac:dyDescent="0.4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 x14ac:dyDescent="0.4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 x14ac:dyDescent="0.4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 x14ac:dyDescent="0.4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 x14ac:dyDescent="0.4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 x14ac:dyDescent="0.4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 x14ac:dyDescent="0.4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 x14ac:dyDescent="0.4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 x14ac:dyDescent="0.4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 x14ac:dyDescent="0.4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 x14ac:dyDescent="0.4">
      <c r="A752" s="20"/>
      <c r="B752" s="16"/>
      <c r="C752" s="16"/>
      <c r="D752" s="9"/>
      <c r="E752" s="63"/>
      <c r="F752" s="16"/>
      <c r="G752" s="16"/>
      <c r="H752" s="16"/>
      <c r="I752" s="16"/>
      <c r="J752" s="16"/>
      <c r="K752" s="21"/>
    </row>
    <row r="753" spans="1:11" ht="18" x14ac:dyDescent="0.4">
      <c r="A753" s="20"/>
      <c r="B753" s="16"/>
      <c r="C753" s="16"/>
      <c r="D753" s="9"/>
      <c r="E753" s="63"/>
      <c r="F753" s="16"/>
      <c r="G753" s="16"/>
      <c r="H753" s="16"/>
      <c r="I753" s="16"/>
      <c r="J753" s="16"/>
      <c r="K753" s="21"/>
    </row>
    <row r="754" spans="1:11" ht="18" x14ac:dyDescent="0.4">
      <c r="A754" s="20"/>
      <c r="B754" s="16"/>
      <c r="C754" s="16"/>
      <c r="D754" s="9"/>
      <c r="E754" s="63"/>
      <c r="F754" s="16"/>
      <c r="G754" s="16"/>
      <c r="H754" s="16"/>
      <c r="I754" s="16"/>
      <c r="J754" s="16"/>
      <c r="K754" s="21"/>
    </row>
    <row r="755" spans="1:11" ht="18" x14ac:dyDescent="0.4">
      <c r="A755" s="20"/>
      <c r="B755" s="16"/>
      <c r="C755" s="16"/>
      <c r="D755" s="9"/>
      <c r="E755" s="63"/>
      <c r="F755" s="16"/>
      <c r="G755" s="16"/>
      <c r="H755" s="16"/>
      <c r="I755" s="16"/>
      <c r="J755" s="16"/>
      <c r="K755" s="21"/>
    </row>
    <row r="756" spans="1:11" ht="18" x14ac:dyDescent="0.4">
      <c r="A756" s="20"/>
      <c r="B756" s="16"/>
      <c r="C756" s="16"/>
      <c r="D756" s="9"/>
      <c r="E756" s="63"/>
      <c r="F756" s="16"/>
      <c r="G756" s="16"/>
      <c r="H756" s="16"/>
      <c r="I756" s="16"/>
      <c r="J756" s="16"/>
      <c r="K756" s="21"/>
    </row>
    <row r="757" spans="1:11" ht="18" x14ac:dyDescent="0.4">
      <c r="A757" s="20"/>
      <c r="B757" s="16"/>
      <c r="C757" s="16"/>
      <c r="D757" s="7"/>
      <c r="E757" s="63"/>
      <c r="F757" s="16"/>
      <c r="G757" s="16"/>
      <c r="H757" s="16"/>
      <c r="I757" s="16"/>
      <c r="J757" s="16"/>
      <c r="K757" s="21"/>
    </row>
    <row r="758" spans="1:11" ht="18" x14ac:dyDescent="0.4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 x14ac:dyDescent="0.4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 x14ac:dyDescent="0.4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 x14ac:dyDescent="0.4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 x14ac:dyDescent="0.4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 x14ac:dyDescent="0.4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 x14ac:dyDescent="0.4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 x14ac:dyDescent="0.4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 x14ac:dyDescent="0.4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 x14ac:dyDescent="0.4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 x14ac:dyDescent="0.4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 x14ac:dyDescent="0.4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 x14ac:dyDescent="0.4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 x14ac:dyDescent="0.4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 x14ac:dyDescent="0.4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 x14ac:dyDescent="0.4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 x14ac:dyDescent="0.4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 x14ac:dyDescent="0.4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 x14ac:dyDescent="0.4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 x14ac:dyDescent="0.4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 x14ac:dyDescent="0.4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 x14ac:dyDescent="0.4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 x14ac:dyDescent="0.4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 x14ac:dyDescent="0.4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 x14ac:dyDescent="0.4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 x14ac:dyDescent="0.4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 x14ac:dyDescent="0.4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 x14ac:dyDescent="0.4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 x14ac:dyDescent="0.4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 x14ac:dyDescent="0.4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 x14ac:dyDescent="0.4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 x14ac:dyDescent="0.4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 x14ac:dyDescent="0.4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 x14ac:dyDescent="0.4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 x14ac:dyDescent="0.4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 x14ac:dyDescent="0.4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 x14ac:dyDescent="0.4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 x14ac:dyDescent="0.4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 x14ac:dyDescent="0.4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 x14ac:dyDescent="0.4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 x14ac:dyDescent="0.4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 x14ac:dyDescent="0.4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 x14ac:dyDescent="0.4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 x14ac:dyDescent="0.4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 x14ac:dyDescent="0.4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 x14ac:dyDescent="0.4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 x14ac:dyDescent="0.4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 x14ac:dyDescent="0.4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 x14ac:dyDescent="0.4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 x14ac:dyDescent="0.4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 x14ac:dyDescent="0.4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 x14ac:dyDescent="0.4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 x14ac:dyDescent="0.4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 x14ac:dyDescent="0.4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 x14ac:dyDescent="0.4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 x14ac:dyDescent="0.4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 x14ac:dyDescent="0.4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 x14ac:dyDescent="0.4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 x14ac:dyDescent="0.4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 x14ac:dyDescent="0.4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 x14ac:dyDescent="0.4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 x14ac:dyDescent="0.4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 x14ac:dyDescent="0.4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 x14ac:dyDescent="0.4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 x14ac:dyDescent="0.4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 x14ac:dyDescent="0.4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 x14ac:dyDescent="0.4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 x14ac:dyDescent="0.4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 x14ac:dyDescent="0.4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 x14ac:dyDescent="0.4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 x14ac:dyDescent="0.4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 x14ac:dyDescent="0.4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 x14ac:dyDescent="0.4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 x14ac:dyDescent="0.4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 x14ac:dyDescent="0.4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 x14ac:dyDescent="0.4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 x14ac:dyDescent="0.4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 x14ac:dyDescent="0.4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 x14ac:dyDescent="0.4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 x14ac:dyDescent="0.4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 x14ac:dyDescent="0.4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 x14ac:dyDescent="0.4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 x14ac:dyDescent="0.4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 x14ac:dyDescent="0.4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 x14ac:dyDescent="0.4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 x14ac:dyDescent="0.4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 x14ac:dyDescent="0.4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 x14ac:dyDescent="0.4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 x14ac:dyDescent="0.4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 x14ac:dyDescent="0.4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 x14ac:dyDescent="0.4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 x14ac:dyDescent="0.4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 x14ac:dyDescent="0.4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 x14ac:dyDescent="0.4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 x14ac:dyDescent="0.4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 x14ac:dyDescent="0.4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 x14ac:dyDescent="0.4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 x14ac:dyDescent="0.4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 x14ac:dyDescent="0.4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 x14ac:dyDescent="0.4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 x14ac:dyDescent="0.4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 x14ac:dyDescent="0.4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 x14ac:dyDescent="0.4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 x14ac:dyDescent="0.4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 x14ac:dyDescent="0.4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 x14ac:dyDescent="0.4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 x14ac:dyDescent="0.4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 x14ac:dyDescent="0.4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 x14ac:dyDescent="0.4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 x14ac:dyDescent="0.4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 x14ac:dyDescent="0.4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 x14ac:dyDescent="0.4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 x14ac:dyDescent="0.4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 x14ac:dyDescent="0.4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 x14ac:dyDescent="0.4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 x14ac:dyDescent="0.4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 x14ac:dyDescent="0.4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 x14ac:dyDescent="0.4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 x14ac:dyDescent="0.4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 x14ac:dyDescent="0.4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 x14ac:dyDescent="0.4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 x14ac:dyDescent="0.4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 x14ac:dyDescent="0.4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 x14ac:dyDescent="0.4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 x14ac:dyDescent="0.4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 x14ac:dyDescent="0.4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 x14ac:dyDescent="0.4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 x14ac:dyDescent="0.4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 x14ac:dyDescent="0.4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 x14ac:dyDescent="0.4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 x14ac:dyDescent="0.4">
      <c r="A888" s="20"/>
      <c r="B888" s="16"/>
      <c r="C888" s="16"/>
      <c r="D888" s="7"/>
      <c r="E888" s="63"/>
      <c r="F888" s="16"/>
      <c r="G888" s="16"/>
      <c r="H888" s="16"/>
      <c r="I888" s="16"/>
      <c r="J888" s="16"/>
      <c r="K888" s="21"/>
    </row>
    <row r="889" spans="1:11" ht="18" x14ac:dyDescent="0.4">
      <c r="A889" s="20"/>
      <c r="B889" s="16"/>
      <c r="C889" s="16"/>
      <c r="D889" s="7"/>
      <c r="E889" s="63"/>
      <c r="F889" s="16"/>
      <c r="G889" s="16"/>
      <c r="H889" s="16"/>
      <c r="I889" s="16"/>
      <c r="J889" s="16"/>
      <c r="K889" s="21"/>
    </row>
    <row r="890" spans="1:11" ht="18" x14ac:dyDescent="0.4">
      <c r="A890" s="20"/>
      <c r="B890" s="16"/>
      <c r="C890" s="16"/>
      <c r="D890" s="7"/>
      <c r="E890" s="63"/>
      <c r="F890" s="16"/>
      <c r="G890" s="16"/>
      <c r="H890" s="16"/>
      <c r="I890" s="16"/>
      <c r="J890" s="16"/>
      <c r="K890" s="21"/>
    </row>
    <row r="891" spans="1:11" ht="18" x14ac:dyDescent="0.4">
      <c r="A891" s="20"/>
      <c r="B891" s="16"/>
      <c r="C891" s="16"/>
      <c r="D891" s="7"/>
      <c r="E891" s="63"/>
      <c r="F891" s="16"/>
      <c r="G891" s="16"/>
      <c r="H891" s="16"/>
      <c r="I891" s="16"/>
      <c r="J891" s="16"/>
      <c r="K891" s="21"/>
    </row>
    <row r="892" spans="1:11" ht="18" x14ac:dyDescent="0.4">
      <c r="A892" s="20"/>
      <c r="B892" s="16"/>
      <c r="C892" s="16"/>
      <c r="D892" s="7"/>
      <c r="E892" s="63"/>
      <c r="F892" s="16"/>
      <c r="G892" s="16"/>
      <c r="H892" s="16"/>
      <c r="I892" s="16"/>
      <c r="J892" s="16"/>
      <c r="K892" s="21"/>
    </row>
    <row r="893" spans="1:11" ht="18" x14ac:dyDescent="0.4">
      <c r="A893" s="20"/>
      <c r="B893" s="16"/>
      <c r="C893" s="16"/>
      <c r="D893" s="16"/>
      <c r="E893" s="63"/>
      <c r="F893" s="16"/>
      <c r="G893" s="16"/>
      <c r="H893" s="16"/>
      <c r="I893" s="16"/>
      <c r="J893" s="16"/>
      <c r="K893" s="21"/>
    </row>
    <row r="894" spans="1:11" ht="18" x14ac:dyDescent="0.4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 x14ac:dyDescent="0.4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 x14ac:dyDescent="0.4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 x14ac:dyDescent="0.4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 x14ac:dyDescent="0.4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 x14ac:dyDescent="0.4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 x14ac:dyDescent="0.4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 x14ac:dyDescent="0.4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 x14ac:dyDescent="0.4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 x14ac:dyDescent="0.4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 x14ac:dyDescent="0.4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 x14ac:dyDescent="0.4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 x14ac:dyDescent="0.4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 x14ac:dyDescent="0.4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 x14ac:dyDescent="0.4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 x14ac:dyDescent="0.4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 x14ac:dyDescent="0.4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 x14ac:dyDescent="0.4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 x14ac:dyDescent="0.4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 x14ac:dyDescent="0.4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 x14ac:dyDescent="0.4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 x14ac:dyDescent="0.4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 x14ac:dyDescent="0.4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 x14ac:dyDescent="0.4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 x14ac:dyDescent="0.4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 x14ac:dyDescent="0.4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 x14ac:dyDescent="0.4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 x14ac:dyDescent="0.4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 x14ac:dyDescent="0.4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 x14ac:dyDescent="0.4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 x14ac:dyDescent="0.4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 x14ac:dyDescent="0.4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 x14ac:dyDescent="0.4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 x14ac:dyDescent="0.4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 x14ac:dyDescent="0.4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 x14ac:dyDescent="0.4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 x14ac:dyDescent="0.4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 x14ac:dyDescent="0.4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 x14ac:dyDescent="0.4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 x14ac:dyDescent="0.4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 x14ac:dyDescent="0.4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 x14ac:dyDescent="0.4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 x14ac:dyDescent="0.4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 x14ac:dyDescent="0.4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 x14ac:dyDescent="0.4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 x14ac:dyDescent="0.4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 x14ac:dyDescent="0.4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 x14ac:dyDescent="0.4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 x14ac:dyDescent="0.4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 x14ac:dyDescent="0.4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 x14ac:dyDescent="0.4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 x14ac:dyDescent="0.4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 x14ac:dyDescent="0.4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 x14ac:dyDescent="0.4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 x14ac:dyDescent="0.4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 x14ac:dyDescent="0.4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 x14ac:dyDescent="0.4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 x14ac:dyDescent="0.4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 x14ac:dyDescent="0.4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 x14ac:dyDescent="0.4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 x14ac:dyDescent="0.4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 x14ac:dyDescent="0.4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 x14ac:dyDescent="0.4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 x14ac:dyDescent="0.4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 x14ac:dyDescent="0.4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 x14ac:dyDescent="0.4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 x14ac:dyDescent="0.4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 x14ac:dyDescent="0.4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 x14ac:dyDescent="0.4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 x14ac:dyDescent="0.4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 x14ac:dyDescent="0.4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 x14ac:dyDescent="0.4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 x14ac:dyDescent="0.4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 x14ac:dyDescent="0.4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 x14ac:dyDescent="0.4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 x14ac:dyDescent="0.4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 x14ac:dyDescent="0.4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 x14ac:dyDescent="0.4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 x14ac:dyDescent="0.4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 x14ac:dyDescent="0.4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 x14ac:dyDescent="0.4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 x14ac:dyDescent="0.4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 x14ac:dyDescent="0.4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 x14ac:dyDescent="0.4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 x14ac:dyDescent="0.4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 x14ac:dyDescent="0.4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 x14ac:dyDescent="0.4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 x14ac:dyDescent="0.4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 x14ac:dyDescent="0.4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 x14ac:dyDescent="0.4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 x14ac:dyDescent="0.4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 x14ac:dyDescent="0.4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 x14ac:dyDescent="0.4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 x14ac:dyDescent="0.4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 x14ac:dyDescent="0.4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 x14ac:dyDescent="0.4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 x14ac:dyDescent="0.4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 x14ac:dyDescent="0.4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 x14ac:dyDescent="0.4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 x14ac:dyDescent="0.4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 x14ac:dyDescent="0.4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 x14ac:dyDescent="0.4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 x14ac:dyDescent="0.4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 x14ac:dyDescent="0.4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 x14ac:dyDescent="0.4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 x14ac:dyDescent="0.4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 x14ac:dyDescent="0.4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 x14ac:dyDescent="0.4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 x14ac:dyDescent="0.4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 x14ac:dyDescent="0.4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 x14ac:dyDescent="0.4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 x14ac:dyDescent="0.4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 x14ac:dyDescent="0.4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 x14ac:dyDescent="0.4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  <row r="1008" spans="1:11" ht="18" x14ac:dyDescent="0.4">
      <c r="A1008" s="20"/>
      <c r="B1008" s="16"/>
      <c r="C1008" s="16"/>
      <c r="D1008" s="16"/>
      <c r="E1008" s="63"/>
      <c r="F1008" s="16"/>
      <c r="G1008" s="16"/>
      <c r="H1008" s="16"/>
      <c r="I1008" s="16"/>
      <c r="J1008" s="16"/>
      <c r="K1008" s="21"/>
    </row>
    <row r="1009" spans="1:11" ht="18" x14ac:dyDescent="0.4">
      <c r="A1009" s="20"/>
      <c r="B1009" s="16"/>
      <c r="C1009" s="16"/>
      <c r="D1009" s="16"/>
      <c r="E1009" s="63"/>
      <c r="F1009" s="16"/>
      <c r="G1009" s="16"/>
      <c r="H1009" s="16"/>
      <c r="I1009" s="16"/>
      <c r="J1009" s="16"/>
      <c r="K1009" s="21"/>
    </row>
    <row r="1010" spans="1:11" ht="18" x14ac:dyDescent="0.4">
      <c r="A1010" s="20"/>
      <c r="B1010" s="16"/>
      <c r="C1010" s="16"/>
      <c r="D1010" s="16"/>
      <c r="E1010" s="63"/>
      <c r="F1010" s="16"/>
      <c r="G1010" s="16"/>
      <c r="H1010" s="16"/>
      <c r="I1010" s="16"/>
      <c r="J1010" s="16"/>
      <c r="K1010" s="21"/>
    </row>
    <row r="1011" spans="1:11" ht="18" x14ac:dyDescent="0.4">
      <c r="A1011" s="20"/>
      <c r="B1011" s="16"/>
      <c r="C1011" s="16"/>
      <c r="D1011" s="16"/>
      <c r="E1011" s="63"/>
      <c r="F1011" s="16"/>
      <c r="G1011" s="16"/>
      <c r="H1011" s="16"/>
      <c r="I1011" s="16"/>
      <c r="J1011" s="16"/>
      <c r="K1011" s="21"/>
    </row>
    <row r="1012" spans="1:11" ht="18" x14ac:dyDescent="0.4">
      <c r="A1012" s="20"/>
      <c r="B1012" s="16"/>
      <c r="C1012" s="16"/>
      <c r="D1012" s="16"/>
      <c r="E1012" s="63"/>
      <c r="F1012" s="16"/>
      <c r="G1012" s="16"/>
      <c r="H1012" s="16"/>
      <c r="I1012" s="16"/>
      <c r="J1012" s="16"/>
      <c r="K1012" s="21"/>
    </row>
  </sheetData>
  <autoFilter ref="A3:N720" xr:uid="{00000000-0001-0000-0000-000000000000}"/>
  <mergeCells count="1">
    <mergeCell ref="A2:J2"/>
  </mergeCells>
  <conditionalFormatting sqref="A4:K175 A176:H191 A192:G571 A572:E573 A574:G720 A721:K1012 G572:G573 I176:K556 H192:H720 K557:K645 I557:J720 K656:K661 K664:K720">
    <cfRule type="expression" dxfId="24" priority="5">
      <formula>RegExMatch(($D4),"Done")</formula>
    </cfRule>
  </conditionalFormatting>
  <conditionalFormatting sqref="D4:D1012">
    <cfRule type="cellIs" dxfId="23" priority="3" operator="equal">
      <formula>"Not started"</formula>
    </cfRule>
    <cfRule type="cellIs" dxfId="22" priority="4" operator="equal">
      <formula>"In progress"</formula>
    </cfRule>
  </conditionalFormatting>
  <conditionalFormatting sqref="F4:F571 F574:F1012">
    <cfRule type="timePeriod" dxfId="21" priority="6" timePeriod="today">
      <formula>FLOOR(F4,1)=TODAY()</formula>
    </cfRule>
    <cfRule type="expression" dxfId="20" priority="7">
      <formula>AND($F4&lt;TODAY(), OR($D4="In progress", $D4="Not started"))</formula>
    </cfRule>
  </conditionalFormatting>
  <conditionalFormatting sqref="G4:G1012">
    <cfRule type="expression" dxfId="19" priority="2">
      <formula>AND(OR($D4="In progress",$D4="Not started" ),OR($G4=TODAY(), $G4=TODAY()+1))</formula>
    </cfRule>
  </conditionalFormatting>
  <conditionalFormatting sqref="H84">
    <cfRule type="expression" dxfId="18" priority="1">
      <formula>AND(OR($D84="In progress",$D84="Not started" ),OR($G84=TODAY(), $G84=TODAY()+1))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A1F4-F147-4621-980F-E43D527B312C}">
  <sheetPr>
    <tabColor rgb="FFFFC000"/>
    <outlinePr summaryBelow="0" summaryRight="0"/>
    <pageSetUpPr fitToPage="1"/>
  </sheetPr>
  <dimension ref="A1:N1012"/>
  <sheetViews>
    <sheetView showGridLines="0" zoomScale="85" zoomScaleNormal="85" workbookViewId="0">
      <pane ySplit="3" topLeftCell="A617" activePane="bottomLeft" state="frozen"/>
      <selection activeCell="B1" sqref="B1"/>
      <selection pane="bottomLeft" activeCell="B1" sqref="B1"/>
    </sheetView>
  </sheetViews>
  <sheetFormatPr defaultColWidth="12.54296875" defaultRowHeight="15.75" customHeight="1" x14ac:dyDescent="0.4"/>
  <cols>
    <col min="1" max="1" width="12" style="3" customWidth="1"/>
    <col min="2" max="2" width="49.81640625" style="3" bestFit="1" customWidth="1"/>
    <col min="3" max="3" width="12.54296875" style="3" customWidth="1"/>
    <col min="4" max="4" width="19.453125" style="3" customWidth="1"/>
    <col min="5" max="5" width="12" style="69" customWidth="1"/>
    <col min="6" max="6" width="62" style="3" customWidth="1"/>
    <col min="7" max="7" width="20.7265625" style="3" customWidth="1"/>
    <col min="8" max="11" width="19.26953125" style="3" customWidth="1"/>
    <col min="12" max="13" width="12.81640625" style="3" bestFit="1" customWidth="1"/>
    <col min="14" max="14" width="34" style="3" customWidth="1"/>
    <col min="15" max="16384" width="12.54296875" style="3"/>
  </cols>
  <sheetData>
    <row r="1" spans="1:11" ht="12" customHeight="1" x14ac:dyDescent="0.4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1" ht="53.25" customHeight="1" x14ac:dyDescent="0.4">
      <c r="A2" s="114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4"/>
    </row>
    <row r="3" spans="1:11" ht="36" x14ac:dyDescent="0.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</row>
    <row r="4" spans="1:11" ht="18" x14ac:dyDescent="0.4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v>46070</v>
      </c>
      <c r="J4" s="11">
        <v>46066</v>
      </c>
      <c r="K4" s="13"/>
    </row>
    <row r="5" spans="1:11" ht="18" x14ac:dyDescent="0.4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v>46070</v>
      </c>
      <c r="J5" s="11">
        <v>46066</v>
      </c>
      <c r="K5" s="13"/>
    </row>
    <row r="6" spans="1:11" ht="18" x14ac:dyDescent="0.4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v>46070</v>
      </c>
      <c r="J6" s="11">
        <v>46066</v>
      </c>
      <c r="K6" s="13"/>
    </row>
    <row r="7" spans="1:11" ht="18" x14ac:dyDescent="0.4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v>46070</v>
      </c>
      <c r="J7" s="11">
        <v>46066</v>
      </c>
      <c r="K7" s="13"/>
    </row>
    <row r="8" spans="1:11" ht="18" x14ac:dyDescent="0.4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v>46070</v>
      </c>
      <c r="J8" s="11">
        <v>46066</v>
      </c>
      <c r="K8" s="13"/>
    </row>
    <row r="9" spans="1:11" ht="18" x14ac:dyDescent="0.4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v>46070</v>
      </c>
      <c r="J9" s="11">
        <v>46066</v>
      </c>
      <c r="K9" s="13"/>
    </row>
    <row r="10" spans="1:11" ht="18" x14ac:dyDescent="0.4">
      <c r="A10" s="57" t="s">
        <v>0</v>
      </c>
      <c r="B10" s="57" t="s">
        <v>697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v>46070</v>
      </c>
      <c r="J10" s="11">
        <v>46066</v>
      </c>
      <c r="K10" s="13"/>
    </row>
    <row r="11" spans="1:11" ht="18" x14ac:dyDescent="0.4">
      <c r="A11" s="57" t="s">
        <v>0</v>
      </c>
      <c r="B11" s="57" t="s">
        <v>697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v>46070</v>
      </c>
      <c r="J11" s="11">
        <v>46066</v>
      </c>
      <c r="K11" s="13"/>
    </row>
    <row r="12" spans="1:11" ht="18" x14ac:dyDescent="0.4">
      <c r="A12" s="57" t="s">
        <v>0</v>
      </c>
      <c r="B12" s="57" t="s">
        <v>697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v>46070</v>
      </c>
      <c r="J12" s="11">
        <v>46066</v>
      </c>
      <c r="K12" s="13"/>
    </row>
    <row r="13" spans="1:11" ht="18" x14ac:dyDescent="0.4">
      <c r="A13" s="57" t="s">
        <v>0</v>
      </c>
      <c r="B13" s="57" t="s">
        <v>697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v>46070</v>
      </c>
      <c r="J13" s="11">
        <v>46066</v>
      </c>
      <c r="K13" s="13"/>
    </row>
    <row r="14" spans="1:11" ht="18" x14ac:dyDescent="0.4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v>46070</v>
      </c>
      <c r="J14" s="11">
        <v>46066</v>
      </c>
      <c r="K14" s="13"/>
    </row>
    <row r="15" spans="1:11" ht="18" x14ac:dyDescent="0.4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v>46070</v>
      </c>
      <c r="J15" s="11">
        <v>46066</v>
      </c>
      <c r="K15" s="13"/>
    </row>
    <row r="16" spans="1:11" ht="18" x14ac:dyDescent="0.4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v>46070</v>
      </c>
      <c r="J16" s="11">
        <v>46066</v>
      </c>
      <c r="K16" s="13"/>
    </row>
    <row r="17" spans="1:11" ht="18" x14ac:dyDescent="0.4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v>46070</v>
      </c>
      <c r="J17" s="53">
        <v>46066</v>
      </c>
      <c r="K17" s="21"/>
    </row>
    <row r="18" spans="1:11" ht="18" x14ac:dyDescent="0.4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v>46070</v>
      </c>
      <c r="J18" s="53">
        <v>46066</v>
      </c>
      <c r="K18" s="21"/>
    </row>
    <row r="19" spans="1:11" ht="18" x14ac:dyDescent="0.4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v>46070</v>
      </c>
      <c r="J19" s="53">
        <v>46066</v>
      </c>
      <c r="K19" s="21"/>
    </row>
    <row r="20" spans="1:11" ht="18" x14ac:dyDescent="0.4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v>46070</v>
      </c>
      <c r="J20" s="53">
        <v>46066</v>
      </c>
      <c r="K20" s="21"/>
    </row>
    <row r="21" spans="1:11" ht="18" x14ac:dyDescent="0.4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v>46070</v>
      </c>
      <c r="J21" s="53">
        <v>46066</v>
      </c>
      <c r="K21" s="21"/>
    </row>
    <row r="22" spans="1:11" ht="18" x14ac:dyDescent="0.4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v>46070</v>
      </c>
      <c r="J22" s="53">
        <v>46066</v>
      </c>
      <c r="K22" s="21"/>
    </row>
    <row r="23" spans="1:11" ht="18" x14ac:dyDescent="0.4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v>46070</v>
      </c>
      <c r="J23" s="53">
        <v>46066</v>
      </c>
      <c r="K23" s="21"/>
    </row>
    <row r="24" spans="1:11" ht="18" x14ac:dyDescent="0.4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v>46070</v>
      </c>
      <c r="J24" s="53">
        <v>46066</v>
      </c>
      <c r="K24" s="21"/>
    </row>
    <row r="25" spans="1:11" ht="18" x14ac:dyDescent="0.4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v>46070</v>
      </c>
      <c r="J25" s="53">
        <v>46066</v>
      </c>
      <c r="K25" s="7"/>
    </row>
    <row r="26" spans="1:11" ht="18" x14ac:dyDescent="0.4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v>46070</v>
      </c>
      <c r="J26" s="53">
        <v>46066</v>
      </c>
      <c r="K26" s="21"/>
    </row>
    <row r="27" spans="1:11" ht="18" x14ac:dyDescent="0.4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v>46070</v>
      </c>
      <c r="J27" s="53">
        <v>46066</v>
      </c>
      <c r="K27" s="21"/>
    </row>
    <row r="28" spans="1:11" ht="18" x14ac:dyDescent="0.4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v>46070</v>
      </c>
      <c r="J28" s="53">
        <v>46066</v>
      </c>
      <c r="K28" s="21"/>
    </row>
    <row r="29" spans="1:11" ht="18" x14ac:dyDescent="0.4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v>46070</v>
      </c>
      <c r="J29" s="53">
        <v>46066</v>
      </c>
      <c r="K29" s="21"/>
    </row>
    <row r="30" spans="1:11" ht="18" x14ac:dyDescent="0.4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v>46070</v>
      </c>
      <c r="J30" s="53">
        <v>46066</v>
      </c>
      <c r="K30" s="21"/>
    </row>
    <row r="31" spans="1:11" ht="18" x14ac:dyDescent="0.4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v>46070</v>
      </c>
      <c r="J31" s="11">
        <v>46066</v>
      </c>
      <c r="K31" s="13"/>
    </row>
    <row r="32" spans="1:11" ht="18" x14ac:dyDescent="0.4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v>46070</v>
      </c>
      <c r="J32" s="11">
        <v>46066</v>
      </c>
      <c r="K32" s="13"/>
    </row>
    <row r="33" spans="1:11" ht="18" x14ac:dyDescent="0.4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v>46070</v>
      </c>
      <c r="J33" s="11">
        <v>46066</v>
      </c>
      <c r="K33" s="13"/>
    </row>
    <row r="34" spans="1:11" ht="18" x14ac:dyDescent="0.4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v>46070</v>
      </c>
      <c r="J34" s="53">
        <v>46066</v>
      </c>
      <c r="K34" s="21"/>
    </row>
    <row r="35" spans="1:11" ht="18" x14ac:dyDescent="0.4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v>46070</v>
      </c>
      <c r="J35" s="53">
        <v>46066</v>
      </c>
      <c r="K35" s="21"/>
    </row>
    <row r="36" spans="1:11" ht="18" x14ac:dyDescent="0.4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v>46070</v>
      </c>
      <c r="J36" s="53">
        <v>46066</v>
      </c>
      <c r="K36" s="21"/>
    </row>
    <row r="37" spans="1:11" ht="15.75" customHeight="1" x14ac:dyDescent="0.4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v>46070</v>
      </c>
      <c r="J37" s="53">
        <v>46066</v>
      </c>
      <c r="K37" s="21"/>
    </row>
    <row r="38" spans="1:11" ht="18" x14ac:dyDescent="0.4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v>46070</v>
      </c>
      <c r="J38" s="53">
        <v>46066</v>
      </c>
      <c r="K38" s="7"/>
    </row>
    <row r="39" spans="1:11" ht="18" x14ac:dyDescent="0.4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v>46070</v>
      </c>
      <c r="J39" s="53">
        <v>46066</v>
      </c>
      <c r="K39" s="21"/>
    </row>
    <row r="40" spans="1:11" ht="18" x14ac:dyDescent="0.4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v>46070</v>
      </c>
      <c r="J40" s="53">
        <v>46066</v>
      </c>
      <c r="K40" s="21"/>
    </row>
    <row r="41" spans="1:11" ht="18" x14ac:dyDescent="0.4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v>46070</v>
      </c>
      <c r="J41" s="53">
        <v>46066</v>
      </c>
      <c r="K41" s="21"/>
    </row>
    <row r="42" spans="1:11" ht="18" x14ac:dyDescent="0.4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v>46070</v>
      </c>
      <c r="J42" s="53">
        <v>46066</v>
      </c>
      <c r="K42" s="21"/>
    </row>
    <row r="43" spans="1:11" ht="18" x14ac:dyDescent="0.4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v>46070</v>
      </c>
      <c r="J43" s="53">
        <v>46066</v>
      </c>
      <c r="K43" s="21"/>
    </row>
    <row r="44" spans="1:11" ht="18" x14ac:dyDescent="0.4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v>46070</v>
      </c>
      <c r="J44" s="11">
        <v>46066</v>
      </c>
      <c r="K44" s="13"/>
    </row>
    <row r="45" spans="1:11" ht="18" x14ac:dyDescent="0.4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v>46070</v>
      </c>
      <c r="J45" s="11">
        <v>46066</v>
      </c>
      <c r="K45" s="13"/>
    </row>
    <row r="46" spans="1:11" ht="18" x14ac:dyDescent="0.4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v>46070</v>
      </c>
      <c r="J46" s="11">
        <v>46066</v>
      </c>
      <c r="K46" s="13"/>
    </row>
    <row r="47" spans="1:11" ht="18" x14ac:dyDescent="0.4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v>46070</v>
      </c>
      <c r="J47" s="11">
        <v>46066</v>
      </c>
      <c r="K47" s="13"/>
    </row>
    <row r="48" spans="1:11" ht="18" x14ac:dyDescent="0.4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v>46070</v>
      </c>
      <c r="J48" s="53">
        <v>46066</v>
      </c>
      <c r="K48" s="54"/>
    </row>
    <row r="49" spans="1:11" ht="18" x14ac:dyDescent="0.4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v>46070</v>
      </c>
      <c r="J49" s="53">
        <v>46066</v>
      </c>
      <c r="K49" s="21"/>
    </row>
    <row r="50" spans="1:11" ht="18" x14ac:dyDescent="0.4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v>46070</v>
      </c>
      <c r="J50" s="53">
        <v>46066</v>
      </c>
      <c r="K50" s="21"/>
    </row>
    <row r="51" spans="1:11" ht="18" x14ac:dyDescent="0.4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v>46070</v>
      </c>
      <c r="J51" s="53">
        <v>46066</v>
      </c>
      <c r="K51" s="7"/>
    </row>
    <row r="52" spans="1:11" ht="18" x14ac:dyDescent="0.4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v>46070</v>
      </c>
      <c r="J52" s="11">
        <v>46066</v>
      </c>
      <c r="K52" s="13"/>
    </row>
    <row r="53" spans="1:11" ht="18" x14ac:dyDescent="0.4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v>46070</v>
      </c>
      <c r="J53" s="11">
        <v>46066</v>
      </c>
      <c r="K53" s="13"/>
    </row>
    <row r="54" spans="1:11" ht="18" x14ac:dyDescent="0.4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v>46070</v>
      </c>
      <c r="J54" s="11">
        <v>46066</v>
      </c>
      <c r="K54" s="13"/>
    </row>
    <row r="55" spans="1:11" ht="18" x14ac:dyDescent="0.4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v>46070</v>
      </c>
      <c r="J55" s="11">
        <v>46066</v>
      </c>
      <c r="K55" s="13"/>
    </row>
    <row r="56" spans="1:11" ht="18" x14ac:dyDescent="0.4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v>46070</v>
      </c>
      <c r="J56" s="11">
        <v>46066</v>
      </c>
      <c r="K56" s="13"/>
    </row>
    <row r="57" spans="1:11" ht="18" x14ac:dyDescent="0.4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v>46070</v>
      </c>
      <c r="J57" s="53">
        <v>46066</v>
      </c>
      <c r="K57" s="21"/>
    </row>
    <row r="58" spans="1:11" ht="18" x14ac:dyDescent="0.4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v>46070</v>
      </c>
      <c r="J58" s="53">
        <v>46066</v>
      </c>
      <c r="K58" s="21"/>
    </row>
    <row r="59" spans="1:11" ht="18" x14ac:dyDescent="0.4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v>46070</v>
      </c>
      <c r="J59" s="53">
        <v>46066</v>
      </c>
      <c r="K59" s="7"/>
    </row>
    <row r="60" spans="1:11" ht="18" x14ac:dyDescent="0.4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v>46070</v>
      </c>
      <c r="J60" s="11">
        <v>46066</v>
      </c>
      <c r="K60" s="13"/>
    </row>
    <row r="61" spans="1:11" ht="18" x14ac:dyDescent="0.4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v>46070</v>
      </c>
      <c r="J61" s="11">
        <v>46066</v>
      </c>
      <c r="K61" s="13"/>
    </row>
    <row r="62" spans="1:11" ht="18" x14ac:dyDescent="0.4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v>46070</v>
      </c>
      <c r="J62" s="11">
        <v>46066</v>
      </c>
      <c r="K62" s="13"/>
    </row>
    <row r="63" spans="1:11" ht="18" x14ac:dyDescent="0.4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v>46070</v>
      </c>
      <c r="J63" s="53">
        <v>46066</v>
      </c>
      <c r="K63" s="21"/>
    </row>
    <row r="64" spans="1:11" ht="18" x14ac:dyDescent="0.4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v>46070</v>
      </c>
      <c r="J64" s="53">
        <v>46066</v>
      </c>
      <c r="K64" s="21"/>
    </row>
    <row r="65" spans="1:11" ht="18" x14ac:dyDescent="0.4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v>46070</v>
      </c>
      <c r="J65" s="53">
        <v>46066</v>
      </c>
      <c r="K65" s="21"/>
    </row>
    <row r="66" spans="1:11" ht="18" x14ac:dyDescent="0.4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v>46070</v>
      </c>
      <c r="J66" s="53">
        <v>46066</v>
      </c>
      <c r="K66" s="21"/>
    </row>
    <row r="67" spans="1:11" ht="18" x14ac:dyDescent="0.4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v>46070</v>
      </c>
      <c r="J67" s="11">
        <v>46066</v>
      </c>
      <c r="K67" s="13"/>
    </row>
    <row r="68" spans="1:11" ht="18" x14ac:dyDescent="0.4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1" si="1">+G68/E68</f>
        <v>0</v>
      </c>
      <c r="I68" s="53">
        <v>46070</v>
      </c>
      <c r="J68" s="53">
        <v>46066</v>
      </c>
      <c r="K68" s="21"/>
    </row>
    <row r="69" spans="1:11" ht="18" x14ac:dyDescent="0.4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1"/>
        <v>0</v>
      </c>
      <c r="I69" s="53">
        <v>46070</v>
      </c>
      <c r="J69" s="53">
        <v>46066</v>
      </c>
      <c r="K69" s="21"/>
    </row>
    <row r="70" spans="1:11" ht="18" x14ac:dyDescent="0.4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1"/>
        <v>0</v>
      </c>
      <c r="I70" s="53">
        <v>46070</v>
      </c>
      <c r="J70" s="53">
        <v>46066</v>
      </c>
      <c r="K70" s="21"/>
    </row>
    <row r="71" spans="1:11" ht="18" x14ac:dyDescent="0.4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1"/>
        <v>0</v>
      </c>
      <c r="I71" s="53">
        <v>46070</v>
      </c>
      <c r="J71" s="53">
        <v>46066</v>
      </c>
      <c r="K71" s="21"/>
    </row>
    <row r="72" spans="1:11" ht="18" x14ac:dyDescent="0.4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1"/>
        <v>0</v>
      </c>
      <c r="I72" s="53">
        <v>46070</v>
      </c>
      <c r="J72" s="53">
        <v>46066</v>
      </c>
      <c r="K72" s="21"/>
    </row>
    <row r="73" spans="1:11" ht="18" x14ac:dyDescent="0.4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1"/>
        <v>0</v>
      </c>
      <c r="I73" s="53">
        <v>46070</v>
      </c>
      <c r="J73" s="53">
        <v>46066</v>
      </c>
      <c r="K73" s="21"/>
    </row>
    <row r="74" spans="1:11" ht="18" x14ac:dyDescent="0.4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1"/>
        <v>0</v>
      </c>
      <c r="I74" s="53">
        <v>46070</v>
      </c>
      <c r="J74" s="53">
        <v>46066</v>
      </c>
      <c r="K74" s="21"/>
    </row>
    <row r="75" spans="1:11" ht="18" x14ac:dyDescent="0.4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1"/>
        <v>0</v>
      </c>
      <c r="I75" s="53">
        <v>46070</v>
      </c>
      <c r="J75" s="53">
        <v>46066</v>
      </c>
      <c r="K75" s="21"/>
    </row>
    <row r="76" spans="1:11" ht="18" x14ac:dyDescent="0.4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1"/>
        <v>0</v>
      </c>
      <c r="I76" s="53">
        <v>46070</v>
      </c>
      <c r="J76" s="53">
        <v>46066</v>
      </c>
      <c r="K76" s="21"/>
    </row>
    <row r="77" spans="1:11" ht="18" x14ac:dyDescent="0.4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0</v>
      </c>
      <c r="H77" s="70">
        <f t="shared" si="1"/>
        <v>0</v>
      </c>
      <c r="I77" s="53">
        <v>46070</v>
      </c>
      <c r="J77" s="53">
        <v>46066</v>
      </c>
      <c r="K77" s="21"/>
    </row>
    <row r="78" spans="1:11" ht="18" x14ac:dyDescent="0.4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1"/>
        <v>0</v>
      </c>
      <c r="I78" s="53">
        <v>46070</v>
      </c>
      <c r="J78" s="53">
        <v>46066</v>
      </c>
      <c r="K78" s="21"/>
    </row>
    <row r="79" spans="1:11" ht="18" x14ac:dyDescent="0.4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1"/>
        <v>0</v>
      </c>
      <c r="I79" s="53">
        <v>46070</v>
      </c>
      <c r="J79" s="53">
        <v>46066</v>
      </c>
      <c r="K79" s="21"/>
    </row>
    <row r="80" spans="1:11" ht="18" x14ac:dyDescent="0.4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1"/>
        <v>0</v>
      </c>
      <c r="I80" s="53">
        <v>46070</v>
      </c>
      <c r="J80" s="53">
        <v>46066</v>
      </c>
      <c r="K80" s="21"/>
    </row>
    <row r="81" spans="1:11" ht="18" x14ac:dyDescent="0.4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1"/>
        <v>0</v>
      </c>
      <c r="I81" s="53">
        <v>46070</v>
      </c>
      <c r="J81" s="53">
        <v>46066</v>
      </c>
      <c r="K81" s="21"/>
    </row>
    <row r="82" spans="1:11" ht="18" x14ac:dyDescent="0.4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1"/>
        <v>0</v>
      </c>
      <c r="I82" s="53">
        <v>46070</v>
      </c>
      <c r="J82" s="53">
        <v>46066</v>
      </c>
      <c r="K82" s="21"/>
    </row>
    <row r="83" spans="1:11" ht="18" x14ac:dyDescent="0.4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1"/>
        <v>0</v>
      </c>
      <c r="I83" s="53">
        <v>46070</v>
      </c>
      <c r="J83" s="53">
        <v>46066</v>
      </c>
      <c r="K83" s="21"/>
    </row>
    <row r="84" spans="1:11" ht="18" x14ac:dyDescent="0.4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1"/>
        <v>0</v>
      </c>
      <c r="I84" s="55">
        <v>46070</v>
      </c>
      <c r="J84" s="55">
        <v>46066</v>
      </c>
      <c r="K84" s="56"/>
    </row>
    <row r="85" spans="1:11" ht="18" x14ac:dyDescent="0.4">
      <c r="A85" s="7" t="s">
        <v>98</v>
      </c>
      <c r="B85" s="85" t="s">
        <v>99</v>
      </c>
      <c r="C85" s="8">
        <v>1097</v>
      </c>
      <c r="D85" s="9">
        <v>463606330</v>
      </c>
      <c r="E85" s="57">
        <v>32</v>
      </c>
      <c r="F85" s="10" t="s">
        <v>698</v>
      </c>
      <c r="G85" s="88">
        <v>0</v>
      </c>
      <c r="H85" s="70">
        <f t="shared" si="1"/>
        <v>0</v>
      </c>
      <c r="I85" s="11">
        <v>46070</v>
      </c>
      <c r="J85" s="11">
        <v>46066</v>
      </c>
      <c r="K85" s="13"/>
    </row>
    <row r="86" spans="1:11" ht="18" x14ac:dyDescent="0.4">
      <c r="A86" s="7" t="s">
        <v>98</v>
      </c>
      <c r="B86" s="86" t="s">
        <v>99</v>
      </c>
      <c r="C86" s="8">
        <v>1097</v>
      </c>
      <c r="D86" s="9">
        <v>463606290</v>
      </c>
      <c r="E86" s="57">
        <v>32</v>
      </c>
      <c r="F86" s="10" t="s">
        <v>698</v>
      </c>
      <c r="G86" s="88">
        <v>0</v>
      </c>
      <c r="H86" s="70">
        <f t="shared" si="1"/>
        <v>0</v>
      </c>
      <c r="I86" s="11">
        <v>46070</v>
      </c>
      <c r="J86" s="11">
        <v>46066</v>
      </c>
      <c r="K86" s="13"/>
    </row>
    <row r="87" spans="1:11" ht="18" x14ac:dyDescent="0.4">
      <c r="A87" s="7" t="s">
        <v>98</v>
      </c>
      <c r="B87" s="86" t="s">
        <v>99</v>
      </c>
      <c r="C87" s="8">
        <v>1097</v>
      </c>
      <c r="D87" s="9">
        <v>463563840</v>
      </c>
      <c r="E87" s="57">
        <v>24</v>
      </c>
      <c r="F87" s="10" t="s">
        <v>699</v>
      </c>
      <c r="G87" s="88">
        <v>0</v>
      </c>
      <c r="H87" s="70">
        <f t="shared" si="1"/>
        <v>0</v>
      </c>
      <c r="I87" s="11">
        <v>46070</v>
      </c>
      <c r="J87" s="11">
        <v>46066</v>
      </c>
      <c r="K87" s="13"/>
    </row>
    <row r="88" spans="1:11" ht="18" x14ac:dyDescent="0.4">
      <c r="A88" s="7" t="s">
        <v>98</v>
      </c>
      <c r="B88" s="85" t="s">
        <v>99</v>
      </c>
      <c r="C88" s="8">
        <v>1097</v>
      </c>
      <c r="D88" s="9">
        <v>463504300</v>
      </c>
      <c r="E88" s="57">
        <v>24</v>
      </c>
      <c r="F88" s="10" t="s">
        <v>699</v>
      </c>
      <c r="G88" s="88">
        <v>0</v>
      </c>
      <c r="H88" s="70">
        <f t="shared" si="1"/>
        <v>0</v>
      </c>
      <c r="I88" s="11">
        <v>46070</v>
      </c>
      <c r="J88" s="11">
        <v>46066</v>
      </c>
      <c r="K88" s="13"/>
    </row>
    <row r="89" spans="1:11" ht="18" x14ac:dyDescent="0.4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700</v>
      </c>
      <c r="G89" s="88">
        <v>480</v>
      </c>
      <c r="H89" s="70">
        <f t="shared" si="1"/>
        <v>20</v>
      </c>
      <c r="I89" s="11">
        <v>46070</v>
      </c>
      <c r="J89" s="11">
        <v>46066</v>
      </c>
      <c r="K89" s="13"/>
    </row>
    <row r="90" spans="1:11" ht="18" x14ac:dyDescent="0.4">
      <c r="A90" s="7" t="s">
        <v>98</v>
      </c>
      <c r="B90" s="85" t="s">
        <v>99</v>
      </c>
      <c r="C90" s="8">
        <v>1097</v>
      </c>
      <c r="D90" s="9">
        <v>463571360</v>
      </c>
      <c r="E90" s="57">
        <v>24</v>
      </c>
      <c r="F90" s="10" t="s">
        <v>700</v>
      </c>
      <c r="G90" s="88">
        <v>480</v>
      </c>
      <c r="H90" s="70">
        <f t="shared" si="1"/>
        <v>20</v>
      </c>
      <c r="I90" s="11">
        <v>46070</v>
      </c>
      <c r="J90" s="11">
        <v>46066</v>
      </c>
      <c r="K90" s="13"/>
    </row>
    <row r="91" spans="1:11" ht="18" x14ac:dyDescent="0.4">
      <c r="A91" s="7" t="s">
        <v>98</v>
      </c>
      <c r="B91" s="85" t="s">
        <v>99</v>
      </c>
      <c r="C91" s="8">
        <v>1097</v>
      </c>
      <c r="D91" s="9">
        <v>463602320</v>
      </c>
      <c r="E91" s="57">
        <v>500</v>
      </c>
      <c r="F91" s="10" t="s">
        <v>701</v>
      </c>
      <c r="G91" s="88">
        <v>0</v>
      </c>
      <c r="H91" s="70">
        <f t="shared" si="1"/>
        <v>0</v>
      </c>
      <c r="I91" s="11">
        <v>46070</v>
      </c>
      <c r="J91" s="11">
        <v>46066</v>
      </c>
      <c r="K91" s="13"/>
    </row>
    <row r="92" spans="1:11" ht="18" x14ac:dyDescent="0.4">
      <c r="A92" s="7" t="s">
        <v>98</v>
      </c>
      <c r="B92" s="85" t="s">
        <v>99</v>
      </c>
      <c r="C92" s="8">
        <v>1097</v>
      </c>
      <c r="D92" s="9">
        <v>463559530</v>
      </c>
      <c r="E92" s="57">
        <v>500</v>
      </c>
      <c r="F92" s="10" t="s">
        <v>702</v>
      </c>
      <c r="G92" s="88">
        <v>0</v>
      </c>
      <c r="H92" s="70">
        <f t="shared" si="1"/>
        <v>0</v>
      </c>
      <c r="I92" s="11">
        <v>46070</v>
      </c>
      <c r="J92" s="11">
        <v>46066</v>
      </c>
      <c r="K92" s="13"/>
    </row>
    <row r="93" spans="1:11" ht="18" x14ac:dyDescent="0.4">
      <c r="A93" s="7" t="s">
        <v>98</v>
      </c>
      <c r="B93" s="85" t="s">
        <v>108</v>
      </c>
      <c r="C93" s="8">
        <v>37866</v>
      </c>
      <c r="D93" s="9">
        <v>463535560</v>
      </c>
      <c r="E93" s="57">
        <v>800</v>
      </c>
      <c r="F93" s="10" t="s">
        <v>109</v>
      </c>
      <c r="G93" s="88">
        <v>0</v>
      </c>
      <c r="H93" s="70">
        <f t="shared" si="1"/>
        <v>0</v>
      </c>
      <c r="I93" s="11">
        <v>46070</v>
      </c>
      <c r="J93" s="11">
        <v>46066</v>
      </c>
      <c r="K93" s="13"/>
    </row>
    <row r="94" spans="1:11" ht="18" x14ac:dyDescent="0.4">
      <c r="A94" s="7" t="s">
        <v>98</v>
      </c>
      <c r="B94" s="85" t="s">
        <v>108</v>
      </c>
      <c r="C94" s="8">
        <v>37866</v>
      </c>
      <c r="D94" s="9">
        <v>463518180</v>
      </c>
      <c r="E94" s="57">
        <v>60</v>
      </c>
      <c r="F94" s="10" t="s">
        <v>110</v>
      </c>
      <c r="G94" s="88">
        <v>800</v>
      </c>
      <c r="H94" s="70">
        <f t="shared" si="1"/>
        <v>13.333333333333334</v>
      </c>
      <c r="I94" s="11">
        <v>46070</v>
      </c>
      <c r="J94" s="11">
        <v>46066</v>
      </c>
      <c r="K94" s="13"/>
    </row>
    <row r="95" spans="1:11" ht="18" x14ac:dyDescent="0.4">
      <c r="A95" s="7" t="s">
        <v>98</v>
      </c>
      <c r="B95" s="85" t="s">
        <v>108</v>
      </c>
      <c r="C95" s="8">
        <v>37866</v>
      </c>
      <c r="D95" s="9">
        <v>463480050</v>
      </c>
      <c r="E95" s="57">
        <v>800</v>
      </c>
      <c r="F95" s="10" t="s">
        <v>111</v>
      </c>
      <c r="G95" s="88">
        <v>800</v>
      </c>
      <c r="H95" s="70">
        <f t="shared" si="1"/>
        <v>1</v>
      </c>
      <c r="I95" s="11">
        <v>46070</v>
      </c>
      <c r="J95" s="11">
        <v>46066</v>
      </c>
      <c r="K95" s="13"/>
    </row>
    <row r="96" spans="1:11" ht="18" x14ac:dyDescent="0.4">
      <c r="A96" s="7" t="s">
        <v>98</v>
      </c>
      <c r="B96" s="85" t="s">
        <v>108</v>
      </c>
      <c r="C96" s="8">
        <v>37866</v>
      </c>
      <c r="D96" s="9">
        <v>463479660</v>
      </c>
      <c r="E96" s="57">
        <v>60</v>
      </c>
      <c r="F96" s="10" t="s">
        <v>110</v>
      </c>
      <c r="G96" s="88">
        <v>0</v>
      </c>
      <c r="H96" s="70">
        <f t="shared" si="1"/>
        <v>0</v>
      </c>
      <c r="I96" s="11">
        <v>46070</v>
      </c>
      <c r="J96" s="11">
        <v>46066</v>
      </c>
      <c r="K96" s="13"/>
    </row>
    <row r="97" spans="1:11" ht="18" x14ac:dyDescent="0.4">
      <c r="A97" s="7" t="s">
        <v>98</v>
      </c>
      <c r="B97" s="85" t="s">
        <v>108</v>
      </c>
      <c r="C97" s="8">
        <v>37866</v>
      </c>
      <c r="D97" s="9">
        <v>463542820</v>
      </c>
      <c r="E97" s="57">
        <v>60</v>
      </c>
      <c r="F97" s="10" t="s">
        <v>112</v>
      </c>
      <c r="G97" s="88">
        <v>800</v>
      </c>
      <c r="H97" s="70">
        <f t="shared" si="1"/>
        <v>13.333333333333334</v>
      </c>
      <c r="I97" s="11">
        <v>46070</v>
      </c>
      <c r="J97" s="11">
        <v>46066</v>
      </c>
      <c r="K97" s="13"/>
    </row>
    <row r="98" spans="1:11" ht="18" x14ac:dyDescent="0.4">
      <c r="A98" s="7" t="s">
        <v>98</v>
      </c>
      <c r="B98" s="85" t="s">
        <v>108</v>
      </c>
      <c r="C98" s="8">
        <v>37866</v>
      </c>
      <c r="D98" s="9">
        <v>463465610</v>
      </c>
      <c r="E98" s="57">
        <v>800</v>
      </c>
      <c r="F98" s="10" t="s">
        <v>113</v>
      </c>
      <c r="G98" s="88">
        <v>0</v>
      </c>
      <c r="H98" s="70">
        <f t="shared" si="1"/>
        <v>0</v>
      </c>
      <c r="I98" s="11">
        <v>46070</v>
      </c>
      <c r="J98" s="11">
        <v>46066</v>
      </c>
      <c r="K98" s="13"/>
    </row>
    <row r="99" spans="1:11" ht="18" x14ac:dyDescent="0.4">
      <c r="A99" s="7" t="s">
        <v>98</v>
      </c>
      <c r="B99" s="85" t="s">
        <v>108</v>
      </c>
      <c r="C99" s="8">
        <v>37866</v>
      </c>
      <c r="D99" s="9">
        <v>463599360</v>
      </c>
      <c r="E99" s="57">
        <v>60</v>
      </c>
      <c r="F99" s="10" t="s">
        <v>115</v>
      </c>
      <c r="G99" s="88">
        <v>0</v>
      </c>
      <c r="H99" s="70">
        <f t="shared" si="1"/>
        <v>0</v>
      </c>
      <c r="I99" s="11">
        <v>46070</v>
      </c>
      <c r="J99" s="11">
        <v>46066</v>
      </c>
      <c r="K99" s="13"/>
    </row>
    <row r="100" spans="1:11" ht="18" x14ac:dyDescent="0.4">
      <c r="A100" s="7" t="s">
        <v>98</v>
      </c>
      <c r="B100" s="85" t="s">
        <v>108</v>
      </c>
      <c r="C100" s="8">
        <v>37866</v>
      </c>
      <c r="D100" s="9">
        <v>463450640</v>
      </c>
      <c r="E100" s="57">
        <v>60</v>
      </c>
      <c r="F100" s="10" t="s">
        <v>116</v>
      </c>
      <c r="G100" s="88">
        <v>0</v>
      </c>
      <c r="H100" s="70">
        <f t="shared" si="1"/>
        <v>0</v>
      </c>
      <c r="I100" s="11">
        <v>46070</v>
      </c>
      <c r="J100" s="11">
        <v>46066</v>
      </c>
      <c r="K100" s="13"/>
    </row>
    <row r="101" spans="1:11" ht="18" x14ac:dyDescent="0.4">
      <c r="A101" s="7" t="s">
        <v>98</v>
      </c>
      <c r="B101" s="85" t="s">
        <v>108</v>
      </c>
      <c r="C101" s="8">
        <v>37866</v>
      </c>
      <c r="D101" s="9">
        <v>463497920</v>
      </c>
      <c r="E101" s="57">
        <v>60</v>
      </c>
      <c r="F101" s="10" t="s">
        <v>117</v>
      </c>
      <c r="G101" s="88">
        <v>0</v>
      </c>
      <c r="H101" s="70">
        <f t="shared" si="1"/>
        <v>0</v>
      </c>
      <c r="I101" s="11">
        <v>46070</v>
      </c>
      <c r="J101" s="11">
        <v>46066</v>
      </c>
      <c r="K101" s="13"/>
    </row>
    <row r="102" spans="1:11" ht="18" x14ac:dyDescent="0.4">
      <c r="A102" s="7" t="s">
        <v>98</v>
      </c>
      <c r="B102" s="85" t="s">
        <v>108</v>
      </c>
      <c r="C102" s="8">
        <v>37866</v>
      </c>
      <c r="D102" s="9">
        <v>463563850</v>
      </c>
      <c r="E102" s="57">
        <v>60</v>
      </c>
      <c r="F102" s="10" t="s">
        <v>117</v>
      </c>
      <c r="G102" s="88">
        <v>0</v>
      </c>
      <c r="H102" s="70">
        <f t="shared" si="1"/>
        <v>0</v>
      </c>
      <c r="I102" s="11">
        <v>46070</v>
      </c>
      <c r="J102" s="11">
        <v>46066</v>
      </c>
      <c r="K102" s="13"/>
    </row>
    <row r="103" spans="1:11" ht="18" x14ac:dyDescent="0.4">
      <c r="A103" s="7" t="s">
        <v>98</v>
      </c>
      <c r="B103" s="85" t="s">
        <v>108</v>
      </c>
      <c r="C103" s="8">
        <v>37866</v>
      </c>
      <c r="D103" s="9">
        <v>463564120</v>
      </c>
      <c r="E103" s="57">
        <v>60</v>
      </c>
      <c r="F103" s="10" t="s">
        <v>118</v>
      </c>
      <c r="G103" s="88">
        <v>0</v>
      </c>
      <c r="H103" s="70">
        <f t="shared" si="1"/>
        <v>0</v>
      </c>
      <c r="I103" s="11">
        <v>46070</v>
      </c>
      <c r="J103" s="11">
        <v>46066</v>
      </c>
      <c r="K103" s="13"/>
    </row>
    <row r="104" spans="1:11" ht="18" x14ac:dyDescent="0.4">
      <c r="A104" s="7" t="s">
        <v>98</v>
      </c>
      <c r="B104" s="85" t="s">
        <v>108</v>
      </c>
      <c r="C104" s="8">
        <v>37866</v>
      </c>
      <c r="D104" s="9">
        <v>463577620</v>
      </c>
      <c r="E104" s="57">
        <v>60</v>
      </c>
      <c r="F104" s="10" t="s">
        <v>119</v>
      </c>
      <c r="G104" s="88">
        <v>0</v>
      </c>
      <c r="H104" s="70">
        <f t="shared" si="1"/>
        <v>0</v>
      </c>
      <c r="I104" s="11">
        <v>46070</v>
      </c>
      <c r="J104" s="11">
        <v>46066</v>
      </c>
      <c r="K104" s="13"/>
    </row>
    <row r="105" spans="1:11" ht="18" x14ac:dyDescent="0.4">
      <c r="A105" s="7" t="s">
        <v>98</v>
      </c>
      <c r="B105" s="85" t="s">
        <v>108</v>
      </c>
      <c r="C105" s="8">
        <v>37866</v>
      </c>
      <c r="D105" s="9">
        <v>463578580</v>
      </c>
      <c r="E105" s="57">
        <v>60</v>
      </c>
      <c r="F105" s="10" t="s">
        <v>120</v>
      </c>
      <c r="G105" s="88">
        <v>0</v>
      </c>
      <c r="H105" s="70">
        <f t="shared" si="1"/>
        <v>0</v>
      </c>
      <c r="I105" s="11">
        <v>46070</v>
      </c>
      <c r="J105" s="11">
        <v>46066</v>
      </c>
      <c r="K105" s="13"/>
    </row>
    <row r="106" spans="1:11" ht="18" x14ac:dyDescent="0.4">
      <c r="A106" s="7" t="s">
        <v>98</v>
      </c>
      <c r="B106" s="85" t="s">
        <v>108</v>
      </c>
      <c r="C106" s="8">
        <v>37866</v>
      </c>
      <c r="D106" s="9">
        <v>463576540</v>
      </c>
      <c r="E106" s="57">
        <v>60</v>
      </c>
      <c r="F106" s="10" t="s">
        <v>121</v>
      </c>
      <c r="G106" s="88">
        <v>0</v>
      </c>
      <c r="H106" s="70">
        <f t="shared" si="1"/>
        <v>0</v>
      </c>
      <c r="I106" s="11">
        <v>46070</v>
      </c>
      <c r="J106" s="11">
        <v>46066</v>
      </c>
      <c r="K106" s="13"/>
    </row>
    <row r="107" spans="1:11" ht="18" x14ac:dyDescent="0.4">
      <c r="A107" s="7" t="s">
        <v>98</v>
      </c>
      <c r="B107" s="85" t="s">
        <v>108</v>
      </c>
      <c r="C107" s="8">
        <v>37866</v>
      </c>
      <c r="D107" s="9">
        <v>463571180</v>
      </c>
      <c r="E107" s="57">
        <v>60</v>
      </c>
      <c r="F107" s="10" t="s">
        <v>122</v>
      </c>
      <c r="G107" s="88">
        <v>0</v>
      </c>
      <c r="H107" s="70">
        <f t="shared" si="1"/>
        <v>0</v>
      </c>
      <c r="I107" s="11">
        <v>46070</v>
      </c>
      <c r="J107" s="11">
        <v>46066</v>
      </c>
      <c r="K107" s="13"/>
    </row>
    <row r="108" spans="1:11" ht="18" x14ac:dyDescent="0.4">
      <c r="A108" s="7" t="s">
        <v>98</v>
      </c>
      <c r="B108" s="85" t="s">
        <v>123</v>
      </c>
      <c r="C108" s="8">
        <v>27951</v>
      </c>
      <c r="D108" s="9">
        <v>463385060</v>
      </c>
      <c r="E108" s="57">
        <v>800</v>
      </c>
      <c r="F108" s="10" t="s">
        <v>124</v>
      </c>
      <c r="G108" s="88">
        <v>0</v>
      </c>
      <c r="H108" s="70">
        <f t="shared" si="1"/>
        <v>0</v>
      </c>
      <c r="I108" s="11">
        <v>46070</v>
      </c>
      <c r="J108" s="11">
        <v>46066</v>
      </c>
      <c r="K108" s="13"/>
    </row>
    <row r="109" spans="1:11" ht="18" x14ac:dyDescent="0.4">
      <c r="A109" s="7" t="s">
        <v>98</v>
      </c>
      <c r="B109" s="85" t="s">
        <v>123</v>
      </c>
      <c r="C109" s="8">
        <v>27951</v>
      </c>
      <c r="D109" s="9">
        <v>552821660</v>
      </c>
      <c r="E109" s="57">
        <v>600</v>
      </c>
      <c r="F109" s="10" t="s">
        <v>125</v>
      </c>
      <c r="G109" s="88">
        <v>0</v>
      </c>
      <c r="H109" s="70">
        <f t="shared" si="1"/>
        <v>0</v>
      </c>
      <c r="I109" s="11">
        <v>46070</v>
      </c>
      <c r="J109" s="11">
        <v>46066</v>
      </c>
      <c r="K109" s="13"/>
    </row>
    <row r="110" spans="1:11" ht="18" x14ac:dyDescent="0.4">
      <c r="A110" s="7" t="s">
        <v>98</v>
      </c>
      <c r="B110" s="85" t="s">
        <v>123</v>
      </c>
      <c r="C110" s="8">
        <v>27951</v>
      </c>
      <c r="D110" s="9">
        <v>552822750</v>
      </c>
      <c r="E110" s="57">
        <v>300</v>
      </c>
      <c r="F110" s="10" t="s">
        <v>126</v>
      </c>
      <c r="G110" s="88">
        <v>0</v>
      </c>
      <c r="H110" s="70">
        <f t="shared" si="1"/>
        <v>0</v>
      </c>
      <c r="I110" s="11">
        <v>46070</v>
      </c>
      <c r="J110" s="11">
        <v>46066</v>
      </c>
      <c r="K110" s="13"/>
    </row>
    <row r="111" spans="1:11" ht="18" x14ac:dyDescent="0.4">
      <c r="A111" s="7" t="s">
        <v>98</v>
      </c>
      <c r="B111" s="85" t="s">
        <v>123</v>
      </c>
      <c r="C111" s="8">
        <v>27951</v>
      </c>
      <c r="D111" s="9">
        <v>552821670</v>
      </c>
      <c r="E111" s="57">
        <v>100</v>
      </c>
      <c r="F111" s="10" t="s">
        <v>127</v>
      </c>
      <c r="G111" s="88">
        <v>0</v>
      </c>
      <c r="H111" s="70">
        <f t="shared" si="1"/>
        <v>0</v>
      </c>
      <c r="I111" s="11">
        <v>46070</v>
      </c>
      <c r="J111" s="11">
        <v>46066</v>
      </c>
      <c r="K111" s="13"/>
    </row>
    <row r="112" spans="1:11" ht="18" x14ac:dyDescent="0.4">
      <c r="A112" s="7" t="s">
        <v>98</v>
      </c>
      <c r="B112" s="85" t="s">
        <v>123</v>
      </c>
      <c r="C112" s="8">
        <v>27951</v>
      </c>
      <c r="D112" s="9">
        <v>552845970</v>
      </c>
      <c r="E112" s="57">
        <v>600</v>
      </c>
      <c r="F112" s="10" t="s">
        <v>127</v>
      </c>
      <c r="G112" s="88">
        <v>0</v>
      </c>
      <c r="H112" s="70">
        <f t="shared" si="1"/>
        <v>0</v>
      </c>
      <c r="I112" s="11">
        <v>46070</v>
      </c>
      <c r="J112" s="11">
        <v>46066</v>
      </c>
      <c r="K112" s="13"/>
    </row>
    <row r="113" spans="1:11" ht="18" x14ac:dyDescent="0.4">
      <c r="A113" s="7" t="s">
        <v>98</v>
      </c>
      <c r="B113" s="85" t="s">
        <v>123</v>
      </c>
      <c r="C113" s="8">
        <v>27951</v>
      </c>
      <c r="D113" s="9">
        <v>552798810</v>
      </c>
      <c r="E113" s="57">
        <v>250</v>
      </c>
      <c r="F113" s="10" t="s">
        <v>127</v>
      </c>
      <c r="G113" s="88">
        <v>0</v>
      </c>
      <c r="H113" s="70">
        <f t="shared" si="1"/>
        <v>0</v>
      </c>
      <c r="I113" s="11">
        <v>46070</v>
      </c>
      <c r="J113" s="11">
        <v>46066</v>
      </c>
      <c r="K113" s="13"/>
    </row>
    <row r="114" spans="1:11" ht="18" x14ac:dyDescent="0.4">
      <c r="A114" s="7" t="s">
        <v>98</v>
      </c>
      <c r="B114" s="85" t="s">
        <v>123</v>
      </c>
      <c r="C114" s="8">
        <v>27951</v>
      </c>
      <c r="D114" s="9">
        <v>552842340</v>
      </c>
      <c r="E114" s="57">
        <v>800</v>
      </c>
      <c r="F114" s="10" t="s">
        <v>127</v>
      </c>
      <c r="G114" s="88">
        <v>0</v>
      </c>
      <c r="H114" s="70">
        <f t="shared" si="1"/>
        <v>0</v>
      </c>
      <c r="I114" s="11">
        <v>46070</v>
      </c>
      <c r="J114" s="11">
        <v>46066</v>
      </c>
      <c r="K114" s="13"/>
    </row>
    <row r="115" spans="1:11" ht="18" x14ac:dyDescent="0.4">
      <c r="A115" s="7" t="s">
        <v>98</v>
      </c>
      <c r="B115" s="85" t="s">
        <v>123</v>
      </c>
      <c r="C115" s="8">
        <v>27951</v>
      </c>
      <c r="D115" s="9">
        <v>552822630</v>
      </c>
      <c r="E115" s="57">
        <v>600</v>
      </c>
      <c r="F115" s="10" t="s">
        <v>127</v>
      </c>
      <c r="G115" s="88">
        <v>0</v>
      </c>
      <c r="H115" s="70">
        <f t="shared" si="1"/>
        <v>0</v>
      </c>
      <c r="I115" s="11">
        <v>46070</v>
      </c>
      <c r="J115" s="11">
        <v>46066</v>
      </c>
      <c r="K115" s="13"/>
    </row>
    <row r="116" spans="1:11" ht="18" x14ac:dyDescent="0.4">
      <c r="A116" s="7" t="s">
        <v>98</v>
      </c>
      <c r="B116" s="85" t="s">
        <v>123</v>
      </c>
      <c r="C116" s="8">
        <v>27951</v>
      </c>
      <c r="D116" s="9">
        <v>552799020</v>
      </c>
      <c r="E116" s="57">
        <v>200</v>
      </c>
      <c r="F116" s="10" t="s">
        <v>127</v>
      </c>
      <c r="G116" s="88">
        <v>0</v>
      </c>
      <c r="H116" s="70">
        <f t="shared" si="1"/>
        <v>0</v>
      </c>
      <c r="I116" s="11">
        <v>46070</v>
      </c>
      <c r="J116" s="11">
        <v>46066</v>
      </c>
      <c r="K116" s="13"/>
    </row>
    <row r="117" spans="1:11" ht="18" x14ac:dyDescent="0.4">
      <c r="A117" s="7" t="s">
        <v>98</v>
      </c>
      <c r="B117" s="85" t="s">
        <v>123</v>
      </c>
      <c r="C117" s="8">
        <v>27951</v>
      </c>
      <c r="D117" s="9">
        <v>463369240</v>
      </c>
      <c r="E117" s="57">
        <v>500</v>
      </c>
      <c r="F117" s="10" t="s">
        <v>127</v>
      </c>
      <c r="G117" s="88">
        <v>0</v>
      </c>
      <c r="H117" s="70">
        <f t="shared" si="1"/>
        <v>0</v>
      </c>
      <c r="I117" s="11">
        <v>46070</v>
      </c>
      <c r="J117" s="11">
        <v>46066</v>
      </c>
      <c r="K117" s="13"/>
    </row>
    <row r="118" spans="1:11" ht="18" x14ac:dyDescent="0.4">
      <c r="A118" s="7" t="s">
        <v>98</v>
      </c>
      <c r="B118" s="85" t="s">
        <v>123</v>
      </c>
      <c r="C118" s="8">
        <v>27951</v>
      </c>
      <c r="D118" s="9">
        <v>463398780</v>
      </c>
      <c r="E118" s="57">
        <v>400</v>
      </c>
      <c r="F118" s="10" t="s">
        <v>128</v>
      </c>
      <c r="G118" s="88">
        <v>0</v>
      </c>
      <c r="H118" s="70">
        <f t="shared" si="1"/>
        <v>0</v>
      </c>
      <c r="I118" s="11">
        <v>46070</v>
      </c>
      <c r="J118" s="11">
        <v>46066</v>
      </c>
      <c r="K118" s="13"/>
    </row>
    <row r="119" spans="1:11" ht="18" x14ac:dyDescent="0.4">
      <c r="A119" s="7" t="s">
        <v>98</v>
      </c>
      <c r="B119" s="85" t="s">
        <v>123</v>
      </c>
      <c r="C119" s="8">
        <v>27951</v>
      </c>
      <c r="D119" s="9">
        <v>552822620</v>
      </c>
      <c r="E119" s="57">
        <v>800</v>
      </c>
      <c r="F119" s="10" t="s">
        <v>129</v>
      </c>
      <c r="G119" s="88">
        <v>0</v>
      </c>
      <c r="H119" s="70">
        <f t="shared" si="1"/>
        <v>0</v>
      </c>
      <c r="I119" s="11">
        <v>46070</v>
      </c>
      <c r="J119" s="11">
        <v>46066</v>
      </c>
      <c r="K119" s="13"/>
    </row>
    <row r="120" spans="1:11" ht="18" x14ac:dyDescent="0.4">
      <c r="A120" s="7" t="s">
        <v>98</v>
      </c>
      <c r="B120" s="85" t="s">
        <v>123</v>
      </c>
      <c r="C120" s="8">
        <v>27951</v>
      </c>
      <c r="D120" s="9">
        <v>463473640</v>
      </c>
      <c r="E120" s="57">
        <v>500</v>
      </c>
      <c r="F120" s="10" t="s">
        <v>130</v>
      </c>
      <c r="G120" s="88">
        <v>0</v>
      </c>
      <c r="H120" s="70">
        <f t="shared" si="1"/>
        <v>0</v>
      </c>
      <c r="I120" s="11">
        <v>46070</v>
      </c>
      <c r="J120" s="11">
        <v>46066</v>
      </c>
      <c r="K120" s="13"/>
    </row>
    <row r="121" spans="1:11" ht="18" x14ac:dyDescent="0.4">
      <c r="A121" s="7" t="s">
        <v>98</v>
      </c>
      <c r="B121" s="85" t="s">
        <v>123</v>
      </c>
      <c r="C121" s="8">
        <v>27951</v>
      </c>
      <c r="D121" s="9">
        <v>552831540</v>
      </c>
      <c r="E121" s="57">
        <v>400</v>
      </c>
      <c r="F121" s="10" t="s">
        <v>131</v>
      </c>
      <c r="G121" s="88">
        <v>0</v>
      </c>
      <c r="H121" s="70">
        <f t="shared" si="1"/>
        <v>0</v>
      </c>
      <c r="I121" s="11">
        <v>46070</v>
      </c>
      <c r="J121" s="11">
        <v>46066</v>
      </c>
      <c r="K121" s="13"/>
    </row>
    <row r="122" spans="1:11" ht="18" x14ac:dyDescent="0.4">
      <c r="A122" s="7" t="s">
        <v>98</v>
      </c>
      <c r="B122" s="85" t="s">
        <v>123</v>
      </c>
      <c r="C122" s="8">
        <v>27951</v>
      </c>
      <c r="D122" s="9">
        <v>187517280</v>
      </c>
      <c r="E122" s="57">
        <v>400</v>
      </c>
      <c r="F122" s="10" t="s">
        <v>132</v>
      </c>
      <c r="G122" s="88">
        <v>0</v>
      </c>
      <c r="H122" s="70">
        <f t="shared" si="1"/>
        <v>0</v>
      </c>
      <c r="I122" s="11">
        <v>46070</v>
      </c>
      <c r="J122" s="11">
        <v>46066</v>
      </c>
      <c r="K122" s="13"/>
    </row>
    <row r="123" spans="1:11" ht="18" x14ac:dyDescent="0.4">
      <c r="A123" s="7" t="s">
        <v>98</v>
      </c>
      <c r="B123" s="85" t="s">
        <v>123</v>
      </c>
      <c r="C123" s="8">
        <v>27951</v>
      </c>
      <c r="D123" s="9">
        <v>552822460</v>
      </c>
      <c r="E123" s="57">
        <v>650</v>
      </c>
      <c r="F123" s="10" t="s">
        <v>133</v>
      </c>
      <c r="G123" s="88">
        <v>0</v>
      </c>
      <c r="H123" s="70">
        <f t="shared" si="1"/>
        <v>0</v>
      </c>
      <c r="I123" s="11">
        <v>46070</v>
      </c>
      <c r="J123" s="11">
        <v>46066</v>
      </c>
      <c r="K123" s="13"/>
    </row>
    <row r="124" spans="1:11" ht="18" x14ac:dyDescent="0.4">
      <c r="A124" s="7" t="s">
        <v>98</v>
      </c>
      <c r="B124" s="85" t="s">
        <v>123</v>
      </c>
      <c r="C124" s="8">
        <v>27951</v>
      </c>
      <c r="D124" s="9">
        <v>552821610</v>
      </c>
      <c r="E124" s="57">
        <v>150</v>
      </c>
      <c r="F124" s="10" t="s">
        <v>134</v>
      </c>
      <c r="G124" s="88">
        <v>0</v>
      </c>
      <c r="H124" s="70">
        <f t="shared" si="1"/>
        <v>0</v>
      </c>
      <c r="I124" s="11">
        <v>46070</v>
      </c>
      <c r="J124" s="11">
        <v>46066</v>
      </c>
      <c r="K124" s="13"/>
    </row>
    <row r="125" spans="1:11" ht="18" x14ac:dyDescent="0.4">
      <c r="A125" s="7" t="s">
        <v>98</v>
      </c>
      <c r="B125" s="85" t="s">
        <v>123</v>
      </c>
      <c r="C125" s="8">
        <v>27951</v>
      </c>
      <c r="D125" s="9">
        <v>552842370</v>
      </c>
      <c r="E125" s="57">
        <v>400</v>
      </c>
      <c r="F125" s="10" t="s">
        <v>135</v>
      </c>
      <c r="G125" s="88">
        <v>0</v>
      </c>
      <c r="H125" s="70">
        <f t="shared" si="1"/>
        <v>0</v>
      </c>
      <c r="I125" s="11">
        <v>46070</v>
      </c>
      <c r="J125" s="11">
        <v>46066</v>
      </c>
      <c r="K125" s="13"/>
    </row>
    <row r="126" spans="1:11" ht="18" x14ac:dyDescent="0.4">
      <c r="A126" s="7" t="s">
        <v>98</v>
      </c>
      <c r="B126" s="86" t="s">
        <v>123</v>
      </c>
      <c r="C126" s="8">
        <v>27951</v>
      </c>
      <c r="D126" s="9">
        <v>552821600</v>
      </c>
      <c r="E126" s="57">
        <v>300</v>
      </c>
      <c r="F126" s="10" t="s">
        <v>136</v>
      </c>
      <c r="G126" s="88">
        <v>0</v>
      </c>
      <c r="H126" s="70">
        <f t="shared" si="1"/>
        <v>0</v>
      </c>
      <c r="I126" s="11">
        <v>46070</v>
      </c>
      <c r="J126" s="11">
        <v>46066</v>
      </c>
      <c r="K126" s="13"/>
    </row>
    <row r="127" spans="1:11" ht="18" x14ac:dyDescent="0.4">
      <c r="A127" s="7" t="s">
        <v>98</v>
      </c>
      <c r="B127" s="86" t="s">
        <v>137</v>
      </c>
      <c r="C127" s="8">
        <v>36019</v>
      </c>
      <c r="D127" s="9">
        <v>463375300</v>
      </c>
      <c r="E127" s="57">
        <v>1000</v>
      </c>
      <c r="F127" s="10" t="s">
        <v>390</v>
      </c>
      <c r="G127" s="88">
        <v>0</v>
      </c>
      <c r="H127" s="70">
        <f t="shared" si="1"/>
        <v>0</v>
      </c>
      <c r="I127" s="11">
        <v>46070</v>
      </c>
      <c r="J127" s="11">
        <v>46066</v>
      </c>
      <c r="K127" s="13"/>
    </row>
    <row r="128" spans="1:11" ht="18" x14ac:dyDescent="0.4">
      <c r="A128" s="7" t="s">
        <v>98</v>
      </c>
      <c r="B128" s="86" t="s">
        <v>137</v>
      </c>
      <c r="C128" s="8">
        <v>36019</v>
      </c>
      <c r="D128" s="9">
        <v>463385060</v>
      </c>
      <c r="E128" s="57">
        <v>800</v>
      </c>
      <c r="F128" s="10" t="s">
        <v>124</v>
      </c>
      <c r="G128" s="88">
        <v>0</v>
      </c>
      <c r="H128" s="70">
        <f t="shared" si="1"/>
        <v>0</v>
      </c>
      <c r="I128" s="11">
        <v>46070</v>
      </c>
      <c r="J128" s="11">
        <v>46066</v>
      </c>
      <c r="K128" s="13"/>
    </row>
    <row r="129" spans="1:11" ht="18" x14ac:dyDescent="0.4">
      <c r="A129" s="7" t="s">
        <v>98</v>
      </c>
      <c r="B129" s="86" t="s">
        <v>137</v>
      </c>
      <c r="C129" s="8">
        <v>36019</v>
      </c>
      <c r="D129" s="9">
        <v>552821660</v>
      </c>
      <c r="E129" s="57">
        <v>600</v>
      </c>
      <c r="F129" s="10" t="s">
        <v>125</v>
      </c>
      <c r="G129" s="88">
        <v>0</v>
      </c>
      <c r="H129" s="70">
        <f t="shared" si="1"/>
        <v>0</v>
      </c>
      <c r="I129" s="11">
        <v>46070</v>
      </c>
      <c r="J129" s="11">
        <v>46066</v>
      </c>
      <c r="K129" s="13"/>
    </row>
    <row r="130" spans="1:11" ht="18" x14ac:dyDescent="0.4">
      <c r="A130" s="7" t="s">
        <v>98</v>
      </c>
      <c r="B130" s="86" t="s">
        <v>137</v>
      </c>
      <c r="C130" s="8">
        <v>36019</v>
      </c>
      <c r="D130" s="9">
        <v>552822750</v>
      </c>
      <c r="E130" s="57">
        <v>300</v>
      </c>
      <c r="F130" s="10" t="s">
        <v>126</v>
      </c>
      <c r="G130" s="88">
        <v>0</v>
      </c>
      <c r="H130" s="70">
        <f t="shared" si="1"/>
        <v>0</v>
      </c>
      <c r="I130" s="11">
        <v>46070</v>
      </c>
      <c r="J130" s="11">
        <v>46066</v>
      </c>
      <c r="K130" s="13"/>
    </row>
    <row r="131" spans="1:11" ht="18" x14ac:dyDescent="0.4">
      <c r="A131" s="7" t="s">
        <v>98</v>
      </c>
      <c r="B131" s="86" t="s">
        <v>137</v>
      </c>
      <c r="C131" s="8">
        <v>36019</v>
      </c>
      <c r="D131" s="9">
        <v>552821670</v>
      </c>
      <c r="E131" s="57">
        <v>100</v>
      </c>
      <c r="F131" s="10" t="s">
        <v>127</v>
      </c>
      <c r="G131" s="88">
        <v>0</v>
      </c>
      <c r="H131" s="70">
        <f t="shared" si="1"/>
        <v>0</v>
      </c>
      <c r="I131" s="11">
        <v>46070</v>
      </c>
      <c r="J131" s="11">
        <v>46066</v>
      </c>
      <c r="K131" s="13"/>
    </row>
    <row r="132" spans="1:11" ht="18" x14ac:dyDescent="0.4">
      <c r="A132" s="7" t="s">
        <v>98</v>
      </c>
      <c r="B132" s="86" t="s">
        <v>137</v>
      </c>
      <c r="C132" s="8">
        <v>36019</v>
      </c>
      <c r="D132" s="9">
        <v>552845970</v>
      </c>
      <c r="E132" s="57">
        <v>600</v>
      </c>
      <c r="F132" s="10" t="s">
        <v>127</v>
      </c>
      <c r="G132" s="88">
        <v>0</v>
      </c>
      <c r="H132" s="70">
        <f t="shared" ref="H132:H219" si="2">+G132/E132</f>
        <v>0</v>
      </c>
      <c r="I132" s="11">
        <v>46070</v>
      </c>
      <c r="J132" s="11">
        <v>46066</v>
      </c>
      <c r="K132" s="13"/>
    </row>
    <row r="133" spans="1:11" ht="18" x14ac:dyDescent="0.4">
      <c r="A133" s="7" t="s">
        <v>98</v>
      </c>
      <c r="B133" s="86" t="s">
        <v>137</v>
      </c>
      <c r="C133" s="8">
        <v>36019</v>
      </c>
      <c r="D133" s="9">
        <v>552798810</v>
      </c>
      <c r="E133" s="57">
        <v>250</v>
      </c>
      <c r="F133" s="10" t="s">
        <v>127</v>
      </c>
      <c r="G133" s="88">
        <v>0</v>
      </c>
      <c r="H133" s="70">
        <f t="shared" si="2"/>
        <v>0</v>
      </c>
      <c r="I133" s="11">
        <v>46070</v>
      </c>
      <c r="J133" s="11">
        <v>46066</v>
      </c>
      <c r="K133" s="13"/>
    </row>
    <row r="134" spans="1:11" ht="18" x14ac:dyDescent="0.4">
      <c r="A134" s="7" t="s">
        <v>98</v>
      </c>
      <c r="B134" s="86" t="s">
        <v>137</v>
      </c>
      <c r="C134" s="8">
        <v>36019</v>
      </c>
      <c r="D134" s="9">
        <v>552842340</v>
      </c>
      <c r="E134" s="57">
        <v>800</v>
      </c>
      <c r="F134" s="10" t="s">
        <v>127</v>
      </c>
      <c r="G134" s="88">
        <v>0</v>
      </c>
      <c r="H134" s="70">
        <f t="shared" si="2"/>
        <v>0</v>
      </c>
      <c r="I134" s="11">
        <v>46070</v>
      </c>
      <c r="J134" s="11">
        <v>46066</v>
      </c>
      <c r="K134" s="13"/>
    </row>
    <row r="135" spans="1:11" ht="18" x14ac:dyDescent="0.4">
      <c r="A135" s="7" t="s">
        <v>98</v>
      </c>
      <c r="B135" s="86" t="s">
        <v>137</v>
      </c>
      <c r="C135" s="8">
        <v>36019</v>
      </c>
      <c r="D135" s="9">
        <v>552822630</v>
      </c>
      <c r="E135" s="57">
        <v>600</v>
      </c>
      <c r="F135" s="10" t="s">
        <v>127</v>
      </c>
      <c r="G135" s="88">
        <v>0</v>
      </c>
      <c r="H135" s="70">
        <f t="shared" si="2"/>
        <v>0</v>
      </c>
      <c r="I135" s="11">
        <v>46070</v>
      </c>
      <c r="J135" s="11">
        <v>46066</v>
      </c>
      <c r="K135" s="13"/>
    </row>
    <row r="136" spans="1:11" ht="18" x14ac:dyDescent="0.4">
      <c r="A136" s="7" t="s">
        <v>98</v>
      </c>
      <c r="B136" s="86" t="s">
        <v>137</v>
      </c>
      <c r="C136" s="8">
        <v>36019</v>
      </c>
      <c r="D136" s="9">
        <v>552799020</v>
      </c>
      <c r="E136" s="57">
        <v>200</v>
      </c>
      <c r="F136" s="10" t="s">
        <v>127</v>
      </c>
      <c r="G136" s="88">
        <v>0</v>
      </c>
      <c r="H136" s="70">
        <f t="shared" si="2"/>
        <v>0</v>
      </c>
      <c r="I136" s="11">
        <v>46070</v>
      </c>
      <c r="J136" s="11">
        <v>46066</v>
      </c>
      <c r="K136" s="13"/>
    </row>
    <row r="137" spans="1:11" ht="18" x14ac:dyDescent="0.4">
      <c r="A137" s="7" t="s">
        <v>98</v>
      </c>
      <c r="B137" s="86" t="s">
        <v>137</v>
      </c>
      <c r="C137" s="8">
        <v>36019</v>
      </c>
      <c r="D137" s="9">
        <v>463369240</v>
      </c>
      <c r="E137" s="57">
        <v>500</v>
      </c>
      <c r="F137" s="10" t="s">
        <v>127</v>
      </c>
      <c r="G137" s="88">
        <v>0</v>
      </c>
      <c r="H137" s="70">
        <f t="shared" si="2"/>
        <v>0</v>
      </c>
      <c r="I137" s="11">
        <v>46070</v>
      </c>
      <c r="J137" s="11">
        <v>46066</v>
      </c>
      <c r="K137" s="13"/>
    </row>
    <row r="138" spans="1:11" ht="18" x14ac:dyDescent="0.4">
      <c r="A138" s="7" t="s">
        <v>98</v>
      </c>
      <c r="B138" s="86" t="s">
        <v>137</v>
      </c>
      <c r="C138" s="8">
        <v>36019</v>
      </c>
      <c r="D138" s="9">
        <v>463398780</v>
      </c>
      <c r="E138" s="57">
        <v>400</v>
      </c>
      <c r="F138" s="10" t="s">
        <v>128</v>
      </c>
      <c r="G138" s="88">
        <v>0</v>
      </c>
      <c r="H138" s="70">
        <f t="shared" si="2"/>
        <v>0</v>
      </c>
      <c r="I138" s="11">
        <v>46070</v>
      </c>
      <c r="J138" s="11">
        <v>46066</v>
      </c>
      <c r="K138" s="13"/>
    </row>
    <row r="139" spans="1:11" ht="18" x14ac:dyDescent="0.4">
      <c r="A139" s="7" t="s">
        <v>98</v>
      </c>
      <c r="B139" s="86" t="s">
        <v>137</v>
      </c>
      <c r="C139" s="8">
        <v>36019</v>
      </c>
      <c r="D139" s="9">
        <v>552822620</v>
      </c>
      <c r="E139" s="57">
        <v>800</v>
      </c>
      <c r="F139" s="10" t="s">
        <v>129</v>
      </c>
      <c r="G139" s="88">
        <v>0</v>
      </c>
      <c r="H139" s="70">
        <f t="shared" si="2"/>
        <v>0</v>
      </c>
      <c r="I139" s="11">
        <v>46070</v>
      </c>
      <c r="J139" s="11">
        <v>46066</v>
      </c>
      <c r="K139" s="13"/>
    </row>
    <row r="140" spans="1:11" ht="18" x14ac:dyDescent="0.4">
      <c r="A140" s="7" t="s">
        <v>98</v>
      </c>
      <c r="B140" s="86" t="s">
        <v>137</v>
      </c>
      <c r="C140" s="8">
        <v>36019</v>
      </c>
      <c r="D140" s="9">
        <v>463473640</v>
      </c>
      <c r="E140" s="57">
        <v>500</v>
      </c>
      <c r="F140" s="10" t="s">
        <v>130</v>
      </c>
      <c r="G140" s="88">
        <v>0</v>
      </c>
      <c r="H140" s="70">
        <f t="shared" si="2"/>
        <v>0</v>
      </c>
      <c r="I140" s="11">
        <v>46070</v>
      </c>
      <c r="J140" s="11">
        <v>46066</v>
      </c>
      <c r="K140" s="13"/>
    </row>
    <row r="141" spans="1:11" ht="18" x14ac:dyDescent="0.4">
      <c r="A141" s="7" t="s">
        <v>98</v>
      </c>
      <c r="B141" s="86" t="s">
        <v>137</v>
      </c>
      <c r="C141" s="8">
        <v>36019</v>
      </c>
      <c r="D141" s="9">
        <v>552831540</v>
      </c>
      <c r="E141" s="57">
        <v>400</v>
      </c>
      <c r="F141" s="10" t="s">
        <v>131</v>
      </c>
      <c r="G141" s="88">
        <v>0</v>
      </c>
      <c r="H141" s="70">
        <f t="shared" si="2"/>
        <v>0</v>
      </c>
      <c r="I141" s="11">
        <v>46070</v>
      </c>
      <c r="J141" s="11">
        <v>46066</v>
      </c>
      <c r="K141" s="13"/>
    </row>
    <row r="142" spans="1:11" ht="18" x14ac:dyDescent="0.4">
      <c r="A142" s="7" t="s">
        <v>98</v>
      </c>
      <c r="B142" s="86" t="s">
        <v>137</v>
      </c>
      <c r="C142" s="8">
        <v>36019</v>
      </c>
      <c r="D142" s="9">
        <v>187517280</v>
      </c>
      <c r="E142" s="57">
        <v>400</v>
      </c>
      <c r="F142" s="10" t="s">
        <v>132</v>
      </c>
      <c r="G142" s="88">
        <v>0</v>
      </c>
      <c r="H142" s="70">
        <f t="shared" si="2"/>
        <v>0</v>
      </c>
      <c r="I142" s="11">
        <v>46070</v>
      </c>
      <c r="J142" s="11">
        <v>46066</v>
      </c>
      <c r="K142" s="13"/>
    </row>
    <row r="143" spans="1:11" ht="18" x14ac:dyDescent="0.4">
      <c r="A143" s="7" t="s">
        <v>98</v>
      </c>
      <c r="B143" s="86" t="s">
        <v>137</v>
      </c>
      <c r="C143" s="8">
        <v>36019</v>
      </c>
      <c r="D143" s="9">
        <v>552822460</v>
      </c>
      <c r="E143" s="57">
        <v>650</v>
      </c>
      <c r="F143" s="10" t="s">
        <v>133</v>
      </c>
      <c r="G143" s="88">
        <v>0</v>
      </c>
      <c r="H143" s="70">
        <f t="shared" si="2"/>
        <v>0</v>
      </c>
      <c r="I143" s="11">
        <v>46070</v>
      </c>
      <c r="J143" s="11">
        <v>46066</v>
      </c>
      <c r="K143" s="13"/>
    </row>
    <row r="144" spans="1:11" ht="18" x14ac:dyDescent="0.4">
      <c r="A144" s="7" t="s">
        <v>98</v>
      </c>
      <c r="B144" s="86" t="s">
        <v>137</v>
      </c>
      <c r="C144" s="8">
        <v>36019</v>
      </c>
      <c r="D144" s="9">
        <v>552821610</v>
      </c>
      <c r="E144" s="57">
        <v>150</v>
      </c>
      <c r="F144" s="10" t="s">
        <v>134</v>
      </c>
      <c r="G144" s="88">
        <v>0</v>
      </c>
      <c r="H144" s="70">
        <f t="shared" si="2"/>
        <v>0</v>
      </c>
      <c r="I144" s="11">
        <v>46070</v>
      </c>
      <c r="J144" s="11">
        <v>46066</v>
      </c>
      <c r="K144" s="13"/>
    </row>
    <row r="145" spans="1:11" ht="18" x14ac:dyDescent="0.4">
      <c r="A145" s="7" t="s">
        <v>98</v>
      </c>
      <c r="B145" s="86" t="s">
        <v>137</v>
      </c>
      <c r="C145" s="8">
        <v>36019</v>
      </c>
      <c r="D145" s="9">
        <v>552842370</v>
      </c>
      <c r="E145" s="57">
        <v>400</v>
      </c>
      <c r="F145" s="10" t="s">
        <v>135</v>
      </c>
      <c r="G145" s="88">
        <v>0</v>
      </c>
      <c r="H145" s="70">
        <f t="shared" si="2"/>
        <v>0</v>
      </c>
      <c r="I145" s="11">
        <v>46070</v>
      </c>
      <c r="J145" s="11">
        <v>46066</v>
      </c>
      <c r="K145" s="13"/>
    </row>
    <row r="146" spans="1:11" ht="18" x14ac:dyDescent="0.4">
      <c r="A146" s="7" t="s">
        <v>98</v>
      </c>
      <c r="B146" s="86" t="s">
        <v>137</v>
      </c>
      <c r="C146" s="8">
        <v>36019</v>
      </c>
      <c r="D146" s="9">
        <v>552821600</v>
      </c>
      <c r="E146" s="57">
        <v>300</v>
      </c>
      <c r="F146" s="10" t="s">
        <v>136</v>
      </c>
      <c r="G146" s="88">
        <v>0</v>
      </c>
      <c r="H146" s="70">
        <f t="shared" si="2"/>
        <v>0</v>
      </c>
      <c r="I146" s="11">
        <v>46070</v>
      </c>
      <c r="J146" s="11">
        <v>46066</v>
      </c>
      <c r="K146" s="13"/>
    </row>
    <row r="147" spans="1:11" ht="18" x14ac:dyDescent="0.4">
      <c r="A147" s="7" t="s">
        <v>98</v>
      </c>
      <c r="B147" s="86" t="s">
        <v>137</v>
      </c>
      <c r="C147" s="8">
        <v>36019</v>
      </c>
      <c r="D147" s="9">
        <v>463532640</v>
      </c>
      <c r="E147" s="57">
        <v>1100</v>
      </c>
      <c r="F147" s="10" t="s">
        <v>194</v>
      </c>
      <c r="G147" s="88">
        <v>0</v>
      </c>
      <c r="H147" s="70">
        <f t="shared" si="2"/>
        <v>0</v>
      </c>
      <c r="I147" s="11">
        <v>46070</v>
      </c>
      <c r="J147" s="11">
        <v>46066</v>
      </c>
      <c r="K147" s="13"/>
    </row>
    <row r="148" spans="1:11" ht="18" x14ac:dyDescent="0.4">
      <c r="A148" s="7" t="s">
        <v>98</v>
      </c>
      <c r="B148" s="86" t="s">
        <v>137</v>
      </c>
      <c r="C148" s="8">
        <v>36019</v>
      </c>
      <c r="D148" s="9">
        <v>463532650</v>
      </c>
      <c r="E148" s="57">
        <v>800</v>
      </c>
      <c r="F148" s="10" t="s">
        <v>195</v>
      </c>
      <c r="G148" s="88">
        <v>0</v>
      </c>
      <c r="H148" s="70">
        <f t="shared" si="2"/>
        <v>0</v>
      </c>
      <c r="I148" s="11">
        <v>46070</v>
      </c>
      <c r="J148" s="11">
        <v>46066</v>
      </c>
      <c r="K148" s="13"/>
    </row>
    <row r="149" spans="1:11" ht="18" x14ac:dyDescent="0.4">
      <c r="A149" s="7" t="s">
        <v>98</v>
      </c>
      <c r="B149" s="86" t="s">
        <v>703</v>
      </c>
      <c r="C149" s="8">
        <v>51658</v>
      </c>
      <c r="D149" s="9">
        <v>463485610</v>
      </c>
      <c r="E149" s="57">
        <v>600</v>
      </c>
      <c r="F149" s="10" t="s">
        <v>404</v>
      </c>
      <c r="G149" s="88">
        <v>0</v>
      </c>
      <c r="H149" s="70">
        <f t="shared" si="2"/>
        <v>0</v>
      </c>
      <c r="I149" s="11">
        <v>46070</v>
      </c>
      <c r="J149" s="11">
        <v>46066</v>
      </c>
      <c r="K149" s="13"/>
    </row>
    <row r="150" spans="1:11" ht="18" x14ac:dyDescent="0.4">
      <c r="A150" s="7" t="s">
        <v>98</v>
      </c>
      <c r="B150" s="86" t="s">
        <v>703</v>
      </c>
      <c r="C150" s="8">
        <v>51658</v>
      </c>
      <c r="D150" s="9">
        <v>463485620</v>
      </c>
      <c r="E150" s="57">
        <v>600</v>
      </c>
      <c r="F150" s="10" t="s">
        <v>405</v>
      </c>
      <c r="G150" s="88">
        <v>0</v>
      </c>
      <c r="H150" s="70">
        <f t="shared" si="2"/>
        <v>0</v>
      </c>
      <c r="I150" s="11">
        <v>46070</v>
      </c>
      <c r="J150" s="11">
        <v>46066</v>
      </c>
      <c r="K150" s="13"/>
    </row>
    <row r="151" spans="1:11" ht="18" x14ac:dyDescent="0.4">
      <c r="A151" s="7" t="s">
        <v>98</v>
      </c>
      <c r="B151" s="86" t="s">
        <v>703</v>
      </c>
      <c r="C151" s="8">
        <v>51658</v>
      </c>
      <c r="D151" s="9">
        <v>463485630</v>
      </c>
      <c r="E151" s="57">
        <v>600</v>
      </c>
      <c r="F151" s="10" t="s">
        <v>406</v>
      </c>
      <c r="G151" s="88">
        <v>0</v>
      </c>
      <c r="H151" s="70">
        <f t="shared" si="2"/>
        <v>0</v>
      </c>
      <c r="I151" s="11">
        <v>46070</v>
      </c>
      <c r="J151" s="11">
        <v>46066</v>
      </c>
      <c r="K151" s="13"/>
    </row>
    <row r="152" spans="1:11" ht="18" x14ac:dyDescent="0.4">
      <c r="A152" s="7" t="s">
        <v>98</v>
      </c>
      <c r="B152" s="86" t="s">
        <v>703</v>
      </c>
      <c r="C152" s="8">
        <v>51658</v>
      </c>
      <c r="D152" s="9">
        <v>463485640</v>
      </c>
      <c r="E152" s="57">
        <v>600</v>
      </c>
      <c r="F152" s="10" t="s">
        <v>704</v>
      </c>
      <c r="G152" s="88">
        <v>0</v>
      </c>
      <c r="H152" s="70">
        <f t="shared" si="2"/>
        <v>0</v>
      </c>
      <c r="I152" s="11">
        <v>46070</v>
      </c>
      <c r="J152" s="11">
        <v>46066</v>
      </c>
      <c r="K152" s="13"/>
    </row>
    <row r="153" spans="1:11" ht="18" x14ac:dyDescent="0.4">
      <c r="A153" s="7" t="s">
        <v>98</v>
      </c>
      <c r="B153" s="86" t="s">
        <v>703</v>
      </c>
      <c r="C153" s="8">
        <v>51658</v>
      </c>
      <c r="D153" s="9">
        <v>463485650</v>
      </c>
      <c r="E153" s="57">
        <v>600</v>
      </c>
      <c r="F153" s="10" t="s">
        <v>704</v>
      </c>
      <c r="G153" s="88">
        <v>0</v>
      </c>
      <c r="H153" s="70">
        <f t="shared" si="2"/>
        <v>0</v>
      </c>
      <c r="I153" s="11">
        <v>46070</v>
      </c>
      <c r="J153" s="11">
        <v>46066</v>
      </c>
      <c r="K153" s="13"/>
    </row>
    <row r="154" spans="1:11" ht="18" x14ac:dyDescent="0.4">
      <c r="A154" s="7" t="s">
        <v>98</v>
      </c>
      <c r="B154" s="86" t="s">
        <v>703</v>
      </c>
      <c r="C154" s="8">
        <v>51658</v>
      </c>
      <c r="D154" s="9">
        <v>463485660</v>
      </c>
      <c r="E154" s="57">
        <v>600</v>
      </c>
      <c r="F154" s="10" t="s">
        <v>704</v>
      </c>
      <c r="G154" s="88">
        <v>0</v>
      </c>
      <c r="H154" s="70">
        <f t="shared" si="2"/>
        <v>0</v>
      </c>
      <c r="I154" s="11">
        <v>46070</v>
      </c>
      <c r="J154" s="11">
        <v>46066</v>
      </c>
      <c r="K154" s="13"/>
    </row>
    <row r="155" spans="1:11" ht="18" x14ac:dyDescent="0.4">
      <c r="A155" s="7" t="s">
        <v>98</v>
      </c>
      <c r="B155" s="86" t="s">
        <v>703</v>
      </c>
      <c r="C155" s="8">
        <v>51658</v>
      </c>
      <c r="D155" s="9">
        <v>463485380</v>
      </c>
      <c r="E155" s="57">
        <v>400</v>
      </c>
      <c r="F155" s="10" t="s">
        <v>144</v>
      </c>
      <c r="G155" s="88">
        <v>0</v>
      </c>
      <c r="H155" s="70">
        <f t="shared" si="2"/>
        <v>0</v>
      </c>
      <c r="I155" s="11">
        <v>46070</v>
      </c>
      <c r="J155" s="11">
        <v>46066</v>
      </c>
      <c r="K155" s="13"/>
    </row>
    <row r="156" spans="1:11" ht="18" x14ac:dyDescent="0.4">
      <c r="A156" s="7" t="s">
        <v>98</v>
      </c>
      <c r="B156" s="86" t="s">
        <v>703</v>
      </c>
      <c r="C156" s="8">
        <v>51658</v>
      </c>
      <c r="D156" s="9">
        <v>463485390</v>
      </c>
      <c r="E156" s="57">
        <v>400</v>
      </c>
      <c r="F156" s="10" t="s">
        <v>145</v>
      </c>
      <c r="G156" s="88">
        <v>0</v>
      </c>
      <c r="H156" s="70">
        <f t="shared" si="2"/>
        <v>0</v>
      </c>
      <c r="I156" s="11">
        <v>46070</v>
      </c>
      <c r="J156" s="11">
        <v>46066</v>
      </c>
      <c r="K156" s="13"/>
    </row>
    <row r="157" spans="1:11" ht="18" x14ac:dyDescent="0.4">
      <c r="A157" s="7" t="s">
        <v>98</v>
      </c>
      <c r="B157" s="86" t="s">
        <v>703</v>
      </c>
      <c r="C157" s="8">
        <v>51658</v>
      </c>
      <c r="D157" s="9">
        <v>463485400</v>
      </c>
      <c r="E157" s="57">
        <v>400</v>
      </c>
      <c r="F157" s="10" t="s">
        <v>146</v>
      </c>
      <c r="G157" s="88">
        <v>0</v>
      </c>
      <c r="H157" s="70">
        <f t="shared" si="2"/>
        <v>0</v>
      </c>
      <c r="I157" s="11">
        <v>46070</v>
      </c>
      <c r="J157" s="11">
        <v>46066</v>
      </c>
      <c r="K157" s="13"/>
    </row>
    <row r="158" spans="1:11" ht="18" x14ac:dyDescent="0.4">
      <c r="A158" s="7" t="s">
        <v>98</v>
      </c>
      <c r="B158" s="86" t="s">
        <v>703</v>
      </c>
      <c r="C158" s="8">
        <v>51658</v>
      </c>
      <c r="D158" s="9">
        <v>463485440</v>
      </c>
      <c r="E158" s="57">
        <v>400</v>
      </c>
      <c r="F158" s="10" t="s">
        <v>147</v>
      </c>
      <c r="G158" s="88">
        <v>0</v>
      </c>
      <c r="H158" s="70">
        <f t="shared" si="2"/>
        <v>0</v>
      </c>
      <c r="I158" s="11">
        <v>46070</v>
      </c>
      <c r="J158" s="11">
        <v>46066</v>
      </c>
      <c r="K158" s="13"/>
    </row>
    <row r="159" spans="1:11" ht="18" x14ac:dyDescent="0.4">
      <c r="A159" s="7" t="s">
        <v>98</v>
      </c>
      <c r="B159" s="86" t="s">
        <v>703</v>
      </c>
      <c r="C159" s="8">
        <v>51658</v>
      </c>
      <c r="D159" s="9">
        <v>463485450</v>
      </c>
      <c r="E159" s="57">
        <v>400</v>
      </c>
      <c r="F159" s="10" t="s">
        <v>148</v>
      </c>
      <c r="G159" s="88">
        <v>0</v>
      </c>
      <c r="H159" s="70">
        <f t="shared" si="2"/>
        <v>0</v>
      </c>
      <c r="I159" s="11">
        <v>46070</v>
      </c>
      <c r="J159" s="11">
        <v>46066</v>
      </c>
      <c r="K159" s="13"/>
    </row>
    <row r="160" spans="1:11" ht="18" x14ac:dyDescent="0.4">
      <c r="A160" s="7" t="s">
        <v>98</v>
      </c>
      <c r="B160" s="86" t="s">
        <v>703</v>
      </c>
      <c r="C160" s="8">
        <v>51658</v>
      </c>
      <c r="D160" s="9">
        <v>463485460</v>
      </c>
      <c r="E160" s="57">
        <v>400</v>
      </c>
      <c r="F160" s="10" t="s">
        <v>149</v>
      </c>
      <c r="G160" s="88">
        <v>0</v>
      </c>
      <c r="H160" s="70">
        <f t="shared" si="2"/>
        <v>0</v>
      </c>
      <c r="I160" s="11">
        <v>46070</v>
      </c>
      <c r="J160" s="11">
        <v>46066</v>
      </c>
      <c r="K160" s="13"/>
    </row>
    <row r="161" spans="1:11" ht="18" x14ac:dyDescent="0.4">
      <c r="A161" s="7" t="s">
        <v>98</v>
      </c>
      <c r="B161" s="86" t="s">
        <v>703</v>
      </c>
      <c r="C161" s="8">
        <v>51658</v>
      </c>
      <c r="D161" s="9">
        <v>463563890</v>
      </c>
      <c r="E161" s="57">
        <v>400</v>
      </c>
      <c r="F161" s="10" t="s">
        <v>149</v>
      </c>
      <c r="G161" s="88">
        <v>0</v>
      </c>
      <c r="H161" s="70">
        <f t="shared" si="2"/>
        <v>0</v>
      </c>
      <c r="I161" s="11">
        <v>46070</v>
      </c>
      <c r="J161" s="11">
        <v>46066</v>
      </c>
      <c r="K161" s="13"/>
    </row>
    <row r="162" spans="1:11" ht="18" x14ac:dyDescent="0.4">
      <c r="A162" s="7" t="s">
        <v>98</v>
      </c>
      <c r="B162" s="86" t="s">
        <v>703</v>
      </c>
      <c r="C162" s="8">
        <v>51658</v>
      </c>
      <c r="D162" s="9">
        <v>463563900</v>
      </c>
      <c r="E162" s="57">
        <v>400</v>
      </c>
      <c r="F162" s="10" t="s">
        <v>149</v>
      </c>
      <c r="G162" s="88">
        <v>0</v>
      </c>
      <c r="H162" s="70">
        <f t="shared" si="2"/>
        <v>0</v>
      </c>
      <c r="I162" s="11">
        <v>46070</v>
      </c>
      <c r="J162" s="11">
        <v>46066</v>
      </c>
      <c r="K162" s="13"/>
    </row>
    <row r="163" spans="1:11" ht="18" x14ac:dyDescent="0.4">
      <c r="A163" s="7" t="s">
        <v>98</v>
      </c>
      <c r="B163" s="86" t="s">
        <v>703</v>
      </c>
      <c r="C163" s="8">
        <v>51658</v>
      </c>
      <c r="D163" s="9">
        <v>463563910</v>
      </c>
      <c r="E163" s="57">
        <v>400</v>
      </c>
      <c r="F163" s="10" t="s">
        <v>149</v>
      </c>
      <c r="G163" s="88">
        <v>0</v>
      </c>
      <c r="H163" s="70">
        <f t="shared" si="2"/>
        <v>0</v>
      </c>
      <c r="I163" s="11">
        <v>46070</v>
      </c>
      <c r="J163" s="11">
        <v>46066</v>
      </c>
      <c r="K163" s="13"/>
    </row>
    <row r="164" spans="1:11" ht="18" x14ac:dyDescent="0.4">
      <c r="A164" s="7" t="s">
        <v>98</v>
      </c>
      <c r="B164" s="85" t="s">
        <v>703</v>
      </c>
      <c r="C164" s="8">
        <v>51658</v>
      </c>
      <c r="D164" s="9">
        <v>463563950</v>
      </c>
      <c r="E164" s="57">
        <v>400</v>
      </c>
      <c r="F164" s="10" t="s">
        <v>149</v>
      </c>
      <c r="G164" s="88">
        <v>0</v>
      </c>
      <c r="H164" s="70">
        <f t="shared" si="2"/>
        <v>0</v>
      </c>
      <c r="I164" s="11">
        <v>46070</v>
      </c>
      <c r="J164" s="11">
        <v>46066</v>
      </c>
      <c r="K164" s="13"/>
    </row>
    <row r="165" spans="1:11" ht="18" x14ac:dyDescent="0.4">
      <c r="A165" s="7" t="s">
        <v>98</v>
      </c>
      <c r="B165" s="85" t="s">
        <v>703</v>
      </c>
      <c r="C165" s="8">
        <v>51658</v>
      </c>
      <c r="D165" s="9">
        <v>463563960</v>
      </c>
      <c r="E165" s="57">
        <v>400</v>
      </c>
      <c r="F165" s="10" t="s">
        <v>149</v>
      </c>
      <c r="G165" s="88">
        <v>0</v>
      </c>
      <c r="H165" s="70">
        <f t="shared" si="2"/>
        <v>0</v>
      </c>
      <c r="I165" s="11">
        <v>46070</v>
      </c>
      <c r="J165" s="11">
        <v>46066</v>
      </c>
      <c r="K165" s="13"/>
    </row>
    <row r="166" spans="1:11" ht="18" x14ac:dyDescent="0.4">
      <c r="A166" s="7" t="s">
        <v>98</v>
      </c>
      <c r="B166" s="85" t="s">
        <v>703</v>
      </c>
      <c r="C166" s="8">
        <v>51658</v>
      </c>
      <c r="D166" s="9">
        <v>463563970</v>
      </c>
      <c r="E166" s="57">
        <v>400</v>
      </c>
      <c r="F166" s="10" t="s">
        <v>149</v>
      </c>
      <c r="G166" s="88">
        <v>0</v>
      </c>
      <c r="H166" s="70">
        <f t="shared" si="2"/>
        <v>0</v>
      </c>
      <c r="I166" s="11">
        <v>46070</v>
      </c>
      <c r="J166" s="11">
        <v>46066</v>
      </c>
      <c r="K166" s="13"/>
    </row>
    <row r="167" spans="1:11" ht="18" x14ac:dyDescent="0.4">
      <c r="A167" s="7" t="s">
        <v>98</v>
      </c>
      <c r="B167" s="85" t="s">
        <v>703</v>
      </c>
      <c r="C167" s="8">
        <v>51620</v>
      </c>
      <c r="D167" s="9">
        <v>463485280</v>
      </c>
      <c r="E167" s="57">
        <v>840</v>
      </c>
      <c r="F167" s="10" t="s">
        <v>150</v>
      </c>
      <c r="G167" s="88">
        <v>840</v>
      </c>
      <c r="H167" s="70">
        <f t="shared" si="2"/>
        <v>1</v>
      </c>
      <c r="I167" s="11">
        <v>46070</v>
      </c>
      <c r="J167" s="11">
        <v>46066</v>
      </c>
      <c r="K167" s="13"/>
    </row>
    <row r="168" spans="1:11" ht="18" x14ac:dyDescent="0.4">
      <c r="A168" s="7" t="s">
        <v>98</v>
      </c>
      <c r="B168" s="85" t="s">
        <v>703</v>
      </c>
      <c r="C168" s="8">
        <v>51620</v>
      </c>
      <c r="D168" s="9">
        <v>463485300</v>
      </c>
      <c r="E168" s="57">
        <v>840</v>
      </c>
      <c r="F168" s="10" t="s">
        <v>151</v>
      </c>
      <c r="G168" s="88">
        <v>5040</v>
      </c>
      <c r="H168" s="70">
        <f t="shared" si="2"/>
        <v>6</v>
      </c>
      <c r="I168" s="11">
        <v>46070</v>
      </c>
      <c r="J168" s="11">
        <v>46066</v>
      </c>
      <c r="K168" s="13"/>
    </row>
    <row r="169" spans="1:11" ht="18" x14ac:dyDescent="0.4">
      <c r="A169" s="7" t="s">
        <v>98</v>
      </c>
      <c r="B169" s="85" t="s">
        <v>703</v>
      </c>
      <c r="C169" s="8">
        <v>51620</v>
      </c>
      <c r="D169" s="9">
        <v>463485320</v>
      </c>
      <c r="E169" s="57">
        <v>840</v>
      </c>
      <c r="F169" s="10" t="s">
        <v>152</v>
      </c>
      <c r="G169" s="88">
        <v>840</v>
      </c>
      <c r="H169" s="70">
        <f t="shared" si="2"/>
        <v>1</v>
      </c>
      <c r="I169" s="11">
        <v>46070</v>
      </c>
      <c r="J169" s="11">
        <v>46066</v>
      </c>
      <c r="K169" s="13"/>
    </row>
    <row r="170" spans="1:11" ht="18" x14ac:dyDescent="0.4">
      <c r="A170" s="7" t="s">
        <v>98</v>
      </c>
      <c r="B170" s="85" t="s">
        <v>705</v>
      </c>
      <c r="C170" s="8">
        <v>73860</v>
      </c>
      <c r="D170" s="9">
        <v>463592990</v>
      </c>
      <c r="E170" s="57">
        <v>500</v>
      </c>
      <c r="F170" s="10" t="s">
        <v>706</v>
      </c>
      <c r="G170" s="88">
        <v>0</v>
      </c>
      <c r="H170" s="70">
        <f t="shared" si="2"/>
        <v>0</v>
      </c>
      <c r="I170" s="11">
        <v>46070</v>
      </c>
      <c r="J170" s="11">
        <v>46066</v>
      </c>
      <c r="K170" s="13"/>
    </row>
    <row r="171" spans="1:11" ht="18" x14ac:dyDescent="0.4">
      <c r="A171" s="7" t="s">
        <v>98</v>
      </c>
      <c r="B171" s="85" t="s">
        <v>705</v>
      </c>
      <c r="C171" s="8">
        <v>73860</v>
      </c>
      <c r="D171" s="9">
        <v>463593000</v>
      </c>
      <c r="E171" s="57">
        <v>500</v>
      </c>
      <c r="F171" s="10" t="s">
        <v>706</v>
      </c>
      <c r="G171" s="88">
        <v>0</v>
      </c>
      <c r="H171" s="70">
        <f t="shared" si="2"/>
        <v>0</v>
      </c>
      <c r="I171" s="11">
        <v>46070</v>
      </c>
      <c r="J171" s="11">
        <v>46066</v>
      </c>
      <c r="K171" s="13"/>
    </row>
    <row r="172" spans="1:11" ht="18" x14ac:dyDescent="0.4">
      <c r="A172" s="7" t="s">
        <v>98</v>
      </c>
      <c r="B172" s="85" t="s">
        <v>707</v>
      </c>
      <c r="C172" s="8">
        <v>49630</v>
      </c>
      <c r="D172" s="9">
        <v>463476050</v>
      </c>
      <c r="E172" s="57">
        <v>720</v>
      </c>
      <c r="F172" s="10" t="s">
        <v>157</v>
      </c>
      <c r="G172" s="88">
        <v>0</v>
      </c>
      <c r="H172" s="70">
        <f t="shared" si="2"/>
        <v>0</v>
      </c>
      <c r="I172" s="11">
        <v>46070</v>
      </c>
      <c r="J172" s="11">
        <v>46066</v>
      </c>
      <c r="K172" s="8"/>
    </row>
    <row r="173" spans="1:11" ht="18" x14ac:dyDescent="0.4">
      <c r="A173" s="7" t="s">
        <v>98</v>
      </c>
      <c r="B173" s="85" t="s">
        <v>708</v>
      </c>
      <c r="C173" s="8">
        <v>73850</v>
      </c>
      <c r="D173" s="9">
        <v>463491430</v>
      </c>
      <c r="E173" s="57">
        <v>600</v>
      </c>
      <c r="F173" s="10" t="s">
        <v>159</v>
      </c>
      <c r="G173" s="88">
        <v>0</v>
      </c>
      <c r="H173" s="70">
        <f t="shared" si="2"/>
        <v>0</v>
      </c>
      <c r="I173" s="11">
        <v>46070</v>
      </c>
      <c r="J173" s="11">
        <v>46066</v>
      </c>
      <c r="K173" s="8"/>
    </row>
    <row r="174" spans="1:11" ht="18" x14ac:dyDescent="0.4">
      <c r="A174" s="7" t="s">
        <v>98</v>
      </c>
      <c r="B174" s="85" t="s">
        <v>708</v>
      </c>
      <c r="C174" s="8">
        <v>73850</v>
      </c>
      <c r="D174" s="9">
        <v>552822510</v>
      </c>
      <c r="E174" s="57">
        <v>1500</v>
      </c>
      <c r="F174" s="10" t="s">
        <v>709</v>
      </c>
      <c r="G174" s="88">
        <v>0</v>
      </c>
      <c r="H174" s="70">
        <f t="shared" si="2"/>
        <v>0</v>
      </c>
      <c r="I174" s="11">
        <v>46070</v>
      </c>
      <c r="J174" s="11">
        <v>46066</v>
      </c>
      <c r="K174" s="8"/>
    </row>
    <row r="175" spans="1:11" ht="18" x14ac:dyDescent="0.4">
      <c r="A175" s="7" t="s">
        <v>98</v>
      </c>
      <c r="B175" s="85" t="s">
        <v>708</v>
      </c>
      <c r="C175" s="8">
        <v>73850</v>
      </c>
      <c r="D175" s="9">
        <v>552823610</v>
      </c>
      <c r="E175" s="57">
        <v>1500</v>
      </c>
      <c r="F175" s="10" t="s">
        <v>710</v>
      </c>
      <c r="G175" s="88">
        <v>0</v>
      </c>
      <c r="H175" s="70">
        <f t="shared" si="2"/>
        <v>0</v>
      </c>
      <c r="I175" s="11">
        <v>46070</v>
      </c>
      <c r="J175" s="11">
        <v>46066</v>
      </c>
      <c r="K175" s="8"/>
    </row>
    <row r="176" spans="1:11" ht="18" x14ac:dyDescent="0.4">
      <c r="A176" s="7" t="s">
        <v>98</v>
      </c>
      <c r="B176" s="85" t="s">
        <v>233</v>
      </c>
      <c r="C176" s="8">
        <v>33132</v>
      </c>
      <c r="D176" s="9">
        <v>552823610</v>
      </c>
      <c r="E176" s="57">
        <v>900</v>
      </c>
      <c r="F176" s="10" t="s">
        <v>234</v>
      </c>
      <c r="G176" s="88">
        <v>0</v>
      </c>
      <c r="H176" s="70">
        <f t="shared" si="2"/>
        <v>0</v>
      </c>
      <c r="I176" s="11">
        <v>46070</v>
      </c>
      <c r="J176" s="11">
        <v>46066</v>
      </c>
      <c r="K176" s="8"/>
    </row>
    <row r="177" spans="1:11" ht="18" x14ac:dyDescent="0.4">
      <c r="A177" s="7" t="s">
        <v>98</v>
      </c>
      <c r="B177" s="85" t="s">
        <v>160</v>
      </c>
      <c r="C177" s="8">
        <v>40870</v>
      </c>
      <c r="D177" s="9">
        <v>463479340</v>
      </c>
      <c r="E177" s="57">
        <v>100</v>
      </c>
      <c r="F177" s="10" t="s">
        <v>161</v>
      </c>
      <c r="G177" s="88">
        <v>0</v>
      </c>
      <c r="H177" s="70">
        <f t="shared" si="2"/>
        <v>0</v>
      </c>
      <c r="I177" s="11">
        <v>46070</v>
      </c>
      <c r="J177" s="11">
        <v>46066</v>
      </c>
      <c r="K177" s="8"/>
    </row>
    <row r="178" spans="1:11" ht="18" x14ac:dyDescent="0.4">
      <c r="A178" s="7" t="s">
        <v>98</v>
      </c>
      <c r="B178" s="85" t="s">
        <v>160</v>
      </c>
      <c r="C178" s="8">
        <v>40870</v>
      </c>
      <c r="D178" s="9">
        <v>463479350</v>
      </c>
      <c r="E178" s="57">
        <v>100</v>
      </c>
      <c r="F178" s="10" t="s">
        <v>162</v>
      </c>
      <c r="G178" s="88">
        <v>0</v>
      </c>
      <c r="H178" s="70">
        <f t="shared" si="2"/>
        <v>0</v>
      </c>
      <c r="I178" s="11">
        <v>46070</v>
      </c>
      <c r="J178" s="11">
        <v>46066</v>
      </c>
      <c r="K178" s="8"/>
    </row>
    <row r="179" spans="1:11" ht="18" x14ac:dyDescent="0.4">
      <c r="A179" s="7" t="s">
        <v>98</v>
      </c>
      <c r="B179" s="85" t="s">
        <v>163</v>
      </c>
      <c r="C179" s="8">
        <v>10675</v>
      </c>
      <c r="D179" s="9">
        <v>552822300</v>
      </c>
      <c r="E179" s="57">
        <v>4320</v>
      </c>
      <c r="F179" s="10" t="s">
        <v>164</v>
      </c>
      <c r="G179" s="88">
        <v>14400</v>
      </c>
      <c r="H179" s="70">
        <f t="shared" si="2"/>
        <v>3.3333333333333335</v>
      </c>
      <c r="I179" s="11">
        <v>46070</v>
      </c>
      <c r="J179" s="11">
        <v>46066</v>
      </c>
      <c r="K179" s="8"/>
    </row>
    <row r="180" spans="1:11" ht="18" x14ac:dyDescent="0.4">
      <c r="A180" s="7" t="s">
        <v>98</v>
      </c>
      <c r="B180" s="85" t="s">
        <v>163</v>
      </c>
      <c r="C180" s="8">
        <v>10675</v>
      </c>
      <c r="D180" s="9">
        <v>552822310</v>
      </c>
      <c r="E180" s="57">
        <v>4320</v>
      </c>
      <c r="F180" s="10" t="s">
        <v>165</v>
      </c>
      <c r="G180" s="88">
        <v>14440</v>
      </c>
      <c r="H180" s="70">
        <f t="shared" si="2"/>
        <v>3.3425925925925926</v>
      </c>
      <c r="I180" s="11">
        <v>46070</v>
      </c>
      <c r="J180" s="11">
        <v>46066</v>
      </c>
      <c r="K180" s="8"/>
    </row>
    <row r="181" spans="1:11" ht="18" x14ac:dyDescent="0.4">
      <c r="A181" s="7" t="s">
        <v>98</v>
      </c>
      <c r="B181" s="85" t="s">
        <v>167</v>
      </c>
      <c r="C181" s="8">
        <v>64641</v>
      </c>
      <c r="D181" s="9">
        <v>463543900</v>
      </c>
      <c r="E181" s="57">
        <v>20000</v>
      </c>
      <c r="F181" s="10" t="s">
        <v>168</v>
      </c>
      <c r="G181" s="88">
        <v>0</v>
      </c>
      <c r="H181" s="70">
        <f t="shared" si="2"/>
        <v>0</v>
      </c>
      <c r="I181" s="11">
        <v>46070</v>
      </c>
      <c r="J181" s="11">
        <v>46066</v>
      </c>
      <c r="K181" s="13"/>
    </row>
    <row r="182" spans="1:11" ht="18" x14ac:dyDescent="0.4">
      <c r="A182" s="7" t="s">
        <v>98</v>
      </c>
      <c r="B182" s="85" t="s">
        <v>703</v>
      </c>
      <c r="C182" s="8">
        <v>15565</v>
      </c>
      <c r="D182" s="9">
        <v>463526200</v>
      </c>
      <c r="E182" s="57">
        <v>30</v>
      </c>
      <c r="F182" s="10" t="s">
        <v>155</v>
      </c>
      <c r="G182" s="88">
        <v>0</v>
      </c>
      <c r="H182" s="70">
        <f t="shared" si="2"/>
        <v>0</v>
      </c>
      <c r="I182" s="11">
        <v>46070</v>
      </c>
      <c r="J182" s="11">
        <v>46066</v>
      </c>
      <c r="K182" s="13"/>
    </row>
    <row r="183" spans="1:11" ht="18" x14ac:dyDescent="0.4">
      <c r="A183" s="7" t="s">
        <v>98</v>
      </c>
      <c r="B183" s="85" t="s">
        <v>703</v>
      </c>
      <c r="C183" s="8">
        <v>15565</v>
      </c>
      <c r="D183" s="9">
        <v>463548380</v>
      </c>
      <c r="E183" s="57">
        <v>30</v>
      </c>
      <c r="F183" s="10" t="s">
        <v>155</v>
      </c>
      <c r="G183" s="88">
        <v>700</v>
      </c>
      <c r="H183" s="70">
        <f t="shared" si="2"/>
        <v>23.333333333333332</v>
      </c>
      <c r="I183" s="11">
        <v>46070</v>
      </c>
      <c r="J183" s="11">
        <v>46066</v>
      </c>
      <c r="K183" s="8"/>
    </row>
    <row r="184" spans="1:11" ht="18" x14ac:dyDescent="0.4">
      <c r="A184" s="7" t="s">
        <v>98</v>
      </c>
      <c r="B184" s="85" t="s">
        <v>703</v>
      </c>
      <c r="C184" s="8">
        <v>15565</v>
      </c>
      <c r="D184" s="9">
        <v>463496640</v>
      </c>
      <c r="E184" s="57">
        <v>30</v>
      </c>
      <c r="F184" s="10" t="s">
        <v>155</v>
      </c>
      <c r="G184" s="88">
        <v>700</v>
      </c>
      <c r="H184" s="70">
        <f t="shared" si="2"/>
        <v>23.333333333333332</v>
      </c>
      <c r="I184" s="11">
        <v>46070</v>
      </c>
      <c r="J184" s="11">
        <v>46066</v>
      </c>
      <c r="K184" s="13"/>
    </row>
    <row r="185" spans="1:11" ht="18" x14ac:dyDescent="0.4">
      <c r="A185" s="7" t="s">
        <v>98</v>
      </c>
      <c r="B185" s="85" t="s">
        <v>169</v>
      </c>
      <c r="C185" s="8">
        <v>31610</v>
      </c>
      <c r="D185" s="9">
        <v>463595330</v>
      </c>
      <c r="E185" s="57">
        <v>40</v>
      </c>
      <c r="F185" s="10" t="s">
        <v>711</v>
      </c>
      <c r="G185" s="88">
        <v>0</v>
      </c>
      <c r="H185" s="70">
        <v>0</v>
      </c>
      <c r="I185" s="11">
        <v>46070</v>
      </c>
      <c r="J185" s="11">
        <v>46008</v>
      </c>
      <c r="K185" s="8"/>
    </row>
    <row r="186" spans="1:11" ht="18" x14ac:dyDescent="0.4">
      <c r="A186" s="7" t="s">
        <v>98</v>
      </c>
      <c r="B186" s="85" t="s">
        <v>169</v>
      </c>
      <c r="C186" s="8">
        <v>31610</v>
      </c>
      <c r="D186" s="9">
        <v>552822380</v>
      </c>
      <c r="E186" s="57">
        <v>600</v>
      </c>
      <c r="F186" s="10" t="s">
        <v>170</v>
      </c>
      <c r="G186" s="88">
        <v>0</v>
      </c>
      <c r="H186" s="70">
        <f t="shared" si="2"/>
        <v>0</v>
      </c>
      <c r="I186" s="11">
        <v>46070</v>
      </c>
      <c r="J186" s="11">
        <v>46066</v>
      </c>
      <c r="K186" s="13"/>
    </row>
    <row r="187" spans="1:11" ht="18" x14ac:dyDescent="0.4">
      <c r="A187" s="7" t="s">
        <v>98</v>
      </c>
      <c r="B187" s="85" t="s">
        <v>169</v>
      </c>
      <c r="C187" s="8">
        <v>31610</v>
      </c>
      <c r="D187" s="9">
        <v>463572030</v>
      </c>
      <c r="E187" s="57">
        <v>600</v>
      </c>
      <c r="F187" s="10" t="s">
        <v>171</v>
      </c>
      <c r="G187" s="88">
        <v>0</v>
      </c>
      <c r="H187" s="70">
        <f t="shared" si="2"/>
        <v>0</v>
      </c>
      <c r="I187" s="11">
        <v>46070</v>
      </c>
      <c r="J187" s="11">
        <v>46066</v>
      </c>
      <c r="K187" s="13"/>
    </row>
    <row r="188" spans="1:11" ht="18" x14ac:dyDescent="0.4">
      <c r="A188" s="7" t="s">
        <v>98</v>
      </c>
      <c r="B188" s="85" t="s">
        <v>169</v>
      </c>
      <c r="C188" s="8">
        <v>31610</v>
      </c>
      <c r="D188" s="9">
        <v>463572050</v>
      </c>
      <c r="E188" s="57">
        <v>600</v>
      </c>
      <c r="F188" s="10" t="s">
        <v>172</v>
      </c>
      <c r="G188" s="88">
        <v>0</v>
      </c>
      <c r="H188" s="70">
        <f t="shared" si="2"/>
        <v>0</v>
      </c>
      <c r="I188" s="11">
        <v>46070</v>
      </c>
      <c r="J188" s="11">
        <v>46066</v>
      </c>
      <c r="K188" s="13"/>
    </row>
    <row r="189" spans="1:11" ht="18" x14ac:dyDescent="0.4">
      <c r="A189" s="7" t="s">
        <v>98</v>
      </c>
      <c r="B189" s="85" t="s">
        <v>169</v>
      </c>
      <c r="C189" s="8">
        <v>31610</v>
      </c>
      <c r="D189" s="9">
        <v>552823560</v>
      </c>
      <c r="E189" s="57">
        <v>600</v>
      </c>
      <c r="F189" s="10" t="s">
        <v>173</v>
      </c>
      <c r="G189" s="88">
        <v>0</v>
      </c>
      <c r="H189" s="70">
        <f t="shared" si="2"/>
        <v>0</v>
      </c>
      <c r="I189" s="11">
        <v>46070</v>
      </c>
      <c r="J189" s="11">
        <v>46066</v>
      </c>
      <c r="K189" s="13"/>
    </row>
    <row r="190" spans="1:11" ht="18" x14ac:dyDescent="0.4">
      <c r="A190" s="7" t="s">
        <v>98</v>
      </c>
      <c r="B190" s="85" t="s">
        <v>169</v>
      </c>
      <c r="C190" s="8">
        <v>31610</v>
      </c>
      <c r="D190" s="9">
        <v>463572040</v>
      </c>
      <c r="E190" s="57">
        <v>600</v>
      </c>
      <c r="F190" s="10" t="s">
        <v>174</v>
      </c>
      <c r="G190" s="88">
        <v>0</v>
      </c>
      <c r="H190" s="70">
        <f t="shared" si="2"/>
        <v>0</v>
      </c>
      <c r="I190" s="11">
        <v>46070</v>
      </c>
      <c r="J190" s="11">
        <v>46066</v>
      </c>
      <c r="K190" s="13"/>
    </row>
    <row r="191" spans="1:11" ht="18" x14ac:dyDescent="0.4">
      <c r="A191" s="7" t="s">
        <v>98</v>
      </c>
      <c r="B191" s="85" t="s">
        <v>169</v>
      </c>
      <c r="C191" s="8">
        <v>31610</v>
      </c>
      <c r="D191" s="9">
        <v>463595330</v>
      </c>
      <c r="E191" s="57">
        <v>600</v>
      </c>
      <c r="F191" s="10" t="s">
        <v>175</v>
      </c>
      <c r="G191" s="88">
        <v>0</v>
      </c>
      <c r="H191" s="70">
        <f t="shared" si="2"/>
        <v>0</v>
      </c>
      <c r="I191" s="11">
        <v>46070</v>
      </c>
      <c r="J191" s="11">
        <v>46066</v>
      </c>
      <c r="K191" s="13"/>
    </row>
    <row r="192" spans="1:11" ht="18" x14ac:dyDescent="0.4">
      <c r="A192" s="7" t="s">
        <v>98</v>
      </c>
      <c r="B192" s="85" t="s">
        <v>176</v>
      </c>
      <c r="C192" s="8">
        <v>50111</v>
      </c>
      <c r="D192" s="9">
        <v>552833910</v>
      </c>
      <c r="E192" s="57">
        <v>9000</v>
      </c>
      <c r="F192" s="10" t="s">
        <v>177</v>
      </c>
      <c r="G192" s="88">
        <v>0</v>
      </c>
      <c r="H192" s="70">
        <f t="shared" si="2"/>
        <v>0</v>
      </c>
      <c r="I192" s="11">
        <v>46070</v>
      </c>
      <c r="J192" s="11">
        <v>46066</v>
      </c>
      <c r="K192" s="13"/>
    </row>
    <row r="193" spans="1:11" ht="18" x14ac:dyDescent="0.4">
      <c r="A193" s="7" t="s">
        <v>98</v>
      </c>
      <c r="B193" s="85" t="s">
        <v>178</v>
      </c>
      <c r="C193" s="8">
        <v>56589</v>
      </c>
      <c r="D193" s="9">
        <v>463384907</v>
      </c>
      <c r="E193" s="57">
        <v>30</v>
      </c>
      <c r="F193" s="10" t="s">
        <v>179</v>
      </c>
      <c r="G193" s="88">
        <v>600</v>
      </c>
      <c r="H193" s="70">
        <f t="shared" si="2"/>
        <v>20</v>
      </c>
      <c r="I193" s="11">
        <v>46070</v>
      </c>
      <c r="J193" s="11">
        <v>46066</v>
      </c>
      <c r="K193" s="13"/>
    </row>
    <row r="194" spans="1:11" ht="18" x14ac:dyDescent="0.4">
      <c r="A194" s="7" t="s">
        <v>98</v>
      </c>
      <c r="B194" s="85" t="s">
        <v>178</v>
      </c>
      <c r="C194" s="8">
        <v>56589</v>
      </c>
      <c r="D194" s="9">
        <v>463384997</v>
      </c>
      <c r="E194" s="57">
        <v>30</v>
      </c>
      <c r="F194" s="10" t="s">
        <v>180</v>
      </c>
      <c r="G194" s="88">
        <v>600</v>
      </c>
      <c r="H194" s="70">
        <f t="shared" si="2"/>
        <v>20</v>
      </c>
      <c r="I194" s="11">
        <v>46070</v>
      </c>
      <c r="J194" s="11">
        <v>46066</v>
      </c>
      <c r="K194" s="13"/>
    </row>
    <row r="195" spans="1:11" ht="18" x14ac:dyDescent="0.4">
      <c r="A195" s="7" t="s">
        <v>98</v>
      </c>
      <c r="B195" s="85" t="s">
        <v>181</v>
      </c>
      <c r="C195" s="8">
        <v>50050</v>
      </c>
      <c r="D195" s="9">
        <v>463529270</v>
      </c>
      <c r="E195" s="57">
        <v>432</v>
      </c>
      <c r="F195" s="10" t="s">
        <v>182</v>
      </c>
      <c r="G195" s="88">
        <v>1728</v>
      </c>
      <c r="H195" s="70">
        <f t="shared" si="2"/>
        <v>4</v>
      </c>
      <c r="I195" s="11">
        <v>46070</v>
      </c>
      <c r="J195" s="11">
        <v>46066</v>
      </c>
      <c r="K195" s="13"/>
    </row>
    <row r="196" spans="1:11" ht="18" x14ac:dyDescent="0.4">
      <c r="A196" s="7" t="s">
        <v>98</v>
      </c>
      <c r="B196" s="85" t="s">
        <v>183</v>
      </c>
      <c r="C196" s="8">
        <v>30467</v>
      </c>
      <c r="D196" s="9">
        <v>552806540</v>
      </c>
      <c r="E196" s="57">
        <v>1200</v>
      </c>
      <c r="F196" s="10" t="s">
        <v>184</v>
      </c>
      <c r="G196" s="88">
        <v>0</v>
      </c>
      <c r="H196" s="70">
        <f t="shared" si="2"/>
        <v>0</v>
      </c>
      <c r="I196" s="11">
        <v>46070</v>
      </c>
      <c r="J196" s="11">
        <v>46066</v>
      </c>
      <c r="K196" s="13"/>
    </row>
    <row r="197" spans="1:11" ht="18" x14ac:dyDescent="0.4">
      <c r="A197" s="7" t="s">
        <v>98</v>
      </c>
      <c r="B197" s="85" t="s">
        <v>183</v>
      </c>
      <c r="C197" s="8">
        <v>30467</v>
      </c>
      <c r="D197" s="9">
        <v>463389730</v>
      </c>
      <c r="E197" s="57">
        <v>400</v>
      </c>
      <c r="F197" s="10" t="s">
        <v>185</v>
      </c>
      <c r="G197" s="88">
        <v>0</v>
      </c>
      <c r="H197" s="70">
        <f t="shared" si="2"/>
        <v>0</v>
      </c>
      <c r="I197" s="11">
        <v>46070</v>
      </c>
      <c r="J197" s="11">
        <v>46066</v>
      </c>
      <c r="K197" s="13"/>
    </row>
    <row r="198" spans="1:11" ht="18" x14ac:dyDescent="0.4">
      <c r="A198" s="7" t="s">
        <v>98</v>
      </c>
      <c r="B198" s="85" t="s">
        <v>183</v>
      </c>
      <c r="C198" s="8">
        <v>30467</v>
      </c>
      <c r="D198" s="9">
        <v>463532630</v>
      </c>
      <c r="E198" s="57">
        <v>250</v>
      </c>
      <c r="F198" s="10" t="s">
        <v>187</v>
      </c>
      <c r="G198" s="88">
        <v>0</v>
      </c>
      <c r="H198" s="70">
        <f t="shared" si="2"/>
        <v>0</v>
      </c>
      <c r="I198" s="11">
        <v>46070</v>
      </c>
      <c r="J198" s="11">
        <v>46066</v>
      </c>
      <c r="K198" s="13"/>
    </row>
    <row r="199" spans="1:11" ht="18" x14ac:dyDescent="0.4">
      <c r="A199" s="7" t="s">
        <v>98</v>
      </c>
      <c r="B199" s="85" t="s">
        <v>183</v>
      </c>
      <c r="C199" s="8">
        <v>30467</v>
      </c>
      <c r="D199" s="9">
        <v>552821810</v>
      </c>
      <c r="E199" s="57">
        <v>350</v>
      </c>
      <c r="F199" s="10" t="s">
        <v>188</v>
      </c>
      <c r="G199" s="88">
        <v>0</v>
      </c>
      <c r="H199" s="70">
        <f t="shared" si="2"/>
        <v>0</v>
      </c>
      <c r="I199" s="11">
        <v>46070</v>
      </c>
      <c r="J199" s="11">
        <v>46066</v>
      </c>
      <c r="K199" s="13"/>
    </row>
    <row r="200" spans="1:11" ht="18" x14ac:dyDescent="0.4">
      <c r="A200" s="7" t="s">
        <v>98</v>
      </c>
      <c r="B200" s="52" t="s">
        <v>189</v>
      </c>
      <c r="C200" s="49">
        <v>5934</v>
      </c>
      <c r="D200" s="50">
        <v>463384870</v>
      </c>
      <c r="E200" s="49">
        <v>1000</v>
      </c>
      <c r="F200" s="51" t="s">
        <v>190</v>
      </c>
      <c r="G200" s="88">
        <v>0</v>
      </c>
      <c r="H200" s="70">
        <f t="shared" si="2"/>
        <v>0</v>
      </c>
      <c r="I200" s="11">
        <v>46070</v>
      </c>
      <c r="J200" s="11">
        <v>46066</v>
      </c>
      <c r="K200" s="13"/>
    </row>
    <row r="201" spans="1:11" ht="18" x14ac:dyDescent="0.4">
      <c r="A201" s="7" t="s">
        <v>98</v>
      </c>
      <c r="B201" s="52" t="s">
        <v>189</v>
      </c>
      <c r="C201" s="49">
        <v>5934</v>
      </c>
      <c r="D201" s="50">
        <v>463516230</v>
      </c>
      <c r="E201" s="49">
        <v>80</v>
      </c>
      <c r="F201" s="51" t="s">
        <v>191</v>
      </c>
      <c r="G201" s="88">
        <v>0</v>
      </c>
      <c r="H201" s="70">
        <f t="shared" si="2"/>
        <v>0</v>
      </c>
      <c r="I201" s="11">
        <v>46070</v>
      </c>
      <c r="J201" s="11">
        <v>46066</v>
      </c>
      <c r="K201" s="13"/>
    </row>
    <row r="202" spans="1:11" ht="18" x14ac:dyDescent="0.4">
      <c r="A202" s="7" t="s">
        <v>98</v>
      </c>
      <c r="B202" s="85" t="s">
        <v>189</v>
      </c>
      <c r="C202" s="8">
        <v>5934</v>
      </c>
      <c r="D202" s="9">
        <v>552841160</v>
      </c>
      <c r="E202" s="57">
        <v>1000</v>
      </c>
      <c r="F202" s="10" t="s">
        <v>192</v>
      </c>
      <c r="G202" s="88">
        <v>0</v>
      </c>
      <c r="H202" s="70">
        <f t="shared" si="2"/>
        <v>0</v>
      </c>
      <c r="I202" s="11">
        <v>46070</v>
      </c>
      <c r="J202" s="11">
        <v>46066</v>
      </c>
      <c r="K202" s="13"/>
    </row>
    <row r="203" spans="1:11" ht="18" x14ac:dyDescent="0.4">
      <c r="A203" s="7" t="s">
        <v>98</v>
      </c>
      <c r="B203" s="85" t="s">
        <v>193</v>
      </c>
      <c r="C203" s="8">
        <v>19414</v>
      </c>
      <c r="D203" s="9">
        <v>463532640</v>
      </c>
      <c r="E203" s="57">
        <v>1100</v>
      </c>
      <c r="F203" s="10" t="s">
        <v>194</v>
      </c>
      <c r="G203" s="88">
        <v>0</v>
      </c>
      <c r="H203" s="70">
        <f t="shared" si="2"/>
        <v>0</v>
      </c>
      <c r="I203" s="11">
        <v>46070</v>
      </c>
      <c r="J203" s="11">
        <v>46066</v>
      </c>
      <c r="K203" s="13"/>
    </row>
    <row r="204" spans="1:11" ht="18" x14ac:dyDescent="0.4">
      <c r="A204" s="7" t="s">
        <v>98</v>
      </c>
      <c r="B204" s="85" t="s">
        <v>193</v>
      </c>
      <c r="C204" s="8">
        <v>19414</v>
      </c>
      <c r="D204" s="9">
        <v>463532650</v>
      </c>
      <c r="E204" s="57">
        <v>800</v>
      </c>
      <c r="F204" s="10" t="s">
        <v>195</v>
      </c>
      <c r="G204" s="88">
        <v>0</v>
      </c>
      <c r="H204" s="70">
        <f t="shared" si="2"/>
        <v>0</v>
      </c>
      <c r="I204" s="11">
        <v>46070</v>
      </c>
      <c r="J204" s="11">
        <v>46066</v>
      </c>
      <c r="K204" s="13"/>
    </row>
    <row r="205" spans="1:11" ht="18" x14ac:dyDescent="0.4">
      <c r="A205" s="7" t="s">
        <v>98</v>
      </c>
      <c r="B205" s="85" t="s">
        <v>193</v>
      </c>
      <c r="C205" s="8">
        <v>19414</v>
      </c>
      <c r="D205" s="9">
        <v>162970240</v>
      </c>
      <c r="E205" s="57">
        <v>500</v>
      </c>
      <c r="F205" s="10" t="s">
        <v>196</v>
      </c>
      <c r="G205" s="88">
        <v>0</v>
      </c>
      <c r="H205" s="70">
        <f t="shared" si="2"/>
        <v>0</v>
      </c>
      <c r="I205" s="11">
        <v>46070</v>
      </c>
      <c r="J205" s="11">
        <v>46066</v>
      </c>
      <c r="K205" s="13"/>
    </row>
    <row r="206" spans="1:11" ht="18" x14ac:dyDescent="0.4">
      <c r="A206" s="7" t="s">
        <v>98</v>
      </c>
      <c r="B206" s="85" t="s">
        <v>197</v>
      </c>
      <c r="C206" s="8">
        <v>1020</v>
      </c>
      <c r="D206" s="9">
        <v>463379748</v>
      </c>
      <c r="E206" s="57">
        <v>18</v>
      </c>
      <c r="F206" s="10" t="s">
        <v>198</v>
      </c>
      <c r="G206" s="88">
        <v>0</v>
      </c>
      <c r="H206" s="70">
        <f t="shared" si="2"/>
        <v>0</v>
      </c>
      <c r="I206" s="11">
        <v>46070</v>
      </c>
      <c r="J206" s="11">
        <v>46066</v>
      </c>
      <c r="K206" s="13"/>
    </row>
    <row r="207" spans="1:11" ht="18" x14ac:dyDescent="0.4">
      <c r="A207" s="7" t="s">
        <v>98</v>
      </c>
      <c r="B207" s="85" t="s">
        <v>197</v>
      </c>
      <c r="C207" s="8">
        <v>1020</v>
      </c>
      <c r="D207" s="9">
        <v>463379778</v>
      </c>
      <c r="E207" s="57">
        <v>18</v>
      </c>
      <c r="F207" s="10" t="s">
        <v>199</v>
      </c>
      <c r="G207" s="88">
        <v>0</v>
      </c>
      <c r="H207" s="70">
        <f t="shared" si="2"/>
        <v>0</v>
      </c>
      <c r="I207" s="11">
        <v>46070</v>
      </c>
      <c r="J207" s="11">
        <v>46066</v>
      </c>
      <c r="K207" s="13"/>
    </row>
    <row r="208" spans="1:11" ht="18" x14ac:dyDescent="0.4">
      <c r="A208" s="7" t="s">
        <v>98</v>
      </c>
      <c r="B208" s="85" t="s">
        <v>200</v>
      </c>
      <c r="C208" s="8">
        <v>1073</v>
      </c>
      <c r="D208" s="9">
        <v>463576288</v>
      </c>
      <c r="E208" s="57">
        <v>27</v>
      </c>
      <c r="F208" s="10" t="s">
        <v>201</v>
      </c>
      <c r="G208" s="88">
        <v>400</v>
      </c>
      <c r="H208" s="70">
        <f t="shared" si="2"/>
        <v>14.814814814814815</v>
      </c>
      <c r="I208" s="11">
        <v>46070</v>
      </c>
      <c r="J208" s="11">
        <v>46066</v>
      </c>
      <c r="K208" s="13"/>
    </row>
    <row r="209" spans="1:11" ht="18" x14ac:dyDescent="0.4">
      <c r="A209" s="7" t="s">
        <v>98</v>
      </c>
      <c r="B209" s="85" t="s">
        <v>200</v>
      </c>
      <c r="C209" s="8">
        <v>1073</v>
      </c>
      <c r="D209" s="9">
        <v>463576277</v>
      </c>
      <c r="E209" s="57">
        <v>36</v>
      </c>
      <c r="F209" s="10" t="s">
        <v>202</v>
      </c>
      <c r="G209" s="88">
        <v>541</v>
      </c>
      <c r="H209" s="70">
        <f t="shared" si="2"/>
        <v>15.027777777777779</v>
      </c>
      <c r="I209" s="11">
        <v>46070</v>
      </c>
      <c r="J209" s="11">
        <v>46066</v>
      </c>
      <c r="K209" s="13"/>
    </row>
    <row r="210" spans="1:11" ht="18" x14ac:dyDescent="0.4">
      <c r="A210" s="7" t="s">
        <v>98</v>
      </c>
      <c r="B210" s="85" t="s">
        <v>197</v>
      </c>
      <c r="C210" s="8">
        <v>1020</v>
      </c>
      <c r="D210" s="9">
        <v>463384927</v>
      </c>
      <c r="E210" s="57">
        <v>32</v>
      </c>
      <c r="F210" s="10" t="s">
        <v>203</v>
      </c>
      <c r="G210" s="88">
        <v>320</v>
      </c>
      <c r="H210" s="70">
        <f t="shared" si="2"/>
        <v>10</v>
      </c>
      <c r="I210" s="11">
        <v>46070</v>
      </c>
      <c r="J210" s="11">
        <v>46066</v>
      </c>
      <c r="K210" s="13"/>
    </row>
    <row r="211" spans="1:11" ht="18" x14ac:dyDescent="0.4">
      <c r="A211" s="7" t="s">
        <v>98</v>
      </c>
      <c r="B211" s="85" t="s">
        <v>197</v>
      </c>
      <c r="C211" s="8">
        <v>1020</v>
      </c>
      <c r="D211" s="9">
        <v>463489077</v>
      </c>
      <c r="E211" s="57">
        <v>32</v>
      </c>
      <c r="F211" s="10" t="s">
        <v>204</v>
      </c>
      <c r="G211" s="88">
        <v>320</v>
      </c>
      <c r="H211" s="70">
        <f t="shared" si="2"/>
        <v>10</v>
      </c>
      <c r="I211" s="11">
        <v>46070</v>
      </c>
      <c r="J211" s="11">
        <v>46066</v>
      </c>
      <c r="K211" s="13"/>
    </row>
    <row r="212" spans="1:11" ht="18" x14ac:dyDescent="0.4">
      <c r="A212" s="7" t="s">
        <v>98</v>
      </c>
      <c r="B212" s="85" t="s">
        <v>205</v>
      </c>
      <c r="C212" s="8">
        <v>11431</v>
      </c>
      <c r="D212" s="9">
        <v>463526240</v>
      </c>
      <c r="E212" s="57">
        <v>800</v>
      </c>
      <c r="F212" s="10" t="s">
        <v>206</v>
      </c>
      <c r="G212" s="88">
        <v>0</v>
      </c>
      <c r="H212" s="70">
        <f t="shared" si="2"/>
        <v>0</v>
      </c>
      <c r="I212" s="11">
        <v>46070</v>
      </c>
      <c r="J212" s="11">
        <v>46066</v>
      </c>
      <c r="K212" s="13"/>
    </row>
    <row r="213" spans="1:11" ht="18" x14ac:dyDescent="0.4">
      <c r="A213" s="7" t="s">
        <v>98</v>
      </c>
      <c r="B213" s="85" t="s">
        <v>205</v>
      </c>
      <c r="C213" s="8">
        <v>11431</v>
      </c>
      <c r="D213" s="9">
        <v>463496660</v>
      </c>
      <c r="E213" s="57">
        <v>800</v>
      </c>
      <c r="F213" s="10" t="s">
        <v>206</v>
      </c>
      <c r="G213" s="88">
        <v>1800</v>
      </c>
      <c r="H213" s="70">
        <f t="shared" si="2"/>
        <v>2.25</v>
      </c>
      <c r="I213" s="11">
        <v>46070</v>
      </c>
      <c r="J213" s="11">
        <v>46066</v>
      </c>
      <c r="K213" s="13"/>
    </row>
    <row r="214" spans="1:11" ht="18" x14ac:dyDescent="0.4">
      <c r="A214" s="7" t="s">
        <v>98</v>
      </c>
      <c r="B214" s="85" t="s">
        <v>205</v>
      </c>
      <c r="C214" s="8">
        <v>11431</v>
      </c>
      <c r="D214" s="9">
        <v>463492670</v>
      </c>
      <c r="E214" s="57">
        <v>800</v>
      </c>
      <c r="F214" s="10" t="s">
        <v>206</v>
      </c>
      <c r="G214" s="88">
        <v>1800</v>
      </c>
      <c r="H214" s="70">
        <f t="shared" si="2"/>
        <v>2.25</v>
      </c>
      <c r="I214" s="11">
        <v>46070</v>
      </c>
      <c r="J214" s="11">
        <v>46066</v>
      </c>
      <c r="K214" s="13"/>
    </row>
    <row r="215" spans="1:11" ht="18" x14ac:dyDescent="0.4">
      <c r="A215" s="7" t="s">
        <v>98</v>
      </c>
      <c r="B215" s="85" t="s">
        <v>207</v>
      </c>
      <c r="C215" s="8">
        <v>14928</v>
      </c>
      <c r="D215" s="9">
        <v>463556950</v>
      </c>
      <c r="E215" s="57">
        <v>40</v>
      </c>
      <c r="F215" s="10" t="s">
        <v>208</v>
      </c>
      <c r="G215" s="88">
        <v>0</v>
      </c>
      <c r="H215" s="70">
        <f t="shared" si="2"/>
        <v>0</v>
      </c>
      <c r="I215" s="11">
        <v>46070</v>
      </c>
      <c r="J215" s="11">
        <v>46066</v>
      </c>
      <c r="K215" s="13"/>
    </row>
    <row r="216" spans="1:11" ht="18" x14ac:dyDescent="0.4">
      <c r="A216" s="7" t="s">
        <v>98</v>
      </c>
      <c r="B216" s="85" t="s">
        <v>207</v>
      </c>
      <c r="C216" s="8">
        <v>14928</v>
      </c>
      <c r="D216" s="9">
        <v>463526220</v>
      </c>
      <c r="E216" s="57">
        <v>40</v>
      </c>
      <c r="F216" s="10" t="s">
        <v>209</v>
      </c>
      <c r="G216" s="88">
        <v>0</v>
      </c>
      <c r="H216" s="70">
        <f t="shared" si="2"/>
        <v>0</v>
      </c>
      <c r="I216" s="11">
        <v>46070</v>
      </c>
      <c r="J216" s="11">
        <v>46066</v>
      </c>
      <c r="K216" s="13"/>
    </row>
    <row r="217" spans="1:11" ht="18" x14ac:dyDescent="0.4">
      <c r="A217" s="7" t="s">
        <v>98</v>
      </c>
      <c r="B217" s="85" t="s">
        <v>207</v>
      </c>
      <c r="C217" s="8">
        <v>14928</v>
      </c>
      <c r="D217" s="9">
        <v>463496630</v>
      </c>
      <c r="E217" s="57">
        <v>40</v>
      </c>
      <c r="F217" s="10" t="s">
        <v>210</v>
      </c>
      <c r="G217" s="88">
        <v>0</v>
      </c>
      <c r="H217" s="70">
        <f t="shared" si="2"/>
        <v>0</v>
      </c>
      <c r="I217" s="11">
        <v>46070</v>
      </c>
      <c r="J217" s="11">
        <v>46066</v>
      </c>
      <c r="K217" s="13"/>
    </row>
    <row r="218" spans="1:11" ht="18" x14ac:dyDescent="0.4">
      <c r="A218" s="7" t="s">
        <v>98</v>
      </c>
      <c r="B218" s="85" t="s">
        <v>207</v>
      </c>
      <c r="C218" s="8">
        <v>14928</v>
      </c>
      <c r="D218" s="9">
        <v>463358702</v>
      </c>
      <c r="E218" s="57">
        <v>100</v>
      </c>
      <c r="F218" s="10" t="s">
        <v>211</v>
      </c>
      <c r="G218" s="88">
        <v>0</v>
      </c>
      <c r="H218" s="70">
        <f t="shared" si="2"/>
        <v>0</v>
      </c>
      <c r="I218" s="11">
        <v>46070</v>
      </c>
      <c r="J218" s="11">
        <v>46066</v>
      </c>
      <c r="K218" s="13"/>
    </row>
    <row r="219" spans="1:11" ht="18" x14ac:dyDescent="0.4">
      <c r="A219" s="7" t="s">
        <v>98</v>
      </c>
      <c r="B219" s="85" t="s">
        <v>207</v>
      </c>
      <c r="C219" s="8">
        <v>14928</v>
      </c>
      <c r="D219" s="9">
        <v>463564010</v>
      </c>
      <c r="E219" s="57">
        <v>100</v>
      </c>
      <c r="F219" s="10" t="s">
        <v>212</v>
      </c>
      <c r="G219" s="88">
        <v>0</v>
      </c>
      <c r="H219" s="70">
        <f t="shared" si="2"/>
        <v>0</v>
      </c>
      <c r="I219" s="11">
        <v>46070</v>
      </c>
      <c r="J219" s="11">
        <v>46066</v>
      </c>
      <c r="K219" s="13"/>
    </row>
    <row r="220" spans="1:11" ht="18" x14ac:dyDescent="0.4">
      <c r="A220" s="7" t="s">
        <v>98</v>
      </c>
      <c r="B220" s="85" t="s">
        <v>207</v>
      </c>
      <c r="C220" s="8">
        <v>14928</v>
      </c>
      <c r="D220" s="9">
        <v>463383610</v>
      </c>
      <c r="E220" s="57">
        <v>40</v>
      </c>
      <c r="F220" s="10" t="s">
        <v>213</v>
      </c>
      <c r="G220" s="88">
        <v>0</v>
      </c>
      <c r="H220" s="70">
        <f t="shared" ref="H220:H287" si="3">+G220/E220</f>
        <v>0</v>
      </c>
      <c r="I220" s="11">
        <v>46070</v>
      </c>
      <c r="J220" s="11">
        <v>46066</v>
      </c>
      <c r="K220" s="13"/>
    </row>
    <row r="221" spans="1:11" ht="18" x14ac:dyDescent="0.4">
      <c r="A221" s="7" t="s">
        <v>98</v>
      </c>
      <c r="B221" s="85" t="s">
        <v>214</v>
      </c>
      <c r="C221" s="8">
        <v>21342</v>
      </c>
      <c r="D221" s="9">
        <v>463485520</v>
      </c>
      <c r="E221" s="57">
        <v>480</v>
      </c>
      <c r="F221" s="10" t="s">
        <v>215</v>
      </c>
      <c r="G221" s="88">
        <v>1440</v>
      </c>
      <c r="H221" s="70">
        <f t="shared" si="3"/>
        <v>3</v>
      </c>
      <c r="I221" s="11">
        <v>46070</v>
      </c>
      <c r="J221" s="11">
        <v>46066</v>
      </c>
      <c r="K221" s="13"/>
    </row>
    <row r="222" spans="1:11" ht="18" x14ac:dyDescent="0.4">
      <c r="A222" s="7" t="s">
        <v>98</v>
      </c>
      <c r="B222" s="85" t="s">
        <v>214</v>
      </c>
      <c r="C222" s="8">
        <v>21342</v>
      </c>
      <c r="D222" s="9">
        <v>463496650</v>
      </c>
      <c r="E222" s="57">
        <v>25</v>
      </c>
      <c r="F222" s="10" t="s">
        <v>216</v>
      </c>
      <c r="G222" s="88">
        <v>1500</v>
      </c>
      <c r="H222" s="70">
        <f t="shared" si="3"/>
        <v>60</v>
      </c>
      <c r="I222" s="11">
        <v>46070</v>
      </c>
      <c r="J222" s="11">
        <v>46066</v>
      </c>
      <c r="K222" s="13"/>
    </row>
    <row r="223" spans="1:11" ht="18" x14ac:dyDescent="0.4">
      <c r="A223" s="7" t="s">
        <v>98</v>
      </c>
      <c r="B223" s="85" t="s">
        <v>214</v>
      </c>
      <c r="C223" s="8">
        <v>21342</v>
      </c>
      <c r="D223" s="9">
        <v>463581750</v>
      </c>
      <c r="E223" s="57">
        <v>25</v>
      </c>
      <c r="F223" s="10" t="s">
        <v>216</v>
      </c>
      <c r="G223" s="88">
        <v>0</v>
      </c>
      <c r="H223" s="70">
        <f t="shared" si="3"/>
        <v>0</v>
      </c>
      <c r="I223" s="11">
        <v>46070</v>
      </c>
      <c r="J223" s="11">
        <v>46066</v>
      </c>
      <c r="K223" s="13"/>
    </row>
    <row r="224" spans="1:11" ht="18" x14ac:dyDescent="0.4">
      <c r="A224" s="7" t="s">
        <v>98</v>
      </c>
      <c r="B224" s="85" t="s">
        <v>214</v>
      </c>
      <c r="C224" s="8">
        <v>21342</v>
      </c>
      <c r="D224" s="9">
        <v>463491660</v>
      </c>
      <c r="E224" s="57">
        <v>300</v>
      </c>
      <c r="F224" s="10" t="s">
        <v>217</v>
      </c>
      <c r="G224" s="88">
        <v>0</v>
      </c>
      <c r="H224" s="70">
        <f t="shared" si="3"/>
        <v>0</v>
      </c>
      <c r="I224" s="11">
        <v>46070</v>
      </c>
      <c r="J224" s="11">
        <v>46066</v>
      </c>
      <c r="K224" s="13"/>
    </row>
    <row r="225" spans="1:11" ht="18" x14ac:dyDescent="0.4">
      <c r="A225" s="7" t="s">
        <v>98</v>
      </c>
      <c r="B225" s="85" t="s">
        <v>218</v>
      </c>
      <c r="C225" s="8">
        <v>23480</v>
      </c>
      <c r="D225" s="9">
        <v>552849890</v>
      </c>
      <c r="E225" s="57">
        <v>180</v>
      </c>
      <c r="F225" s="10" t="s">
        <v>219</v>
      </c>
      <c r="G225" s="88">
        <v>0</v>
      </c>
      <c r="H225" s="70">
        <f t="shared" si="3"/>
        <v>0</v>
      </c>
      <c r="I225" s="11">
        <v>46070</v>
      </c>
      <c r="J225" s="11">
        <v>46066</v>
      </c>
      <c r="K225" s="13"/>
    </row>
    <row r="226" spans="1:11" ht="18" x14ac:dyDescent="0.4">
      <c r="A226" s="7" t="s">
        <v>98</v>
      </c>
      <c r="B226" s="85" t="s">
        <v>218</v>
      </c>
      <c r="C226" s="8">
        <v>23480</v>
      </c>
      <c r="D226" s="9">
        <v>463357980</v>
      </c>
      <c r="E226" s="57">
        <v>1000</v>
      </c>
      <c r="F226" s="10" t="s">
        <v>712</v>
      </c>
      <c r="G226" s="88">
        <v>0</v>
      </c>
      <c r="H226" s="70">
        <f t="shared" si="3"/>
        <v>0</v>
      </c>
      <c r="I226" s="11">
        <v>46070</v>
      </c>
      <c r="J226" s="11">
        <v>46066</v>
      </c>
      <c r="K226" s="13"/>
    </row>
    <row r="227" spans="1:11" ht="18" x14ac:dyDescent="0.4">
      <c r="A227" s="7" t="s">
        <v>98</v>
      </c>
      <c r="B227" s="85" t="s">
        <v>218</v>
      </c>
      <c r="C227" s="8">
        <v>23480</v>
      </c>
      <c r="D227" s="9">
        <v>463482030</v>
      </c>
      <c r="E227" s="57">
        <v>200</v>
      </c>
      <c r="F227" s="10" t="s">
        <v>221</v>
      </c>
      <c r="G227" s="88">
        <v>0</v>
      </c>
      <c r="H227" s="70">
        <f t="shared" si="3"/>
        <v>0</v>
      </c>
      <c r="I227" s="11">
        <v>46070</v>
      </c>
      <c r="J227" s="11">
        <v>46066</v>
      </c>
      <c r="K227" s="13"/>
    </row>
    <row r="228" spans="1:11" ht="18" x14ac:dyDescent="0.4">
      <c r="A228" s="7" t="s">
        <v>98</v>
      </c>
      <c r="B228" s="85" t="s">
        <v>218</v>
      </c>
      <c r="C228" s="8">
        <v>23480</v>
      </c>
      <c r="D228" s="9">
        <v>144576860</v>
      </c>
      <c r="E228" s="57">
        <v>1500</v>
      </c>
      <c r="F228" s="10" t="s">
        <v>713</v>
      </c>
      <c r="G228" s="88">
        <v>0</v>
      </c>
      <c r="H228" s="70">
        <f t="shared" si="3"/>
        <v>0</v>
      </c>
      <c r="I228" s="11">
        <v>46070</v>
      </c>
      <c r="J228" s="11">
        <v>46066</v>
      </c>
      <c r="K228" s="13"/>
    </row>
    <row r="229" spans="1:11" ht="18" x14ac:dyDescent="0.4">
      <c r="A229" s="7" t="s">
        <v>98</v>
      </c>
      <c r="B229" s="85" t="s">
        <v>218</v>
      </c>
      <c r="C229" s="8">
        <v>23481</v>
      </c>
      <c r="D229" s="9">
        <v>463526250</v>
      </c>
      <c r="E229" s="57">
        <v>500</v>
      </c>
      <c r="F229" s="10" t="s">
        <v>224</v>
      </c>
      <c r="G229" s="88">
        <v>0</v>
      </c>
      <c r="H229" s="70">
        <f t="shared" si="3"/>
        <v>0</v>
      </c>
      <c r="I229" s="11">
        <v>46070</v>
      </c>
      <c r="J229" s="11">
        <v>46066</v>
      </c>
      <c r="K229" s="13"/>
    </row>
    <row r="230" spans="1:11" ht="18" x14ac:dyDescent="0.4">
      <c r="A230" s="7" t="s">
        <v>98</v>
      </c>
      <c r="B230" s="85" t="s">
        <v>218</v>
      </c>
      <c r="C230" s="8">
        <v>23481</v>
      </c>
      <c r="D230" s="9">
        <v>463399250</v>
      </c>
      <c r="E230" s="57">
        <v>500</v>
      </c>
      <c r="F230" s="10" t="s">
        <v>224</v>
      </c>
      <c r="G230" s="88">
        <v>0</v>
      </c>
      <c r="H230" s="70">
        <f t="shared" si="3"/>
        <v>0</v>
      </c>
      <c r="I230" s="11">
        <v>46070</v>
      </c>
      <c r="J230" s="11">
        <v>46066</v>
      </c>
      <c r="K230" s="13"/>
    </row>
    <row r="231" spans="1:11" ht="18" x14ac:dyDescent="0.4">
      <c r="A231" s="7" t="s">
        <v>98</v>
      </c>
      <c r="B231" s="85" t="s">
        <v>225</v>
      </c>
      <c r="C231" s="8">
        <v>27986</v>
      </c>
      <c r="D231" s="9">
        <v>463526190</v>
      </c>
      <c r="E231" s="57">
        <v>400</v>
      </c>
      <c r="F231" s="10" t="s">
        <v>226</v>
      </c>
      <c r="G231" s="88">
        <v>0</v>
      </c>
      <c r="H231" s="70">
        <f t="shared" si="3"/>
        <v>0</v>
      </c>
      <c r="I231" s="11">
        <v>46070</v>
      </c>
      <c r="J231" s="11">
        <v>46066</v>
      </c>
      <c r="K231" s="13"/>
    </row>
    <row r="232" spans="1:11" ht="18" x14ac:dyDescent="0.4">
      <c r="A232" s="7" t="s">
        <v>98</v>
      </c>
      <c r="B232" s="85" t="s">
        <v>225</v>
      </c>
      <c r="C232" s="8">
        <v>27986</v>
      </c>
      <c r="D232" s="9">
        <v>463524600</v>
      </c>
      <c r="E232" s="57">
        <v>500</v>
      </c>
      <c r="F232" s="10" t="s">
        <v>227</v>
      </c>
      <c r="G232" s="88">
        <v>0</v>
      </c>
      <c r="H232" s="70">
        <f t="shared" si="3"/>
        <v>0</v>
      </c>
      <c r="I232" s="11">
        <v>46070</v>
      </c>
      <c r="J232" s="11">
        <v>46066</v>
      </c>
      <c r="K232" s="13"/>
    </row>
    <row r="233" spans="1:11" ht="18" x14ac:dyDescent="0.4">
      <c r="A233" s="7" t="s">
        <v>98</v>
      </c>
      <c r="B233" s="85" t="s">
        <v>225</v>
      </c>
      <c r="C233" s="8">
        <v>27986</v>
      </c>
      <c r="D233" s="9">
        <v>552849810</v>
      </c>
      <c r="E233" s="57">
        <v>500</v>
      </c>
      <c r="F233" s="10" t="s">
        <v>228</v>
      </c>
      <c r="G233" s="88">
        <v>0</v>
      </c>
      <c r="H233" s="70">
        <f t="shared" si="3"/>
        <v>0</v>
      </c>
      <c r="I233" s="11">
        <v>46070</v>
      </c>
      <c r="J233" s="11">
        <v>46066</v>
      </c>
      <c r="K233" s="13"/>
    </row>
    <row r="234" spans="1:11" ht="18" x14ac:dyDescent="0.4">
      <c r="A234" s="7" t="s">
        <v>98</v>
      </c>
      <c r="B234" s="85" t="s">
        <v>225</v>
      </c>
      <c r="C234" s="8">
        <v>27986</v>
      </c>
      <c r="D234" s="9">
        <v>463355140</v>
      </c>
      <c r="E234" s="57">
        <v>500</v>
      </c>
      <c r="F234" s="10" t="s">
        <v>228</v>
      </c>
      <c r="G234" s="88">
        <v>0</v>
      </c>
      <c r="H234" s="70">
        <f t="shared" si="3"/>
        <v>0</v>
      </c>
      <c r="I234" s="11">
        <v>46070</v>
      </c>
      <c r="J234" s="11">
        <v>46066</v>
      </c>
      <c r="K234" s="13"/>
    </row>
    <row r="235" spans="1:11" ht="18" x14ac:dyDescent="0.4">
      <c r="A235" s="7" t="s">
        <v>98</v>
      </c>
      <c r="B235" s="85" t="s">
        <v>229</v>
      </c>
      <c r="C235" s="8">
        <v>32059</v>
      </c>
      <c r="D235" s="9">
        <v>552822590</v>
      </c>
      <c r="E235" s="57">
        <v>2800</v>
      </c>
      <c r="F235" s="10" t="s">
        <v>230</v>
      </c>
      <c r="G235" s="88">
        <v>0</v>
      </c>
      <c r="H235" s="70">
        <f t="shared" si="3"/>
        <v>0</v>
      </c>
      <c r="I235" s="11">
        <v>46070</v>
      </c>
      <c r="J235" s="11">
        <v>46066</v>
      </c>
      <c r="K235" s="13"/>
    </row>
    <row r="236" spans="1:11" ht="18" x14ac:dyDescent="0.4">
      <c r="A236" s="7" t="s">
        <v>98</v>
      </c>
      <c r="B236" s="85" t="s">
        <v>231</v>
      </c>
      <c r="C236" s="8">
        <v>32572</v>
      </c>
      <c r="D236" s="9">
        <v>552820870</v>
      </c>
      <c r="E236" s="57">
        <v>720</v>
      </c>
      <c r="F236" s="10" t="s">
        <v>232</v>
      </c>
      <c r="G236" s="88">
        <v>7200</v>
      </c>
      <c r="H236" s="70">
        <f t="shared" si="3"/>
        <v>10</v>
      </c>
      <c r="I236" s="11">
        <v>46070</v>
      </c>
      <c r="J236" s="11">
        <v>46066</v>
      </c>
      <c r="K236" s="13"/>
    </row>
    <row r="237" spans="1:11" ht="18" x14ac:dyDescent="0.4">
      <c r="A237" s="7" t="s">
        <v>98</v>
      </c>
      <c r="B237" s="85" t="s">
        <v>714</v>
      </c>
      <c r="C237" s="8">
        <v>33518</v>
      </c>
      <c r="D237" s="9">
        <v>463496670</v>
      </c>
      <c r="E237" s="57">
        <v>48</v>
      </c>
      <c r="F237" s="10" t="s">
        <v>236</v>
      </c>
      <c r="G237" s="88">
        <v>480</v>
      </c>
      <c r="H237" s="70">
        <f t="shared" si="3"/>
        <v>10</v>
      </c>
      <c r="I237" s="11">
        <v>46070</v>
      </c>
      <c r="J237" s="11">
        <v>46066</v>
      </c>
      <c r="K237" s="13"/>
    </row>
    <row r="238" spans="1:11" ht="18" x14ac:dyDescent="0.4">
      <c r="A238" s="7" t="s">
        <v>98</v>
      </c>
      <c r="B238" s="85" t="s">
        <v>714</v>
      </c>
      <c r="C238" s="8">
        <v>33518</v>
      </c>
      <c r="D238" s="9">
        <v>463433880</v>
      </c>
      <c r="E238" s="57">
        <v>48</v>
      </c>
      <c r="F238" s="10" t="s">
        <v>237</v>
      </c>
      <c r="G238" s="88">
        <v>480</v>
      </c>
      <c r="H238" s="70">
        <f t="shared" si="3"/>
        <v>10</v>
      </c>
      <c r="I238" s="11">
        <v>46070</v>
      </c>
      <c r="J238" s="11">
        <v>46066</v>
      </c>
      <c r="K238" s="13"/>
    </row>
    <row r="239" spans="1:11" ht="18" x14ac:dyDescent="0.4">
      <c r="A239" s="7" t="s">
        <v>98</v>
      </c>
      <c r="B239" s="85" t="s">
        <v>715</v>
      </c>
      <c r="C239" s="8">
        <v>58696</v>
      </c>
      <c r="D239" s="9">
        <v>463495790</v>
      </c>
      <c r="E239" s="57">
        <v>1200</v>
      </c>
      <c r="F239" s="10" t="s">
        <v>239</v>
      </c>
      <c r="G239" s="88">
        <v>0</v>
      </c>
      <c r="H239" s="70">
        <f t="shared" si="3"/>
        <v>0</v>
      </c>
      <c r="I239" s="11">
        <v>46070</v>
      </c>
      <c r="J239" s="11">
        <v>46066</v>
      </c>
      <c r="K239" s="13"/>
    </row>
    <row r="240" spans="1:11" ht="18" x14ac:dyDescent="0.4">
      <c r="A240" s="7" t="s">
        <v>98</v>
      </c>
      <c r="B240" s="85" t="s">
        <v>697</v>
      </c>
      <c r="C240" s="8">
        <v>47104</v>
      </c>
      <c r="D240" s="9">
        <v>552840970</v>
      </c>
      <c r="E240" s="57">
        <v>240</v>
      </c>
      <c r="F240" s="10" t="s">
        <v>240</v>
      </c>
      <c r="G240" s="88">
        <v>960</v>
      </c>
      <c r="H240" s="70">
        <f t="shared" si="3"/>
        <v>4</v>
      </c>
      <c r="I240" s="11">
        <v>46070</v>
      </c>
      <c r="J240" s="11">
        <v>46066</v>
      </c>
      <c r="K240" s="13"/>
    </row>
    <row r="241" spans="1:11" ht="18" x14ac:dyDescent="0.4">
      <c r="A241" s="7" t="s">
        <v>98</v>
      </c>
      <c r="B241" s="85" t="s">
        <v>697</v>
      </c>
      <c r="C241" s="8">
        <v>47104</v>
      </c>
      <c r="D241" s="9">
        <v>552840960</v>
      </c>
      <c r="E241" s="57">
        <v>240</v>
      </c>
      <c r="F241" s="10" t="s">
        <v>241</v>
      </c>
      <c r="G241" s="88">
        <v>960</v>
      </c>
      <c r="H241" s="70">
        <f t="shared" si="3"/>
        <v>4</v>
      </c>
      <c r="I241" s="11">
        <v>46070</v>
      </c>
      <c r="J241" s="11">
        <v>46066</v>
      </c>
      <c r="K241" s="13"/>
    </row>
    <row r="242" spans="1:11" ht="18" x14ac:dyDescent="0.4">
      <c r="A242" s="7" t="s">
        <v>98</v>
      </c>
      <c r="B242" s="85" t="s">
        <v>716</v>
      </c>
      <c r="C242" s="8">
        <v>35657</v>
      </c>
      <c r="D242" s="9">
        <v>463370940</v>
      </c>
      <c r="E242" s="57">
        <v>500</v>
      </c>
      <c r="F242" s="10" t="s">
        <v>243</v>
      </c>
      <c r="G242" s="88">
        <v>0</v>
      </c>
      <c r="H242" s="70">
        <f t="shared" si="3"/>
        <v>0</v>
      </c>
      <c r="I242" s="11">
        <v>46070</v>
      </c>
      <c r="J242" s="11">
        <v>46066</v>
      </c>
      <c r="K242" s="13"/>
    </row>
    <row r="243" spans="1:11" ht="18" x14ac:dyDescent="0.4">
      <c r="A243" s="7" t="s">
        <v>98</v>
      </c>
      <c r="B243" s="85" t="s">
        <v>716</v>
      </c>
      <c r="C243" s="8">
        <v>35657</v>
      </c>
      <c r="D243" s="9">
        <v>463488490</v>
      </c>
      <c r="E243" s="57">
        <v>500</v>
      </c>
      <c r="F243" s="10" t="s">
        <v>243</v>
      </c>
      <c r="G243" s="88">
        <v>0</v>
      </c>
      <c r="H243" s="70">
        <f t="shared" si="3"/>
        <v>0</v>
      </c>
      <c r="I243" s="11">
        <v>46070</v>
      </c>
      <c r="J243" s="11">
        <v>46066</v>
      </c>
      <c r="K243" s="13"/>
    </row>
    <row r="244" spans="1:11" ht="18" x14ac:dyDescent="0.4">
      <c r="A244" s="7" t="s">
        <v>98</v>
      </c>
      <c r="B244" s="85" t="s">
        <v>244</v>
      </c>
      <c r="C244" s="8">
        <v>40840</v>
      </c>
      <c r="D244" s="9">
        <v>552822730</v>
      </c>
      <c r="E244" s="57">
        <v>750</v>
      </c>
      <c r="F244" s="10" t="s">
        <v>245</v>
      </c>
      <c r="G244" s="88">
        <v>0</v>
      </c>
      <c r="H244" s="70">
        <f t="shared" si="3"/>
        <v>0</v>
      </c>
      <c r="I244" s="11">
        <v>46070</v>
      </c>
      <c r="J244" s="11">
        <v>46066</v>
      </c>
      <c r="K244" s="13"/>
    </row>
    <row r="245" spans="1:11" ht="18" x14ac:dyDescent="0.4">
      <c r="A245" s="7" t="s">
        <v>98</v>
      </c>
      <c r="B245" s="85" t="s">
        <v>244</v>
      </c>
      <c r="C245" s="8">
        <v>40840</v>
      </c>
      <c r="D245" s="9">
        <v>552822450</v>
      </c>
      <c r="E245" s="57">
        <v>700</v>
      </c>
      <c r="F245" s="10" t="s">
        <v>717</v>
      </c>
      <c r="G245" s="88">
        <v>0</v>
      </c>
      <c r="H245" s="70">
        <f t="shared" si="3"/>
        <v>0</v>
      </c>
      <c r="I245" s="11">
        <v>46070</v>
      </c>
      <c r="J245" s="11">
        <v>46066</v>
      </c>
      <c r="K245" s="13"/>
    </row>
    <row r="246" spans="1:11" ht="18" x14ac:dyDescent="0.4">
      <c r="A246" s="7" t="s">
        <v>98</v>
      </c>
      <c r="B246" s="85" t="s">
        <v>244</v>
      </c>
      <c r="C246" s="8">
        <v>40840</v>
      </c>
      <c r="D246" s="9">
        <v>552822810</v>
      </c>
      <c r="E246" s="57">
        <v>400</v>
      </c>
      <c r="F246" s="10" t="s">
        <v>247</v>
      </c>
      <c r="G246" s="88">
        <v>0</v>
      </c>
      <c r="H246" s="70">
        <f t="shared" si="3"/>
        <v>0</v>
      </c>
      <c r="I246" s="11">
        <v>46070</v>
      </c>
      <c r="J246" s="11">
        <v>46066</v>
      </c>
      <c r="K246" s="13"/>
    </row>
    <row r="247" spans="1:11" ht="18" x14ac:dyDescent="0.4">
      <c r="A247" s="7" t="s">
        <v>98</v>
      </c>
      <c r="B247" s="85" t="s">
        <v>244</v>
      </c>
      <c r="C247" s="8">
        <v>40840</v>
      </c>
      <c r="D247" s="9">
        <v>463384870</v>
      </c>
      <c r="E247" s="57">
        <v>500</v>
      </c>
      <c r="F247" s="10" t="s">
        <v>718</v>
      </c>
      <c r="G247" s="88">
        <v>0</v>
      </c>
      <c r="H247" s="70">
        <f t="shared" si="3"/>
        <v>0</v>
      </c>
      <c r="I247" s="11">
        <v>46070</v>
      </c>
      <c r="J247" s="11">
        <v>46066</v>
      </c>
      <c r="K247" s="13"/>
    </row>
    <row r="248" spans="1:11" ht="18" x14ac:dyDescent="0.4">
      <c r="A248" s="32" t="s">
        <v>98</v>
      </c>
      <c r="B248" s="87" t="s">
        <v>244</v>
      </c>
      <c r="C248" s="33">
        <v>40840</v>
      </c>
      <c r="D248" s="34">
        <v>162970240</v>
      </c>
      <c r="E248" s="62">
        <v>250</v>
      </c>
      <c r="F248" s="35" t="s">
        <v>196</v>
      </c>
      <c r="G248" s="89">
        <v>0</v>
      </c>
      <c r="H248" s="70">
        <f t="shared" si="3"/>
        <v>0</v>
      </c>
      <c r="I248" s="55">
        <v>46070</v>
      </c>
      <c r="J248" s="55">
        <v>46066</v>
      </c>
      <c r="K248" s="56"/>
    </row>
    <row r="249" spans="1:11" ht="18" x14ac:dyDescent="0.4">
      <c r="A249" s="7" t="s">
        <v>0</v>
      </c>
      <c r="B249" s="60" t="s">
        <v>248</v>
      </c>
      <c r="C249" s="57">
        <v>72958</v>
      </c>
      <c r="D249" s="70">
        <v>463526030</v>
      </c>
      <c r="E249" s="57">
        <v>120</v>
      </c>
      <c r="F249" s="71" t="s">
        <v>249</v>
      </c>
      <c r="G249" s="91">
        <v>0</v>
      </c>
      <c r="H249" s="70">
        <f t="shared" si="3"/>
        <v>0</v>
      </c>
      <c r="I249" s="53">
        <v>46070</v>
      </c>
      <c r="J249" s="53">
        <v>46066</v>
      </c>
      <c r="K249" s="21"/>
    </row>
    <row r="250" spans="1:11" ht="18" x14ac:dyDescent="0.4">
      <c r="A250" s="7" t="s">
        <v>0</v>
      </c>
      <c r="B250" s="60" t="s">
        <v>248</v>
      </c>
      <c r="C250" s="57">
        <v>72958</v>
      </c>
      <c r="D250" s="70">
        <v>463523670</v>
      </c>
      <c r="E250" s="57">
        <v>120</v>
      </c>
      <c r="F250" s="71" t="s">
        <v>249</v>
      </c>
      <c r="G250" s="61">
        <v>0</v>
      </c>
      <c r="H250" s="70">
        <f t="shared" si="3"/>
        <v>0</v>
      </c>
      <c r="I250" s="53">
        <v>46070</v>
      </c>
      <c r="J250" s="53">
        <v>46066</v>
      </c>
      <c r="K250" s="21"/>
    </row>
    <row r="251" spans="1:11" ht="18" x14ac:dyDescent="0.4">
      <c r="A251" s="7" t="s">
        <v>0</v>
      </c>
      <c r="B251" s="60" t="s">
        <v>248</v>
      </c>
      <c r="C251" s="57">
        <v>72958</v>
      </c>
      <c r="D251" s="70">
        <v>463523680</v>
      </c>
      <c r="E251" s="57">
        <v>120</v>
      </c>
      <c r="F251" s="71" t="s">
        <v>249</v>
      </c>
      <c r="G251" s="61">
        <v>0</v>
      </c>
      <c r="H251" s="70">
        <f t="shared" si="3"/>
        <v>0</v>
      </c>
      <c r="I251" s="53">
        <v>46070</v>
      </c>
      <c r="J251" s="53">
        <v>46066</v>
      </c>
      <c r="K251" s="21"/>
    </row>
    <row r="252" spans="1:11" ht="18" x14ac:dyDescent="0.4">
      <c r="A252" s="7" t="s">
        <v>0</v>
      </c>
      <c r="B252" s="60" t="s">
        <v>248</v>
      </c>
      <c r="C252" s="57">
        <v>72958</v>
      </c>
      <c r="D252" s="70">
        <v>463524370</v>
      </c>
      <c r="E252" s="57">
        <v>120</v>
      </c>
      <c r="F252" s="71" t="s">
        <v>249</v>
      </c>
      <c r="G252" s="61">
        <v>0</v>
      </c>
      <c r="H252" s="70">
        <f t="shared" si="3"/>
        <v>0</v>
      </c>
      <c r="I252" s="53">
        <v>46070</v>
      </c>
      <c r="J252" s="53">
        <v>46066</v>
      </c>
      <c r="K252" s="7"/>
    </row>
    <row r="253" spans="1:11" ht="18" x14ac:dyDescent="0.4">
      <c r="A253" s="7" t="s">
        <v>0</v>
      </c>
      <c r="B253" s="60" t="s">
        <v>248</v>
      </c>
      <c r="C253" s="57">
        <v>72958</v>
      </c>
      <c r="D253" s="70">
        <v>463524380</v>
      </c>
      <c r="E253" s="57">
        <v>120</v>
      </c>
      <c r="F253" s="71" t="s">
        <v>249</v>
      </c>
      <c r="G253" s="61">
        <v>0</v>
      </c>
      <c r="H253" s="70">
        <f t="shared" si="3"/>
        <v>0</v>
      </c>
      <c r="I253" s="53">
        <v>46070</v>
      </c>
      <c r="J253" s="53">
        <v>46066</v>
      </c>
      <c r="K253" s="7"/>
    </row>
    <row r="254" spans="1:11" ht="18" x14ac:dyDescent="0.4">
      <c r="A254" s="7" t="s">
        <v>0</v>
      </c>
      <c r="B254" s="60" t="s">
        <v>250</v>
      </c>
      <c r="C254" s="57">
        <v>37866</v>
      </c>
      <c r="D254" s="70">
        <v>463453590</v>
      </c>
      <c r="E254" s="57">
        <v>120</v>
      </c>
      <c r="F254" s="71" t="s">
        <v>249</v>
      </c>
      <c r="G254" s="61">
        <v>0</v>
      </c>
      <c r="H254" s="70">
        <f t="shared" si="3"/>
        <v>0</v>
      </c>
      <c r="I254" s="53">
        <v>46070</v>
      </c>
      <c r="J254" s="53">
        <v>46066</v>
      </c>
      <c r="K254" s="21"/>
    </row>
    <row r="255" spans="1:11" ht="18" x14ac:dyDescent="0.4">
      <c r="A255" s="7" t="s">
        <v>0</v>
      </c>
      <c r="B255" s="81" t="s">
        <v>250</v>
      </c>
      <c r="C255" s="57">
        <v>37866</v>
      </c>
      <c r="D255" s="70">
        <v>463453600</v>
      </c>
      <c r="E255" s="57">
        <v>120</v>
      </c>
      <c r="F255" s="71" t="s">
        <v>251</v>
      </c>
      <c r="G255" s="61">
        <v>0</v>
      </c>
      <c r="H255" s="70">
        <f t="shared" si="3"/>
        <v>0</v>
      </c>
      <c r="I255" s="53">
        <v>46070</v>
      </c>
      <c r="J255" s="53">
        <v>46066</v>
      </c>
      <c r="K255" s="21"/>
    </row>
    <row r="256" spans="1:11" ht="18" x14ac:dyDescent="0.4">
      <c r="A256" s="7" t="s">
        <v>0</v>
      </c>
      <c r="B256" s="81" t="s">
        <v>250</v>
      </c>
      <c r="C256" s="57">
        <v>37866</v>
      </c>
      <c r="D256" s="70">
        <v>463453610</v>
      </c>
      <c r="E256" s="57">
        <v>120</v>
      </c>
      <c r="F256" s="71" t="s">
        <v>252</v>
      </c>
      <c r="G256" s="61">
        <v>0</v>
      </c>
      <c r="H256" s="70">
        <f t="shared" si="3"/>
        <v>0</v>
      </c>
      <c r="I256" s="53">
        <v>46070</v>
      </c>
      <c r="J256" s="53">
        <v>46066</v>
      </c>
      <c r="K256" s="21"/>
    </row>
    <row r="257" spans="1:11" ht="18" x14ac:dyDescent="0.4">
      <c r="A257" s="7" t="s">
        <v>0</v>
      </c>
      <c r="B257" s="81" t="s">
        <v>250</v>
      </c>
      <c r="C257" s="57">
        <v>37866</v>
      </c>
      <c r="D257" s="70">
        <v>463453620</v>
      </c>
      <c r="E257" s="57">
        <v>120</v>
      </c>
      <c r="F257" s="71" t="s">
        <v>253</v>
      </c>
      <c r="G257" s="61">
        <v>0</v>
      </c>
      <c r="H257" s="70">
        <f t="shared" si="3"/>
        <v>0</v>
      </c>
      <c r="I257" s="53">
        <v>46070</v>
      </c>
      <c r="J257" s="53">
        <v>46066</v>
      </c>
      <c r="K257" s="21"/>
    </row>
    <row r="258" spans="1:11" ht="18" x14ac:dyDescent="0.4">
      <c r="A258" s="7" t="s">
        <v>0</v>
      </c>
      <c r="B258" s="81" t="s">
        <v>250</v>
      </c>
      <c r="C258" s="57">
        <v>37866</v>
      </c>
      <c r="D258" s="70">
        <v>463453580</v>
      </c>
      <c r="E258" s="57">
        <v>120</v>
      </c>
      <c r="F258" s="71" t="s">
        <v>249</v>
      </c>
      <c r="G258" s="61">
        <v>0</v>
      </c>
      <c r="H258" s="70">
        <f t="shared" si="3"/>
        <v>0</v>
      </c>
      <c r="I258" s="53">
        <v>46070</v>
      </c>
      <c r="J258" s="53">
        <v>46066</v>
      </c>
      <c r="K258" s="7"/>
    </row>
    <row r="259" spans="1:11" ht="18" x14ac:dyDescent="0.4">
      <c r="A259" s="7" t="s">
        <v>0</v>
      </c>
      <c r="B259" s="81" t="s">
        <v>250</v>
      </c>
      <c r="C259" s="57">
        <v>37866</v>
      </c>
      <c r="D259" s="70">
        <v>463453570</v>
      </c>
      <c r="E259" s="57">
        <v>120</v>
      </c>
      <c r="F259" s="71" t="s">
        <v>249</v>
      </c>
      <c r="G259" s="61">
        <v>0</v>
      </c>
      <c r="H259" s="70">
        <f t="shared" si="3"/>
        <v>0</v>
      </c>
      <c r="I259" s="53">
        <v>46070</v>
      </c>
      <c r="J259" s="53">
        <v>46066</v>
      </c>
      <c r="K259" s="21"/>
    </row>
    <row r="260" spans="1:11" ht="18" x14ac:dyDescent="0.4">
      <c r="A260" s="7" t="s">
        <v>0</v>
      </c>
      <c r="B260" s="81" t="s">
        <v>250</v>
      </c>
      <c r="C260" s="57">
        <v>37866</v>
      </c>
      <c r="D260" s="70">
        <v>463522020</v>
      </c>
      <c r="E260" s="57">
        <v>120</v>
      </c>
      <c r="F260" s="71" t="s">
        <v>249</v>
      </c>
      <c r="G260" s="61">
        <v>0</v>
      </c>
      <c r="H260" s="70">
        <f t="shared" si="3"/>
        <v>0</v>
      </c>
      <c r="I260" s="53">
        <v>46070</v>
      </c>
      <c r="J260" s="53">
        <v>46066</v>
      </c>
      <c r="K260" s="21"/>
    </row>
    <row r="261" spans="1:11" ht="18" x14ac:dyDescent="0.4">
      <c r="A261" s="7" t="s">
        <v>0</v>
      </c>
      <c r="B261" s="81" t="s">
        <v>250</v>
      </c>
      <c r="C261" s="57">
        <v>37866</v>
      </c>
      <c r="D261" s="70">
        <v>463522030</v>
      </c>
      <c r="E261" s="57">
        <v>120</v>
      </c>
      <c r="F261" s="71" t="s">
        <v>249</v>
      </c>
      <c r="G261" s="61">
        <v>0</v>
      </c>
      <c r="H261" s="70">
        <f t="shared" si="3"/>
        <v>0</v>
      </c>
      <c r="I261" s="53">
        <v>46070</v>
      </c>
      <c r="J261" s="53">
        <v>46066</v>
      </c>
      <c r="K261" s="7"/>
    </row>
    <row r="262" spans="1:11" ht="18" x14ac:dyDescent="0.4">
      <c r="A262" s="7" t="s">
        <v>0</v>
      </c>
      <c r="B262" s="81" t="s">
        <v>254</v>
      </c>
      <c r="C262" s="57">
        <v>1097</v>
      </c>
      <c r="D262" s="70">
        <v>552172560</v>
      </c>
      <c r="E262" s="57">
        <v>32</v>
      </c>
      <c r="F262" s="71" t="s">
        <v>255</v>
      </c>
      <c r="G262" s="61">
        <v>0</v>
      </c>
      <c r="H262" s="70">
        <f t="shared" si="3"/>
        <v>0</v>
      </c>
      <c r="I262" s="53">
        <v>46070</v>
      </c>
      <c r="J262" s="53">
        <v>46066</v>
      </c>
      <c r="K262" s="21"/>
    </row>
    <row r="263" spans="1:11" ht="18" x14ac:dyDescent="0.4">
      <c r="A263" s="7" t="s">
        <v>0</v>
      </c>
      <c r="B263" s="60" t="s">
        <v>254</v>
      </c>
      <c r="C263" s="57">
        <v>1097</v>
      </c>
      <c r="D263" s="70">
        <v>552172570</v>
      </c>
      <c r="E263" s="57">
        <v>32</v>
      </c>
      <c r="F263" s="71" t="s">
        <v>256</v>
      </c>
      <c r="G263" s="61">
        <v>0</v>
      </c>
      <c r="H263" s="70">
        <f t="shared" si="3"/>
        <v>0</v>
      </c>
      <c r="I263" s="53">
        <v>46070</v>
      </c>
      <c r="J263" s="53">
        <v>46066</v>
      </c>
      <c r="K263" s="21"/>
    </row>
    <row r="264" spans="1:11" ht="18" x14ac:dyDescent="0.4">
      <c r="A264" s="7" t="s">
        <v>0</v>
      </c>
      <c r="B264" s="60" t="s">
        <v>254</v>
      </c>
      <c r="C264" s="57">
        <v>1097</v>
      </c>
      <c r="D264" s="70">
        <v>463497420</v>
      </c>
      <c r="E264" s="57">
        <v>32</v>
      </c>
      <c r="F264" s="71" t="s">
        <v>257</v>
      </c>
      <c r="G264" s="61">
        <v>0</v>
      </c>
      <c r="H264" s="70">
        <f t="shared" si="3"/>
        <v>0</v>
      </c>
      <c r="I264" s="53">
        <v>46070</v>
      </c>
      <c r="J264" s="53">
        <v>46066</v>
      </c>
      <c r="K264" s="21"/>
    </row>
    <row r="265" spans="1:11" ht="18" x14ac:dyDescent="0.4">
      <c r="A265" s="7" t="s">
        <v>0</v>
      </c>
      <c r="B265" s="60" t="s">
        <v>254</v>
      </c>
      <c r="C265" s="57">
        <v>1097</v>
      </c>
      <c r="D265" s="70">
        <v>463497440</v>
      </c>
      <c r="E265" s="57">
        <v>32</v>
      </c>
      <c r="F265" s="71" t="s">
        <v>258</v>
      </c>
      <c r="G265" s="61">
        <v>0</v>
      </c>
      <c r="H265" s="70">
        <f t="shared" si="3"/>
        <v>0</v>
      </c>
      <c r="I265" s="53">
        <v>46070</v>
      </c>
      <c r="J265" s="53">
        <v>46066</v>
      </c>
      <c r="K265" s="21"/>
    </row>
    <row r="266" spans="1:11" ht="18" x14ac:dyDescent="0.4">
      <c r="A266" s="7" t="s">
        <v>0</v>
      </c>
      <c r="B266" s="60" t="s">
        <v>254</v>
      </c>
      <c r="C266" s="57">
        <v>1097</v>
      </c>
      <c r="D266" s="70">
        <v>552168990</v>
      </c>
      <c r="E266" s="57">
        <v>32</v>
      </c>
      <c r="F266" s="71" t="s">
        <v>257</v>
      </c>
      <c r="G266" s="61">
        <v>0</v>
      </c>
      <c r="H266" s="70">
        <f t="shared" si="3"/>
        <v>0</v>
      </c>
      <c r="I266" s="53">
        <v>46070</v>
      </c>
      <c r="J266" s="53">
        <v>46066</v>
      </c>
      <c r="K266" s="21"/>
    </row>
    <row r="267" spans="1:11" ht="18" x14ac:dyDescent="0.4">
      <c r="A267" s="7" t="s">
        <v>0</v>
      </c>
      <c r="B267" s="60" t="s">
        <v>254</v>
      </c>
      <c r="C267" s="57">
        <v>1097</v>
      </c>
      <c r="D267" s="70">
        <v>463478520</v>
      </c>
      <c r="E267" s="57">
        <v>32</v>
      </c>
      <c r="F267" s="71" t="s">
        <v>259</v>
      </c>
      <c r="G267" s="61">
        <v>0</v>
      </c>
      <c r="H267" s="70">
        <f t="shared" si="3"/>
        <v>0</v>
      </c>
      <c r="I267" s="53">
        <v>46070</v>
      </c>
      <c r="J267" s="53">
        <v>46066</v>
      </c>
      <c r="K267" s="21"/>
    </row>
    <row r="268" spans="1:11" ht="18" x14ac:dyDescent="0.4">
      <c r="A268" s="7" t="s">
        <v>0</v>
      </c>
      <c r="B268" s="60" t="s">
        <v>254</v>
      </c>
      <c r="C268" s="57">
        <v>1097</v>
      </c>
      <c r="D268" s="70">
        <v>463478480</v>
      </c>
      <c r="E268" s="57">
        <v>32</v>
      </c>
      <c r="F268" s="71" t="s">
        <v>260</v>
      </c>
      <c r="G268" s="61">
        <v>0</v>
      </c>
      <c r="H268" s="70">
        <f t="shared" si="3"/>
        <v>0</v>
      </c>
      <c r="I268" s="53">
        <v>46070</v>
      </c>
      <c r="J268" s="53">
        <v>46066</v>
      </c>
      <c r="K268" s="21"/>
    </row>
    <row r="269" spans="1:11" ht="18" x14ac:dyDescent="0.4">
      <c r="A269" s="7" t="s">
        <v>0</v>
      </c>
      <c r="B269" s="60" t="s">
        <v>254</v>
      </c>
      <c r="C269" s="57">
        <v>1097</v>
      </c>
      <c r="D269" s="70">
        <v>463478560</v>
      </c>
      <c r="E269" s="57">
        <v>32</v>
      </c>
      <c r="F269" s="71" t="s">
        <v>261</v>
      </c>
      <c r="G269" s="61">
        <v>0</v>
      </c>
      <c r="H269" s="70">
        <f t="shared" si="3"/>
        <v>0</v>
      </c>
      <c r="I269" s="53">
        <v>46070</v>
      </c>
      <c r="J269" s="53">
        <v>46066</v>
      </c>
      <c r="K269" s="21"/>
    </row>
    <row r="270" spans="1:11" ht="18" x14ac:dyDescent="0.4">
      <c r="A270" s="7" t="s">
        <v>0</v>
      </c>
      <c r="B270" s="60" t="s">
        <v>254</v>
      </c>
      <c r="C270" s="57">
        <v>1097</v>
      </c>
      <c r="D270" s="70">
        <v>463478590</v>
      </c>
      <c r="E270" s="57">
        <v>32</v>
      </c>
      <c r="F270" s="71" t="s">
        <v>262</v>
      </c>
      <c r="G270" s="61">
        <v>0</v>
      </c>
      <c r="H270" s="70">
        <f t="shared" si="3"/>
        <v>0</v>
      </c>
      <c r="I270" s="53">
        <v>46070</v>
      </c>
      <c r="J270" s="53">
        <v>46066</v>
      </c>
      <c r="K270" s="7"/>
    </row>
    <row r="271" spans="1:11" ht="18" x14ac:dyDescent="0.4">
      <c r="A271" s="7" t="s">
        <v>0</v>
      </c>
      <c r="B271" s="60" t="s">
        <v>254</v>
      </c>
      <c r="C271" s="57">
        <v>1097</v>
      </c>
      <c r="D271" s="70">
        <v>463526890</v>
      </c>
      <c r="E271" s="57">
        <v>32</v>
      </c>
      <c r="F271" s="71" t="s">
        <v>263</v>
      </c>
      <c r="G271" s="61">
        <v>0</v>
      </c>
      <c r="H271" s="70">
        <f t="shared" si="3"/>
        <v>0</v>
      </c>
      <c r="I271" s="53">
        <v>46070</v>
      </c>
      <c r="J271" s="53">
        <v>46066</v>
      </c>
      <c r="K271" s="7"/>
    </row>
    <row r="272" spans="1:11" ht="18" x14ac:dyDescent="0.4">
      <c r="A272" s="7" t="s">
        <v>0</v>
      </c>
      <c r="B272" s="60" t="s">
        <v>254</v>
      </c>
      <c r="C272" s="57">
        <v>1097</v>
      </c>
      <c r="D272" s="70">
        <v>463534080</v>
      </c>
      <c r="E272" s="57">
        <v>32</v>
      </c>
      <c r="F272" s="71" t="s">
        <v>263</v>
      </c>
      <c r="G272" s="61">
        <v>0</v>
      </c>
      <c r="H272" s="70">
        <f t="shared" si="3"/>
        <v>0</v>
      </c>
      <c r="I272" s="53">
        <v>46070</v>
      </c>
      <c r="J272" s="53">
        <v>46066</v>
      </c>
      <c r="K272" s="21"/>
    </row>
    <row r="273" spans="1:11" ht="18" x14ac:dyDescent="0.4">
      <c r="A273" s="7" t="s">
        <v>0</v>
      </c>
      <c r="B273" s="60" t="s">
        <v>264</v>
      </c>
      <c r="C273" s="7">
        <v>39667</v>
      </c>
      <c r="D273" s="9">
        <v>552809780</v>
      </c>
      <c r="E273" s="7">
        <v>360</v>
      </c>
      <c r="F273" s="19" t="s">
        <v>265</v>
      </c>
      <c r="G273" s="61">
        <v>0</v>
      </c>
      <c r="H273" s="70">
        <f t="shared" si="3"/>
        <v>0</v>
      </c>
      <c r="I273" s="53">
        <v>46070</v>
      </c>
      <c r="J273" s="53">
        <v>46066</v>
      </c>
      <c r="K273" s="21"/>
    </row>
    <row r="274" spans="1:11" ht="18" x14ac:dyDescent="0.4">
      <c r="A274" s="7" t="s">
        <v>0</v>
      </c>
      <c r="B274" s="81" t="s">
        <v>266</v>
      </c>
      <c r="C274" s="57">
        <v>35281</v>
      </c>
      <c r="D274" s="70">
        <v>521498190</v>
      </c>
      <c r="E274" s="57">
        <v>100</v>
      </c>
      <c r="F274" s="71" t="s">
        <v>267</v>
      </c>
      <c r="G274" s="61">
        <v>0</v>
      </c>
      <c r="H274" s="70">
        <f t="shared" si="3"/>
        <v>0</v>
      </c>
      <c r="I274" s="53">
        <v>46070</v>
      </c>
      <c r="J274" s="53">
        <v>46066</v>
      </c>
      <c r="K274" s="7"/>
    </row>
    <row r="275" spans="1:11" ht="18" x14ac:dyDescent="0.4">
      <c r="A275" s="7" t="s">
        <v>0</v>
      </c>
      <c r="B275" s="81" t="s">
        <v>266</v>
      </c>
      <c r="C275" s="57">
        <v>35281</v>
      </c>
      <c r="D275" s="70">
        <v>521641510</v>
      </c>
      <c r="E275" s="57">
        <v>100</v>
      </c>
      <c r="F275" s="71" t="s">
        <v>268</v>
      </c>
      <c r="G275" s="61">
        <v>0</v>
      </c>
      <c r="H275" s="70">
        <f t="shared" si="3"/>
        <v>0</v>
      </c>
      <c r="I275" s="53">
        <v>46070</v>
      </c>
      <c r="J275" s="53">
        <v>46066</v>
      </c>
      <c r="K275" s="7"/>
    </row>
    <row r="276" spans="1:11" ht="18" x14ac:dyDescent="0.4">
      <c r="A276" s="7" t="s">
        <v>0</v>
      </c>
      <c r="B276" s="81" t="s">
        <v>269</v>
      </c>
      <c r="C276" s="57">
        <v>64680</v>
      </c>
      <c r="D276" s="70">
        <v>552364550</v>
      </c>
      <c r="E276" s="57">
        <v>2160</v>
      </c>
      <c r="F276" s="71" t="s">
        <v>270</v>
      </c>
      <c r="G276" s="61">
        <v>0</v>
      </c>
      <c r="H276" s="70">
        <f t="shared" si="3"/>
        <v>0</v>
      </c>
      <c r="I276" s="53">
        <v>46070</v>
      </c>
      <c r="J276" s="53">
        <v>46066</v>
      </c>
      <c r="K276" s="21"/>
    </row>
    <row r="277" spans="1:11" ht="18" x14ac:dyDescent="0.4">
      <c r="A277" s="7" t="s">
        <v>0</v>
      </c>
      <c r="B277" s="81" t="s">
        <v>269</v>
      </c>
      <c r="C277" s="57">
        <v>64680</v>
      </c>
      <c r="D277" s="70">
        <v>552597520</v>
      </c>
      <c r="E277" s="57">
        <v>3600</v>
      </c>
      <c r="F277" s="71" t="s">
        <v>271</v>
      </c>
      <c r="G277" s="61">
        <v>0</v>
      </c>
      <c r="H277" s="70">
        <f t="shared" si="3"/>
        <v>0</v>
      </c>
      <c r="I277" s="53">
        <v>46070</v>
      </c>
      <c r="J277" s="53">
        <v>46066</v>
      </c>
      <c r="K277" s="21"/>
    </row>
    <row r="278" spans="1:11" ht="18" x14ac:dyDescent="0.4">
      <c r="A278" s="7" t="s">
        <v>0</v>
      </c>
      <c r="B278" s="81" t="s">
        <v>269</v>
      </c>
      <c r="C278" s="57">
        <v>64680</v>
      </c>
      <c r="D278" s="70">
        <v>551896360</v>
      </c>
      <c r="E278" s="57">
        <v>360</v>
      </c>
      <c r="F278" s="71" t="s">
        <v>272</v>
      </c>
      <c r="G278" s="61">
        <v>0</v>
      </c>
      <c r="H278" s="70">
        <f t="shared" si="3"/>
        <v>0</v>
      </c>
      <c r="I278" s="53">
        <v>46070</v>
      </c>
      <c r="J278" s="53">
        <v>46066</v>
      </c>
      <c r="K278" s="21"/>
    </row>
    <row r="279" spans="1:11" ht="18" x14ac:dyDescent="0.4">
      <c r="A279" s="7" t="s">
        <v>0</v>
      </c>
      <c r="B279" s="81" t="s">
        <v>269</v>
      </c>
      <c r="C279" s="57">
        <v>64680</v>
      </c>
      <c r="D279" s="70">
        <v>552305070</v>
      </c>
      <c r="E279" s="57">
        <v>360</v>
      </c>
      <c r="F279" s="71" t="s">
        <v>265</v>
      </c>
      <c r="G279" s="61">
        <v>0</v>
      </c>
      <c r="H279" s="70">
        <f t="shared" si="3"/>
        <v>0</v>
      </c>
      <c r="I279" s="53">
        <v>46070</v>
      </c>
      <c r="J279" s="53">
        <v>46066</v>
      </c>
      <c r="K279" s="21"/>
    </row>
    <row r="280" spans="1:11" ht="18" x14ac:dyDescent="0.4">
      <c r="A280" s="7" t="s">
        <v>0</v>
      </c>
      <c r="B280" s="81" t="s">
        <v>269</v>
      </c>
      <c r="C280" s="57">
        <v>64680</v>
      </c>
      <c r="D280" s="70">
        <v>463361860</v>
      </c>
      <c r="E280" s="57">
        <v>32</v>
      </c>
      <c r="F280" s="71" t="s">
        <v>273</v>
      </c>
      <c r="G280" s="61">
        <v>0</v>
      </c>
      <c r="H280" s="70">
        <f t="shared" si="3"/>
        <v>0</v>
      </c>
      <c r="I280" s="53">
        <v>46070</v>
      </c>
      <c r="J280" s="53">
        <v>46066</v>
      </c>
      <c r="K280" s="21"/>
    </row>
    <row r="281" spans="1:11" ht="18" x14ac:dyDescent="0.4">
      <c r="A281" s="7" t="s">
        <v>0</v>
      </c>
      <c r="B281" s="81" t="s">
        <v>269</v>
      </c>
      <c r="C281" s="57">
        <v>64680</v>
      </c>
      <c r="D281" s="70">
        <v>463361870</v>
      </c>
      <c r="E281" s="57">
        <v>32</v>
      </c>
      <c r="F281" s="71" t="s">
        <v>273</v>
      </c>
      <c r="G281" s="61">
        <v>0</v>
      </c>
      <c r="H281" s="70">
        <f t="shared" si="3"/>
        <v>0</v>
      </c>
      <c r="I281" s="53">
        <v>46070</v>
      </c>
      <c r="J281" s="53">
        <v>46066</v>
      </c>
      <c r="K281" s="21"/>
    </row>
    <row r="282" spans="1:11" ht="18" x14ac:dyDescent="0.4">
      <c r="A282" s="7" t="s">
        <v>0</v>
      </c>
      <c r="B282" s="81" t="s">
        <v>269</v>
      </c>
      <c r="C282" s="57">
        <v>64680</v>
      </c>
      <c r="D282" s="70">
        <v>463361880</v>
      </c>
      <c r="E282" s="57">
        <v>32</v>
      </c>
      <c r="F282" s="71" t="s">
        <v>274</v>
      </c>
      <c r="G282" s="61">
        <v>0</v>
      </c>
      <c r="H282" s="70">
        <f t="shared" si="3"/>
        <v>0</v>
      </c>
      <c r="I282" s="53">
        <v>46070</v>
      </c>
      <c r="J282" s="53">
        <v>46066</v>
      </c>
      <c r="K282" s="21"/>
    </row>
    <row r="283" spans="1:11" ht="18" x14ac:dyDescent="0.4">
      <c r="A283" s="7" t="s">
        <v>0</v>
      </c>
      <c r="B283" s="81" t="s">
        <v>269</v>
      </c>
      <c r="C283" s="57">
        <v>64680</v>
      </c>
      <c r="D283" s="70">
        <v>463361890</v>
      </c>
      <c r="E283" s="57">
        <v>32</v>
      </c>
      <c r="F283" s="71" t="s">
        <v>273</v>
      </c>
      <c r="G283" s="61">
        <v>0</v>
      </c>
      <c r="H283" s="70">
        <f t="shared" si="3"/>
        <v>0</v>
      </c>
      <c r="I283" s="53">
        <v>46070</v>
      </c>
      <c r="J283" s="53">
        <v>46066</v>
      </c>
      <c r="K283" s="21"/>
    </row>
    <row r="284" spans="1:11" ht="18" x14ac:dyDescent="0.4">
      <c r="A284" s="7" t="s">
        <v>0</v>
      </c>
      <c r="B284" s="81" t="s">
        <v>275</v>
      </c>
      <c r="C284" s="57">
        <v>37474</v>
      </c>
      <c r="D284" s="70">
        <v>518657410</v>
      </c>
      <c r="E284" s="57">
        <v>80</v>
      </c>
      <c r="F284" s="71" t="s">
        <v>276</v>
      </c>
      <c r="G284" s="61">
        <v>0</v>
      </c>
      <c r="H284" s="70">
        <f t="shared" si="3"/>
        <v>0</v>
      </c>
      <c r="I284" s="53">
        <v>46070</v>
      </c>
      <c r="J284" s="53">
        <v>46066</v>
      </c>
      <c r="K284" s="21"/>
    </row>
    <row r="285" spans="1:11" ht="18" x14ac:dyDescent="0.4">
      <c r="A285" s="7" t="s">
        <v>0</v>
      </c>
      <c r="B285" s="60" t="s">
        <v>277</v>
      </c>
      <c r="C285" s="57">
        <v>47097</v>
      </c>
      <c r="D285" s="70">
        <v>518469540</v>
      </c>
      <c r="E285" s="57">
        <v>80</v>
      </c>
      <c r="F285" s="71" t="s">
        <v>278</v>
      </c>
      <c r="G285" s="61">
        <v>0</v>
      </c>
      <c r="H285" s="70">
        <f t="shared" si="3"/>
        <v>0</v>
      </c>
      <c r="I285" s="53">
        <v>46070</v>
      </c>
      <c r="J285" s="53">
        <v>46066</v>
      </c>
      <c r="K285" s="21"/>
    </row>
    <row r="286" spans="1:11" ht="18" x14ac:dyDescent="0.4">
      <c r="A286" s="7" t="s">
        <v>0</v>
      </c>
      <c r="B286" s="60" t="s">
        <v>277</v>
      </c>
      <c r="C286" s="57">
        <v>47097</v>
      </c>
      <c r="D286" s="70">
        <v>521053400</v>
      </c>
      <c r="E286" s="57">
        <v>80</v>
      </c>
      <c r="F286" s="71" t="s">
        <v>279</v>
      </c>
      <c r="G286" s="61">
        <v>0</v>
      </c>
      <c r="H286" s="70">
        <f t="shared" si="3"/>
        <v>0</v>
      </c>
      <c r="I286" s="53">
        <v>46070</v>
      </c>
      <c r="J286" s="53">
        <v>46066</v>
      </c>
      <c r="K286" s="21"/>
    </row>
    <row r="287" spans="1:11" ht="18" x14ac:dyDescent="0.4">
      <c r="A287" s="7" t="s">
        <v>0</v>
      </c>
      <c r="B287" s="83" t="s">
        <v>277</v>
      </c>
      <c r="C287" s="75">
        <v>47097</v>
      </c>
      <c r="D287" s="76">
        <v>521053400</v>
      </c>
      <c r="E287" s="75">
        <v>80</v>
      </c>
      <c r="F287" s="77" t="s">
        <v>279</v>
      </c>
      <c r="G287" s="61">
        <v>0</v>
      </c>
      <c r="H287" s="70">
        <f t="shared" si="3"/>
        <v>0</v>
      </c>
      <c r="I287" s="11">
        <v>46070</v>
      </c>
      <c r="J287" s="11">
        <v>46066</v>
      </c>
      <c r="K287" s="8"/>
    </row>
    <row r="288" spans="1:11" ht="18" x14ac:dyDescent="0.4">
      <c r="A288" s="7" t="s">
        <v>0</v>
      </c>
      <c r="B288" s="60" t="s">
        <v>280</v>
      </c>
      <c r="C288" s="57">
        <v>78605</v>
      </c>
      <c r="D288" s="70">
        <v>552398190</v>
      </c>
      <c r="E288" s="57">
        <v>500</v>
      </c>
      <c r="F288" s="71" t="s">
        <v>281</v>
      </c>
      <c r="G288" s="61">
        <v>0</v>
      </c>
      <c r="H288" s="70">
        <f t="shared" ref="H288:H351" si="4">+G288/E288</f>
        <v>0</v>
      </c>
      <c r="I288" s="53">
        <v>46070</v>
      </c>
      <c r="J288" s="53">
        <v>46066</v>
      </c>
      <c r="K288" s="21"/>
    </row>
    <row r="289" spans="1:11" ht="18" x14ac:dyDescent="0.4">
      <c r="A289" s="7" t="s">
        <v>0</v>
      </c>
      <c r="B289" s="81" t="s">
        <v>282</v>
      </c>
      <c r="C289" s="57">
        <v>73850</v>
      </c>
      <c r="D289" s="70">
        <v>552188560</v>
      </c>
      <c r="E289" s="57">
        <v>50</v>
      </c>
      <c r="F289" s="71" t="s">
        <v>283</v>
      </c>
      <c r="G289" s="61">
        <v>0</v>
      </c>
      <c r="H289" s="70">
        <f t="shared" si="4"/>
        <v>0</v>
      </c>
      <c r="I289" s="53">
        <v>46070</v>
      </c>
      <c r="J289" s="53">
        <v>46066</v>
      </c>
      <c r="K289" s="21"/>
    </row>
    <row r="290" spans="1:11" ht="18" x14ac:dyDescent="0.4">
      <c r="A290" s="7" t="s">
        <v>0</v>
      </c>
      <c r="B290" s="81" t="s">
        <v>282</v>
      </c>
      <c r="C290" s="57">
        <v>73850</v>
      </c>
      <c r="D290" s="70">
        <v>552278750</v>
      </c>
      <c r="E290" s="57">
        <v>150</v>
      </c>
      <c r="F290" s="71" t="s">
        <v>284</v>
      </c>
      <c r="G290" s="61">
        <v>0</v>
      </c>
      <c r="H290" s="70">
        <f t="shared" si="4"/>
        <v>0</v>
      </c>
      <c r="I290" s="53">
        <v>46070</v>
      </c>
      <c r="J290" s="53">
        <v>46066</v>
      </c>
      <c r="K290" s="21"/>
    </row>
    <row r="291" spans="1:11" ht="18" x14ac:dyDescent="0.4">
      <c r="A291" s="7" t="s">
        <v>0</v>
      </c>
      <c r="B291" s="81" t="s">
        <v>282</v>
      </c>
      <c r="C291" s="57">
        <v>73850</v>
      </c>
      <c r="D291" s="70">
        <v>552278770</v>
      </c>
      <c r="E291" s="57">
        <v>150</v>
      </c>
      <c r="F291" s="71" t="s">
        <v>285</v>
      </c>
      <c r="G291" s="61">
        <v>0</v>
      </c>
      <c r="H291" s="70">
        <f t="shared" si="4"/>
        <v>0</v>
      </c>
      <c r="I291" s="53">
        <v>46070</v>
      </c>
      <c r="J291" s="53">
        <v>46066</v>
      </c>
      <c r="K291" s="21"/>
    </row>
    <row r="292" spans="1:11" ht="18" x14ac:dyDescent="0.4">
      <c r="A292" s="7" t="s">
        <v>0</v>
      </c>
      <c r="B292" s="81" t="s">
        <v>286</v>
      </c>
      <c r="C292" s="57">
        <v>51625</v>
      </c>
      <c r="D292" s="70">
        <v>551812430</v>
      </c>
      <c r="E292" s="57">
        <v>2160</v>
      </c>
      <c r="F292" s="71" t="s">
        <v>287</v>
      </c>
      <c r="G292" s="61">
        <v>0</v>
      </c>
      <c r="H292" s="70">
        <f t="shared" si="4"/>
        <v>0</v>
      </c>
      <c r="I292" s="53">
        <v>46070</v>
      </c>
      <c r="J292" s="53">
        <v>46066</v>
      </c>
      <c r="K292" s="21"/>
    </row>
    <row r="293" spans="1:11" ht="18" x14ac:dyDescent="0.4">
      <c r="A293" s="7" t="s">
        <v>0</v>
      </c>
      <c r="B293" s="81" t="s">
        <v>286</v>
      </c>
      <c r="C293" s="57">
        <v>51625</v>
      </c>
      <c r="D293" s="70">
        <v>552168510</v>
      </c>
      <c r="E293" s="57">
        <v>640</v>
      </c>
      <c r="F293" s="71" t="s">
        <v>287</v>
      </c>
      <c r="G293" s="61">
        <v>0</v>
      </c>
      <c r="H293" s="70">
        <f t="shared" si="4"/>
        <v>0</v>
      </c>
      <c r="I293" s="53">
        <v>46070</v>
      </c>
      <c r="J293" s="53">
        <v>46066</v>
      </c>
      <c r="K293" s="7"/>
    </row>
    <row r="294" spans="1:11" ht="18" x14ac:dyDescent="0.4">
      <c r="A294" s="7" t="s">
        <v>0</v>
      </c>
      <c r="B294" s="81" t="s">
        <v>286</v>
      </c>
      <c r="C294" s="57">
        <v>51625</v>
      </c>
      <c r="D294" s="70">
        <v>552188650</v>
      </c>
      <c r="E294" s="57">
        <v>640</v>
      </c>
      <c r="F294" s="71" t="s">
        <v>287</v>
      </c>
      <c r="G294" s="61">
        <v>0</v>
      </c>
      <c r="H294" s="70">
        <f t="shared" si="4"/>
        <v>0</v>
      </c>
      <c r="I294" s="53">
        <v>46070</v>
      </c>
      <c r="J294" s="53">
        <v>46066</v>
      </c>
      <c r="K294" s="7"/>
    </row>
    <row r="295" spans="1:11" ht="18" x14ac:dyDescent="0.4">
      <c r="A295" s="7" t="s">
        <v>0</v>
      </c>
      <c r="B295" s="82" t="s">
        <v>288</v>
      </c>
      <c r="C295" s="57">
        <v>20748</v>
      </c>
      <c r="D295" s="70">
        <v>552178590</v>
      </c>
      <c r="E295" s="57">
        <v>288</v>
      </c>
      <c r="F295" s="71" t="s">
        <v>289</v>
      </c>
      <c r="G295" s="61">
        <v>0</v>
      </c>
      <c r="H295" s="70">
        <f t="shared" si="4"/>
        <v>0</v>
      </c>
      <c r="I295" s="53">
        <v>46070</v>
      </c>
      <c r="J295" s="53">
        <v>46066</v>
      </c>
      <c r="K295" s="21"/>
    </row>
    <row r="296" spans="1:11" ht="18" x14ac:dyDescent="0.4">
      <c r="A296" s="7" t="s">
        <v>0</v>
      </c>
      <c r="B296" s="81" t="s">
        <v>290</v>
      </c>
      <c r="C296" s="57">
        <v>68265</v>
      </c>
      <c r="D296" s="70">
        <v>552776160</v>
      </c>
      <c r="E296" s="57">
        <v>150</v>
      </c>
      <c r="F296" s="71" t="s">
        <v>291</v>
      </c>
      <c r="G296" s="61">
        <v>0</v>
      </c>
      <c r="H296" s="70">
        <f t="shared" si="4"/>
        <v>0</v>
      </c>
      <c r="I296" s="11">
        <v>46070</v>
      </c>
      <c r="J296" s="11">
        <v>46066</v>
      </c>
      <c r="K296" s="13"/>
    </row>
    <row r="297" spans="1:11" ht="18" x14ac:dyDescent="0.4">
      <c r="A297" s="7" t="s">
        <v>0</v>
      </c>
      <c r="B297" s="81" t="s">
        <v>290</v>
      </c>
      <c r="C297" s="57">
        <v>68265</v>
      </c>
      <c r="D297" s="70">
        <v>552282450</v>
      </c>
      <c r="E297" s="57">
        <v>150</v>
      </c>
      <c r="F297" s="71" t="s">
        <v>291</v>
      </c>
      <c r="G297" s="61">
        <v>0</v>
      </c>
      <c r="H297" s="70">
        <f t="shared" si="4"/>
        <v>0</v>
      </c>
      <c r="I297" s="11">
        <v>46070</v>
      </c>
      <c r="J297" s="11">
        <v>46066</v>
      </c>
      <c r="K297" s="8"/>
    </row>
    <row r="298" spans="1:11" ht="18" x14ac:dyDescent="0.4">
      <c r="A298" s="7" t="s">
        <v>0</v>
      </c>
      <c r="B298" s="82" t="s">
        <v>292</v>
      </c>
      <c r="C298" s="57">
        <v>19424</v>
      </c>
      <c r="D298" s="70">
        <v>552384520</v>
      </c>
      <c r="E298" s="57">
        <v>1440</v>
      </c>
      <c r="F298" s="71" t="s">
        <v>293</v>
      </c>
      <c r="G298" s="61">
        <v>0</v>
      </c>
      <c r="H298" s="70">
        <f t="shared" si="4"/>
        <v>0</v>
      </c>
      <c r="I298" s="11">
        <v>46070</v>
      </c>
      <c r="J298" s="11">
        <v>46066</v>
      </c>
      <c r="K298" s="13"/>
    </row>
    <row r="299" spans="1:11" ht="18" x14ac:dyDescent="0.4">
      <c r="A299" s="7" t="s">
        <v>0</v>
      </c>
      <c r="B299" s="81" t="s">
        <v>294</v>
      </c>
      <c r="C299" s="57">
        <v>21796</v>
      </c>
      <c r="D299" s="70">
        <v>552807200</v>
      </c>
      <c r="E299" s="57">
        <v>1920</v>
      </c>
      <c r="F299" s="71" t="s">
        <v>293</v>
      </c>
      <c r="G299" s="61">
        <v>0</v>
      </c>
      <c r="H299" s="70">
        <f t="shared" si="4"/>
        <v>0</v>
      </c>
      <c r="I299" s="11">
        <v>46070</v>
      </c>
      <c r="J299" s="11">
        <v>46066</v>
      </c>
      <c r="K299" s="8"/>
    </row>
    <row r="300" spans="1:11" ht="18" x14ac:dyDescent="0.4">
      <c r="A300" s="7" t="s">
        <v>0</v>
      </c>
      <c r="B300" s="81" t="s">
        <v>295</v>
      </c>
      <c r="C300" s="60">
        <v>51620</v>
      </c>
      <c r="D300" s="70">
        <v>552610980</v>
      </c>
      <c r="E300" s="57">
        <v>840</v>
      </c>
      <c r="F300" s="71" t="s">
        <v>296</v>
      </c>
      <c r="G300" s="61">
        <v>0</v>
      </c>
      <c r="H300" s="70">
        <f t="shared" si="4"/>
        <v>0</v>
      </c>
      <c r="I300" s="11">
        <v>46070</v>
      </c>
      <c r="J300" s="11">
        <v>46066</v>
      </c>
      <c r="K300" s="8"/>
    </row>
    <row r="301" spans="1:11" ht="18" x14ac:dyDescent="0.4">
      <c r="A301" s="7" t="s">
        <v>0</v>
      </c>
      <c r="B301" s="81" t="s">
        <v>295</v>
      </c>
      <c r="C301" s="60">
        <v>51620</v>
      </c>
      <c r="D301" s="70">
        <v>552611020</v>
      </c>
      <c r="E301" s="57">
        <v>1440</v>
      </c>
      <c r="F301" s="71" t="s">
        <v>297</v>
      </c>
      <c r="G301" s="61">
        <v>0</v>
      </c>
      <c r="H301" s="70">
        <f t="shared" si="4"/>
        <v>0</v>
      </c>
      <c r="I301" s="11">
        <v>46070</v>
      </c>
      <c r="J301" s="11">
        <v>46066</v>
      </c>
      <c r="K301" s="13"/>
    </row>
    <row r="302" spans="1:11" ht="18" x14ac:dyDescent="0.4">
      <c r="A302" s="7" t="s">
        <v>0</v>
      </c>
      <c r="B302" s="81" t="s">
        <v>295</v>
      </c>
      <c r="C302" s="60">
        <v>51620</v>
      </c>
      <c r="D302" s="70">
        <v>552611060</v>
      </c>
      <c r="E302" s="57">
        <v>840</v>
      </c>
      <c r="F302" s="71" t="s">
        <v>298</v>
      </c>
      <c r="G302" s="61">
        <v>0</v>
      </c>
      <c r="H302" s="70">
        <f t="shared" si="4"/>
        <v>0</v>
      </c>
      <c r="I302" s="11">
        <v>46070</v>
      </c>
      <c r="J302" s="11">
        <v>46066</v>
      </c>
      <c r="K302" s="13"/>
    </row>
    <row r="303" spans="1:11" ht="18" x14ac:dyDescent="0.4">
      <c r="A303" s="7" t="s">
        <v>0</v>
      </c>
      <c r="B303" s="81" t="s">
        <v>295</v>
      </c>
      <c r="C303" s="60">
        <v>51620</v>
      </c>
      <c r="D303" s="70">
        <v>552670810</v>
      </c>
      <c r="E303" s="57">
        <v>840</v>
      </c>
      <c r="F303" s="71" t="s">
        <v>296</v>
      </c>
      <c r="G303" s="61">
        <v>0</v>
      </c>
      <c r="H303" s="70">
        <f t="shared" si="4"/>
        <v>0</v>
      </c>
      <c r="I303" s="11">
        <v>46070</v>
      </c>
      <c r="J303" s="11">
        <v>46066</v>
      </c>
      <c r="K303" s="13"/>
    </row>
    <row r="304" spans="1:11" ht="18" x14ac:dyDescent="0.4">
      <c r="A304" s="7" t="s">
        <v>0</v>
      </c>
      <c r="B304" s="81" t="s">
        <v>295</v>
      </c>
      <c r="C304" s="60">
        <v>51620</v>
      </c>
      <c r="D304" s="70">
        <v>552670830</v>
      </c>
      <c r="E304" s="57">
        <v>1440</v>
      </c>
      <c r="F304" s="71" t="s">
        <v>297</v>
      </c>
      <c r="G304" s="61">
        <v>0</v>
      </c>
      <c r="H304" s="70">
        <f t="shared" si="4"/>
        <v>0</v>
      </c>
      <c r="I304" s="11">
        <v>46070</v>
      </c>
      <c r="J304" s="11">
        <v>46066</v>
      </c>
      <c r="K304" s="13"/>
    </row>
    <row r="305" spans="1:11" ht="18" x14ac:dyDescent="0.4">
      <c r="A305" s="7" t="s">
        <v>0</v>
      </c>
      <c r="B305" s="81" t="s">
        <v>295</v>
      </c>
      <c r="C305" s="60">
        <v>51620</v>
      </c>
      <c r="D305" s="70">
        <v>552670850</v>
      </c>
      <c r="E305" s="57">
        <v>840</v>
      </c>
      <c r="F305" s="71" t="s">
        <v>298</v>
      </c>
      <c r="G305" s="61">
        <v>0</v>
      </c>
      <c r="H305" s="70">
        <f t="shared" si="4"/>
        <v>0</v>
      </c>
      <c r="I305" s="11">
        <v>46070</v>
      </c>
      <c r="J305" s="11">
        <v>46066</v>
      </c>
      <c r="K305" s="13"/>
    </row>
    <row r="306" spans="1:11" ht="18" x14ac:dyDescent="0.4">
      <c r="A306" s="7" t="s">
        <v>0</v>
      </c>
      <c r="B306" s="81" t="s">
        <v>295</v>
      </c>
      <c r="C306" s="60">
        <v>51620</v>
      </c>
      <c r="D306" s="70">
        <v>552527010</v>
      </c>
      <c r="E306" s="57">
        <v>840</v>
      </c>
      <c r="F306" s="71" t="s">
        <v>296</v>
      </c>
      <c r="G306" s="61">
        <v>0</v>
      </c>
      <c r="H306" s="70">
        <f t="shared" si="4"/>
        <v>0</v>
      </c>
      <c r="I306" s="11">
        <v>46070</v>
      </c>
      <c r="J306" s="11">
        <v>46066</v>
      </c>
      <c r="K306" s="13"/>
    </row>
    <row r="307" spans="1:11" ht="18" x14ac:dyDescent="0.4">
      <c r="A307" s="7" t="s">
        <v>0</v>
      </c>
      <c r="B307" s="81" t="s">
        <v>295</v>
      </c>
      <c r="C307" s="60">
        <v>51620</v>
      </c>
      <c r="D307" s="70">
        <v>552527050</v>
      </c>
      <c r="E307" s="57">
        <v>1456</v>
      </c>
      <c r="F307" s="71" t="s">
        <v>297</v>
      </c>
      <c r="G307" s="61">
        <v>0</v>
      </c>
      <c r="H307" s="70">
        <f t="shared" si="4"/>
        <v>0</v>
      </c>
      <c r="I307" s="11">
        <v>46070</v>
      </c>
      <c r="J307" s="11">
        <v>46066</v>
      </c>
      <c r="K307" s="8"/>
    </row>
    <row r="308" spans="1:11" ht="18" x14ac:dyDescent="0.4">
      <c r="A308" s="7" t="s">
        <v>0</v>
      </c>
      <c r="B308" s="81" t="s">
        <v>295</v>
      </c>
      <c r="C308" s="60">
        <v>51620</v>
      </c>
      <c r="D308" s="70">
        <v>552527090</v>
      </c>
      <c r="E308" s="57">
        <v>840</v>
      </c>
      <c r="F308" s="71" t="s">
        <v>298</v>
      </c>
      <c r="G308" s="61">
        <v>0</v>
      </c>
      <c r="H308" s="70">
        <f t="shared" si="4"/>
        <v>0</v>
      </c>
      <c r="I308" s="11">
        <v>46070</v>
      </c>
      <c r="J308" s="11">
        <v>46066</v>
      </c>
      <c r="K308" s="8"/>
    </row>
    <row r="309" spans="1:11" ht="18" x14ac:dyDescent="0.4">
      <c r="A309" s="7" t="s">
        <v>0</v>
      </c>
      <c r="B309" s="81" t="s">
        <v>295</v>
      </c>
      <c r="C309" s="60">
        <v>51620</v>
      </c>
      <c r="D309" s="70">
        <v>552718660</v>
      </c>
      <c r="E309" s="57">
        <v>840</v>
      </c>
      <c r="F309" s="71" t="s">
        <v>296</v>
      </c>
      <c r="G309" s="61">
        <v>0</v>
      </c>
      <c r="H309" s="70">
        <f t="shared" si="4"/>
        <v>0</v>
      </c>
      <c r="I309" s="11">
        <v>46070</v>
      </c>
      <c r="J309" s="11">
        <v>46066</v>
      </c>
      <c r="K309" s="13"/>
    </row>
    <row r="310" spans="1:11" ht="18" x14ac:dyDescent="0.4">
      <c r="A310" s="7" t="s">
        <v>0</v>
      </c>
      <c r="B310" s="81" t="s">
        <v>295</v>
      </c>
      <c r="C310" s="60">
        <v>51620</v>
      </c>
      <c r="D310" s="70">
        <v>552720150</v>
      </c>
      <c r="E310" s="57">
        <v>1440</v>
      </c>
      <c r="F310" s="71" t="s">
        <v>297</v>
      </c>
      <c r="G310" s="61">
        <v>0</v>
      </c>
      <c r="H310" s="70">
        <f t="shared" si="4"/>
        <v>0</v>
      </c>
      <c r="I310" s="11">
        <v>46070</v>
      </c>
      <c r="J310" s="11">
        <v>46066</v>
      </c>
      <c r="K310" s="8"/>
    </row>
    <row r="311" spans="1:11" ht="18" x14ac:dyDescent="0.4">
      <c r="A311" s="7" t="s">
        <v>0</v>
      </c>
      <c r="B311" s="81" t="s">
        <v>295</v>
      </c>
      <c r="C311" s="60">
        <v>51620</v>
      </c>
      <c r="D311" s="70">
        <v>552720240</v>
      </c>
      <c r="E311" s="57">
        <v>840</v>
      </c>
      <c r="F311" s="71" t="s">
        <v>298</v>
      </c>
      <c r="G311" s="61">
        <v>0</v>
      </c>
      <c r="H311" s="70">
        <f t="shared" si="4"/>
        <v>0</v>
      </c>
      <c r="I311" s="11">
        <v>46070</v>
      </c>
      <c r="J311" s="11">
        <v>46066</v>
      </c>
      <c r="K311" s="13"/>
    </row>
    <row r="312" spans="1:11" ht="18" x14ac:dyDescent="0.4">
      <c r="A312" s="7" t="s">
        <v>0</v>
      </c>
      <c r="B312" s="81" t="s">
        <v>295</v>
      </c>
      <c r="C312" s="60">
        <v>51620</v>
      </c>
      <c r="D312" s="70">
        <v>552527390</v>
      </c>
      <c r="E312" s="57">
        <v>840</v>
      </c>
      <c r="F312" s="71" t="s">
        <v>296</v>
      </c>
      <c r="G312" s="61">
        <v>0</v>
      </c>
      <c r="H312" s="70">
        <f t="shared" si="4"/>
        <v>0</v>
      </c>
      <c r="I312" s="11">
        <v>46070</v>
      </c>
      <c r="J312" s="11">
        <v>46066</v>
      </c>
      <c r="K312" s="13"/>
    </row>
    <row r="313" spans="1:11" ht="18" x14ac:dyDescent="0.4">
      <c r="A313" s="7" t="s">
        <v>0</v>
      </c>
      <c r="B313" s="81" t="s">
        <v>295</v>
      </c>
      <c r="C313" s="60">
        <v>51620</v>
      </c>
      <c r="D313" s="70">
        <v>552527680</v>
      </c>
      <c r="E313" s="57">
        <v>1440</v>
      </c>
      <c r="F313" s="71" t="s">
        <v>297</v>
      </c>
      <c r="G313" s="61">
        <v>0</v>
      </c>
      <c r="H313" s="70">
        <f t="shared" si="4"/>
        <v>0</v>
      </c>
      <c r="I313" s="11">
        <v>46070</v>
      </c>
      <c r="J313" s="11">
        <v>46066</v>
      </c>
      <c r="K313" s="8"/>
    </row>
    <row r="314" spans="1:11" ht="18" x14ac:dyDescent="0.4">
      <c r="A314" s="7" t="s">
        <v>0</v>
      </c>
      <c r="B314" s="81" t="s">
        <v>295</v>
      </c>
      <c r="C314" s="60">
        <v>51620</v>
      </c>
      <c r="D314" s="70">
        <v>552527760</v>
      </c>
      <c r="E314" s="57">
        <v>840</v>
      </c>
      <c r="F314" s="71" t="s">
        <v>298</v>
      </c>
      <c r="G314" s="61">
        <v>0</v>
      </c>
      <c r="H314" s="70">
        <f t="shared" si="4"/>
        <v>0</v>
      </c>
      <c r="I314" s="11">
        <v>46070</v>
      </c>
      <c r="J314" s="11">
        <v>46066</v>
      </c>
      <c r="K314" s="13"/>
    </row>
    <row r="315" spans="1:11" ht="18" x14ac:dyDescent="0.4">
      <c r="A315" s="7" t="s">
        <v>0</v>
      </c>
      <c r="B315" s="81" t="s">
        <v>299</v>
      </c>
      <c r="C315" s="60">
        <v>51658</v>
      </c>
      <c r="D315" s="70">
        <v>552804260</v>
      </c>
      <c r="E315" s="57">
        <v>2000</v>
      </c>
      <c r="F315" s="71" t="s">
        <v>300</v>
      </c>
      <c r="G315" s="61">
        <v>0</v>
      </c>
      <c r="H315" s="70">
        <f t="shared" si="4"/>
        <v>0</v>
      </c>
      <c r="I315" s="11">
        <v>46070</v>
      </c>
      <c r="J315" s="11">
        <v>46066</v>
      </c>
      <c r="K315" s="13"/>
    </row>
    <row r="316" spans="1:11" ht="18" x14ac:dyDescent="0.4">
      <c r="A316" s="7" t="s">
        <v>0</v>
      </c>
      <c r="B316" s="81" t="s">
        <v>299</v>
      </c>
      <c r="C316" s="60">
        <v>51658</v>
      </c>
      <c r="D316" s="70">
        <v>552804270</v>
      </c>
      <c r="E316" s="57">
        <v>15000</v>
      </c>
      <c r="F316" s="71" t="s">
        <v>301</v>
      </c>
      <c r="G316" s="61">
        <v>0</v>
      </c>
      <c r="H316" s="70">
        <f t="shared" si="4"/>
        <v>0</v>
      </c>
      <c r="I316" s="11">
        <v>46070</v>
      </c>
      <c r="J316" s="11">
        <v>46066</v>
      </c>
      <c r="K316" s="13"/>
    </row>
    <row r="317" spans="1:11" ht="18" x14ac:dyDescent="0.4">
      <c r="A317" s="7" t="s">
        <v>0</v>
      </c>
      <c r="B317" s="81" t="s">
        <v>299</v>
      </c>
      <c r="C317" s="60">
        <v>51658</v>
      </c>
      <c r="D317" s="70">
        <v>552804280</v>
      </c>
      <c r="E317" s="57">
        <v>2000</v>
      </c>
      <c r="F317" s="71" t="s">
        <v>302</v>
      </c>
      <c r="G317" s="61">
        <v>0</v>
      </c>
      <c r="H317" s="70">
        <f t="shared" si="4"/>
        <v>0</v>
      </c>
      <c r="I317" s="11">
        <v>46070</v>
      </c>
      <c r="J317" s="11">
        <v>46066</v>
      </c>
      <c r="K317" s="13"/>
    </row>
    <row r="318" spans="1:11" ht="18" x14ac:dyDescent="0.4">
      <c r="A318" s="7" t="s">
        <v>0</v>
      </c>
      <c r="B318" s="81" t="s">
        <v>299</v>
      </c>
      <c r="C318" s="60">
        <v>51658</v>
      </c>
      <c r="D318" s="70">
        <v>552804320</v>
      </c>
      <c r="E318" s="57">
        <v>840</v>
      </c>
      <c r="F318" s="71" t="s">
        <v>303</v>
      </c>
      <c r="G318" s="61">
        <v>0</v>
      </c>
      <c r="H318" s="70">
        <f t="shared" si="4"/>
        <v>0</v>
      </c>
      <c r="I318" s="11">
        <v>46070</v>
      </c>
      <c r="J318" s="11">
        <v>46066</v>
      </c>
      <c r="K318" s="13"/>
    </row>
    <row r="319" spans="1:11" ht="18" x14ac:dyDescent="0.4">
      <c r="A319" s="7" t="s">
        <v>0</v>
      </c>
      <c r="B319" s="81" t="s">
        <v>299</v>
      </c>
      <c r="C319" s="60">
        <v>51658</v>
      </c>
      <c r="D319" s="70">
        <v>552804330</v>
      </c>
      <c r="E319" s="57">
        <v>2400</v>
      </c>
      <c r="F319" s="71" t="s">
        <v>304</v>
      </c>
      <c r="G319" s="61">
        <v>0</v>
      </c>
      <c r="H319" s="70">
        <f t="shared" si="4"/>
        <v>0</v>
      </c>
      <c r="I319" s="11">
        <v>46070</v>
      </c>
      <c r="J319" s="11">
        <v>46066</v>
      </c>
      <c r="K319" s="13"/>
    </row>
    <row r="320" spans="1:11" ht="18" x14ac:dyDescent="0.4">
      <c r="A320" s="7" t="s">
        <v>0</v>
      </c>
      <c r="B320" s="81" t="s">
        <v>299</v>
      </c>
      <c r="C320" s="60">
        <v>51658</v>
      </c>
      <c r="D320" s="70">
        <v>552804340</v>
      </c>
      <c r="E320" s="57">
        <v>960</v>
      </c>
      <c r="F320" s="71" t="s">
        <v>305</v>
      </c>
      <c r="G320" s="61">
        <v>0</v>
      </c>
      <c r="H320" s="70">
        <f t="shared" si="4"/>
        <v>0</v>
      </c>
      <c r="I320" s="11">
        <v>46070</v>
      </c>
      <c r="J320" s="11">
        <v>46066</v>
      </c>
      <c r="K320" s="13"/>
    </row>
    <row r="321" spans="1:11" ht="18" x14ac:dyDescent="0.4">
      <c r="A321" s="7" t="s">
        <v>0</v>
      </c>
      <c r="B321" s="81" t="s">
        <v>299</v>
      </c>
      <c r="C321" s="60">
        <v>51658</v>
      </c>
      <c r="D321" s="70">
        <v>552105070</v>
      </c>
      <c r="E321" s="57">
        <v>1488</v>
      </c>
      <c r="F321" s="71" t="s">
        <v>306</v>
      </c>
      <c r="G321" s="61">
        <v>0</v>
      </c>
      <c r="H321" s="70">
        <f t="shared" si="4"/>
        <v>0</v>
      </c>
      <c r="I321" s="11">
        <v>46070</v>
      </c>
      <c r="J321" s="11">
        <v>46066</v>
      </c>
      <c r="K321" s="13"/>
    </row>
    <row r="322" spans="1:11" ht="18" x14ac:dyDescent="0.4">
      <c r="A322" s="7" t="s">
        <v>0</v>
      </c>
      <c r="B322" s="81" t="s">
        <v>299</v>
      </c>
      <c r="C322" s="60">
        <v>51658</v>
      </c>
      <c r="D322" s="70">
        <v>552105090</v>
      </c>
      <c r="E322" s="57">
        <v>14880</v>
      </c>
      <c r="F322" s="71" t="s">
        <v>307</v>
      </c>
      <c r="G322" s="61">
        <v>0</v>
      </c>
      <c r="H322" s="70">
        <f t="shared" si="4"/>
        <v>0</v>
      </c>
      <c r="I322" s="11">
        <v>46070</v>
      </c>
      <c r="J322" s="11">
        <v>46066</v>
      </c>
      <c r="K322" s="13"/>
    </row>
    <row r="323" spans="1:11" ht="18" x14ac:dyDescent="0.4">
      <c r="A323" s="7" t="s">
        <v>0</v>
      </c>
      <c r="B323" s="81" t="s">
        <v>299</v>
      </c>
      <c r="C323" s="60">
        <v>51658</v>
      </c>
      <c r="D323" s="70">
        <v>552105110</v>
      </c>
      <c r="E323" s="57">
        <v>1488</v>
      </c>
      <c r="F323" s="71" t="s">
        <v>308</v>
      </c>
      <c r="G323" s="61">
        <v>0</v>
      </c>
      <c r="H323" s="70">
        <f t="shared" si="4"/>
        <v>0</v>
      </c>
      <c r="I323" s="11">
        <v>46070</v>
      </c>
      <c r="J323" s="11">
        <v>46066</v>
      </c>
      <c r="K323" s="13"/>
    </row>
    <row r="324" spans="1:11" ht="18" x14ac:dyDescent="0.4">
      <c r="A324" s="7" t="s">
        <v>0</v>
      </c>
      <c r="B324" s="81" t="s">
        <v>299</v>
      </c>
      <c r="C324" s="60">
        <v>51658</v>
      </c>
      <c r="D324" s="70">
        <v>552107380</v>
      </c>
      <c r="E324" s="57">
        <v>1536</v>
      </c>
      <c r="F324" s="71" t="s">
        <v>306</v>
      </c>
      <c r="G324" s="61">
        <v>0</v>
      </c>
      <c r="H324" s="70">
        <f t="shared" si="4"/>
        <v>0</v>
      </c>
      <c r="I324" s="11">
        <v>46070</v>
      </c>
      <c r="J324" s="11">
        <v>46066</v>
      </c>
      <c r="K324" s="13"/>
    </row>
    <row r="325" spans="1:11" ht="18" x14ac:dyDescent="0.4">
      <c r="A325" s="7" t="s">
        <v>0</v>
      </c>
      <c r="B325" s="81" t="s">
        <v>299</v>
      </c>
      <c r="C325" s="60">
        <v>51658</v>
      </c>
      <c r="D325" s="70">
        <v>552107390</v>
      </c>
      <c r="E325" s="57">
        <v>15360</v>
      </c>
      <c r="F325" s="71" t="s">
        <v>307</v>
      </c>
      <c r="G325" s="61">
        <v>0</v>
      </c>
      <c r="H325" s="70">
        <f t="shared" si="4"/>
        <v>0</v>
      </c>
      <c r="I325" s="11">
        <v>46070</v>
      </c>
      <c r="J325" s="11">
        <v>46066</v>
      </c>
      <c r="K325" s="13"/>
    </row>
    <row r="326" spans="1:11" ht="18" x14ac:dyDescent="0.4">
      <c r="A326" s="7" t="s">
        <v>0</v>
      </c>
      <c r="B326" s="81" t="s">
        <v>299</v>
      </c>
      <c r="C326" s="60">
        <v>51658</v>
      </c>
      <c r="D326" s="70">
        <v>552107400</v>
      </c>
      <c r="E326" s="57">
        <v>1536</v>
      </c>
      <c r="F326" s="71" t="s">
        <v>308</v>
      </c>
      <c r="G326" s="61">
        <v>0</v>
      </c>
      <c r="H326" s="70">
        <f t="shared" si="4"/>
        <v>0</v>
      </c>
      <c r="I326" s="11">
        <v>46070</v>
      </c>
      <c r="J326" s="11">
        <v>46066</v>
      </c>
      <c r="K326" s="13"/>
    </row>
    <row r="327" spans="1:11" ht="18" x14ac:dyDescent="0.4">
      <c r="A327" s="7" t="s">
        <v>0</v>
      </c>
      <c r="B327" s="81" t="s">
        <v>309</v>
      </c>
      <c r="C327" s="60">
        <v>21570</v>
      </c>
      <c r="D327" s="70">
        <v>463363330</v>
      </c>
      <c r="E327" s="57">
        <v>28000</v>
      </c>
      <c r="F327" s="71" t="s">
        <v>310</v>
      </c>
      <c r="G327" s="61">
        <v>0</v>
      </c>
      <c r="H327" s="70">
        <f t="shared" si="4"/>
        <v>0</v>
      </c>
      <c r="I327" s="11">
        <v>46070</v>
      </c>
      <c r="J327" s="11">
        <v>46066</v>
      </c>
      <c r="K327" s="13"/>
    </row>
    <row r="328" spans="1:11" ht="18" x14ac:dyDescent="0.4">
      <c r="A328" s="7" t="s">
        <v>0</v>
      </c>
      <c r="B328" s="81" t="s">
        <v>311</v>
      </c>
      <c r="C328" s="60">
        <v>40840</v>
      </c>
      <c r="D328" s="70">
        <v>187521210</v>
      </c>
      <c r="E328" s="57">
        <v>900</v>
      </c>
      <c r="F328" s="71" t="s">
        <v>312</v>
      </c>
      <c r="G328" s="61">
        <v>0</v>
      </c>
      <c r="H328" s="70">
        <f t="shared" si="4"/>
        <v>0</v>
      </c>
      <c r="I328" s="11">
        <v>46070</v>
      </c>
      <c r="J328" s="11">
        <v>46066</v>
      </c>
      <c r="K328" s="13"/>
    </row>
    <row r="329" spans="1:11" ht="18" x14ac:dyDescent="0.4">
      <c r="A329" s="7" t="s">
        <v>0</v>
      </c>
      <c r="B329" s="81" t="s">
        <v>311</v>
      </c>
      <c r="C329" s="60">
        <v>40840</v>
      </c>
      <c r="D329" s="70">
        <v>162891240</v>
      </c>
      <c r="E329" s="57">
        <v>100</v>
      </c>
      <c r="F329" s="71" t="s">
        <v>313</v>
      </c>
      <c r="G329" s="61">
        <v>0</v>
      </c>
      <c r="H329" s="70">
        <f t="shared" si="4"/>
        <v>0</v>
      </c>
      <c r="I329" s="11">
        <v>46070</v>
      </c>
      <c r="J329" s="11">
        <v>46066</v>
      </c>
      <c r="K329" s="13"/>
    </row>
    <row r="330" spans="1:11" ht="18" x14ac:dyDescent="0.4">
      <c r="A330" s="7" t="s">
        <v>0</v>
      </c>
      <c r="B330" s="81" t="s">
        <v>311</v>
      </c>
      <c r="C330" s="60">
        <v>40840</v>
      </c>
      <c r="D330" s="70">
        <v>463447260</v>
      </c>
      <c r="E330" s="57">
        <v>100</v>
      </c>
      <c r="F330" s="71" t="s">
        <v>313</v>
      </c>
      <c r="G330" s="61">
        <v>0</v>
      </c>
      <c r="H330" s="70">
        <f t="shared" si="4"/>
        <v>0</v>
      </c>
      <c r="I330" s="11">
        <v>46070</v>
      </c>
      <c r="J330" s="11">
        <v>46066</v>
      </c>
      <c r="K330" s="13"/>
    </row>
    <row r="331" spans="1:11" ht="18" x14ac:dyDescent="0.4">
      <c r="A331" s="7" t="s">
        <v>0</v>
      </c>
      <c r="B331" s="81" t="s">
        <v>311</v>
      </c>
      <c r="C331" s="60">
        <v>40840</v>
      </c>
      <c r="D331" s="70">
        <v>551877380</v>
      </c>
      <c r="E331" s="57">
        <v>150</v>
      </c>
      <c r="F331" s="71" t="s">
        <v>314</v>
      </c>
      <c r="G331" s="61">
        <v>0</v>
      </c>
      <c r="H331" s="70">
        <f t="shared" si="4"/>
        <v>0</v>
      </c>
      <c r="I331" s="11">
        <v>46070</v>
      </c>
      <c r="J331" s="11">
        <v>46066</v>
      </c>
      <c r="K331" s="13"/>
    </row>
    <row r="332" spans="1:11" ht="18" x14ac:dyDescent="0.4">
      <c r="A332" s="7" t="s">
        <v>0</v>
      </c>
      <c r="B332" s="81" t="s">
        <v>311</v>
      </c>
      <c r="C332" s="60">
        <v>40840</v>
      </c>
      <c r="D332" s="70">
        <v>552650820</v>
      </c>
      <c r="E332" s="57">
        <v>300</v>
      </c>
      <c r="F332" s="71" t="s">
        <v>315</v>
      </c>
      <c r="G332" s="61">
        <v>0</v>
      </c>
      <c r="H332" s="70">
        <f t="shared" si="4"/>
        <v>0</v>
      </c>
      <c r="I332" s="11">
        <v>46070</v>
      </c>
      <c r="J332" s="11">
        <v>46066</v>
      </c>
      <c r="K332" s="13"/>
    </row>
    <row r="333" spans="1:11" ht="18" x14ac:dyDescent="0.4">
      <c r="A333" s="7" t="s">
        <v>0</v>
      </c>
      <c r="B333" s="81" t="s">
        <v>316</v>
      </c>
      <c r="C333" s="57">
        <v>30467</v>
      </c>
      <c r="D333" s="70">
        <v>140593110</v>
      </c>
      <c r="E333" s="57">
        <v>1200</v>
      </c>
      <c r="F333" s="71" t="s">
        <v>317</v>
      </c>
      <c r="G333" s="61">
        <v>0</v>
      </c>
      <c r="H333" s="70">
        <f t="shared" si="4"/>
        <v>0</v>
      </c>
      <c r="I333" s="11">
        <v>46070</v>
      </c>
      <c r="J333" s="11">
        <v>46066</v>
      </c>
      <c r="K333" s="13"/>
    </row>
    <row r="334" spans="1:11" ht="18" x14ac:dyDescent="0.4">
      <c r="A334" s="7" t="s">
        <v>0</v>
      </c>
      <c r="B334" s="81" t="s">
        <v>316</v>
      </c>
      <c r="C334" s="57">
        <v>30467</v>
      </c>
      <c r="D334" s="70">
        <v>140594210</v>
      </c>
      <c r="E334" s="57">
        <v>800</v>
      </c>
      <c r="F334" s="71" t="s">
        <v>318</v>
      </c>
      <c r="G334" s="61">
        <v>0</v>
      </c>
      <c r="H334" s="70">
        <f t="shared" si="4"/>
        <v>0</v>
      </c>
      <c r="I334" s="11">
        <v>46070</v>
      </c>
      <c r="J334" s="11">
        <v>46066</v>
      </c>
      <c r="K334" s="13"/>
    </row>
    <row r="335" spans="1:11" ht="18" x14ac:dyDescent="0.4">
      <c r="A335" s="7" t="s">
        <v>0</v>
      </c>
      <c r="B335" s="81" t="s">
        <v>316</v>
      </c>
      <c r="C335" s="57">
        <v>30467</v>
      </c>
      <c r="D335" s="70">
        <v>517309140</v>
      </c>
      <c r="E335" s="57">
        <v>2500</v>
      </c>
      <c r="F335" s="71" t="s">
        <v>319</v>
      </c>
      <c r="G335" s="61">
        <v>0</v>
      </c>
      <c r="H335" s="70">
        <f t="shared" si="4"/>
        <v>0</v>
      </c>
      <c r="I335" s="11">
        <v>46070</v>
      </c>
      <c r="J335" s="11">
        <v>46066</v>
      </c>
      <c r="K335" s="13"/>
    </row>
    <row r="336" spans="1:11" ht="18" x14ac:dyDescent="0.4">
      <c r="A336" s="7" t="s">
        <v>0</v>
      </c>
      <c r="B336" s="60" t="s">
        <v>320</v>
      </c>
      <c r="C336" s="57">
        <v>19414</v>
      </c>
      <c r="D336" s="70">
        <v>77463090</v>
      </c>
      <c r="E336" s="57">
        <v>430</v>
      </c>
      <c r="F336" s="71" t="s">
        <v>321</v>
      </c>
      <c r="G336" s="61">
        <v>0</v>
      </c>
      <c r="H336" s="70">
        <f t="shared" si="4"/>
        <v>0</v>
      </c>
      <c r="I336" s="11">
        <v>46070</v>
      </c>
      <c r="J336" s="11">
        <v>46066</v>
      </c>
      <c r="K336" s="13"/>
    </row>
    <row r="337" spans="1:11" ht="18" x14ac:dyDescent="0.4">
      <c r="A337" s="7" t="s">
        <v>0</v>
      </c>
      <c r="B337" s="81" t="s">
        <v>320</v>
      </c>
      <c r="C337" s="57">
        <v>19414</v>
      </c>
      <c r="D337" s="70">
        <v>115864240</v>
      </c>
      <c r="E337" s="57">
        <v>300</v>
      </c>
      <c r="F337" s="71" t="s">
        <v>322</v>
      </c>
      <c r="G337" s="61">
        <v>0</v>
      </c>
      <c r="H337" s="70">
        <f t="shared" si="4"/>
        <v>0</v>
      </c>
      <c r="I337" s="11">
        <v>46070</v>
      </c>
      <c r="J337" s="11">
        <v>46066</v>
      </c>
      <c r="K337" s="13"/>
    </row>
    <row r="338" spans="1:11" ht="18" x14ac:dyDescent="0.4">
      <c r="A338" s="7" t="s">
        <v>0</v>
      </c>
      <c r="B338" s="81" t="s">
        <v>320</v>
      </c>
      <c r="C338" s="57">
        <v>19414</v>
      </c>
      <c r="D338" s="70">
        <v>143083240</v>
      </c>
      <c r="E338" s="57">
        <v>260</v>
      </c>
      <c r="F338" s="71" t="s">
        <v>323</v>
      </c>
      <c r="G338" s="61">
        <v>0</v>
      </c>
      <c r="H338" s="70">
        <f t="shared" si="4"/>
        <v>0</v>
      </c>
      <c r="I338" s="11">
        <v>46070</v>
      </c>
      <c r="J338" s="11">
        <v>46066</v>
      </c>
      <c r="K338" s="13"/>
    </row>
    <row r="339" spans="1:11" ht="18" x14ac:dyDescent="0.4">
      <c r="A339" s="7" t="s">
        <v>0</v>
      </c>
      <c r="B339" s="81" t="s">
        <v>320</v>
      </c>
      <c r="C339" s="57">
        <v>19414</v>
      </c>
      <c r="D339" s="70">
        <v>143085240</v>
      </c>
      <c r="E339" s="57">
        <v>210</v>
      </c>
      <c r="F339" s="71" t="s">
        <v>324</v>
      </c>
      <c r="G339" s="61">
        <v>0</v>
      </c>
      <c r="H339" s="70">
        <f t="shared" si="4"/>
        <v>0</v>
      </c>
      <c r="I339" s="11">
        <v>46070</v>
      </c>
      <c r="J339" s="11">
        <v>46066</v>
      </c>
      <c r="K339" s="13"/>
    </row>
    <row r="340" spans="1:11" ht="18" x14ac:dyDescent="0.4">
      <c r="A340" s="7" t="s">
        <v>0</v>
      </c>
      <c r="B340" s="81" t="s">
        <v>320</v>
      </c>
      <c r="C340" s="57">
        <v>19414</v>
      </c>
      <c r="D340" s="70">
        <v>116127240</v>
      </c>
      <c r="E340" s="57">
        <v>2000</v>
      </c>
      <c r="F340" s="71" t="s">
        <v>325</v>
      </c>
      <c r="G340" s="61">
        <v>0</v>
      </c>
      <c r="H340" s="70">
        <f t="shared" si="4"/>
        <v>0</v>
      </c>
      <c r="I340" s="11">
        <v>46070</v>
      </c>
      <c r="J340" s="11">
        <v>46066</v>
      </c>
      <c r="K340" s="13"/>
    </row>
    <row r="341" spans="1:11" ht="18" x14ac:dyDescent="0.4">
      <c r="A341" s="7" t="s">
        <v>0</v>
      </c>
      <c r="B341" s="81" t="s">
        <v>320</v>
      </c>
      <c r="C341" s="57">
        <v>19414</v>
      </c>
      <c r="D341" s="70">
        <v>116131240</v>
      </c>
      <c r="E341" s="57">
        <v>1500</v>
      </c>
      <c r="F341" s="71" t="s">
        <v>326</v>
      </c>
      <c r="G341" s="61">
        <v>0</v>
      </c>
      <c r="H341" s="70">
        <f t="shared" si="4"/>
        <v>0</v>
      </c>
      <c r="I341" s="11">
        <v>46070</v>
      </c>
      <c r="J341" s="11">
        <v>46066</v>
      </c>
      <c r="K341" s="13"/>
    </row>
    <row r="342" spans="1:11" ht="18" x14ac:dyDescent="0.4">
      <c r="A342" s="7" t="s">
        <v>0</v>
      </c>
      <c r="B342" s="81" t="s">
        <v>320</v>
      </c>
      <c r="C342" s="57">
        <v>19414</v>
      </c>
      <c r="D342" s="70">
        <v>117340240</v>
      </c>
      <c r="E342" s="57">
        <v>300</v>
      </c>
      <c r="F342" s="71" t="s">
        <v>327</v>
      </c>
      <c r="G342" s="61">
        <v>0</v>
      </c>
      <c r="H342" s="70">
        <f t="shared" si="4"/>
        <v>0</v>
      </c>
      <c r="I342" s="11">
        <v>46070</v>
      </c>
      <c r="J342" s="11">
        <v>46066</v>
      </c>
      <c r="K342" s="13"/>
    </row>
    <row r="343" spans="1:11" ht="18" x14ac:dyDescent="0.4">
      <c r="A343" s="7" t="s">
        <v>0</v>
      </c>
      <c r="B343" s="81" t="s">
        <v>320</v>
      </c>
      <c r="C343" s="57">
        <v>19414</v>
      </c>
      <c r="D343" s="70">
        <v>160433240</v>
      </c>
      <c r="E343" s="57">
        <v>1000</v>
      </c>
      <c r="F343" s="71" t="s">
        <v>328</v>
      </c>
      <c r="G343" s="61">
        <v>0</v>
      </c>
      <c r="H343" s="70">
        <f t="shared" si="4"/>
        <v>0</v>
      </c>
      <c r="I343" s="11">
        <v>46070</v>
      </c>
      <c r="J343" s="11">
        <v>46066</v>
      </c>
      <c r="K343" s="13"/>
    </row>
    <row r="344" spans="1:11" ht="18" x14ac:dyDescent="0.4">
      <c r="A344" s="7" t="s">
        <v>0</v>
      </c>
      <c r="B344" s="81" t="s">
        <v>320</v>
      </c>
      <c r="C344" s="57">
        <v>19414</v>
      </c>
      <c r="D344" s="70">
        <v>162874240</v>
      </c>
      <c r="E344" s="57">
        <v>500</v>
      </c>
      <c r="F344" s="71" t="s">
        <v>329</v>
      </c>
      <c r="G344" s="61">
        <v>0</v>
      </c>
      <c r="H344" s="70">
        <f t="shared" si="4"/>
        <v>0</v>
      </c>
      <c r="I344" s="11">
        <v>46070</v>
      </c>
      <c r="J344" s="11">
        <v>46066</v>
      </c>
      <c r="K344" s="13"/>
    </row>
    <row r="345" spans="1:11" ht="18" x14ac:dyDescent="0.4">
      <c r="A345" s="7" t="s">
        <v>0</v>
      </c>
      <c r="B345" s="81" t="s">
        <v>320</v>
      </c>
      <c r="C345" s="57">
        <v>19414</v>
      </c>
      <c r="D345" s="70">
        <v>162883240</v>
      </c>
      <c r="E345" s="57">
        <v>500</v>
      </c>
      <c r="F345" s="71" t="s">
        <v>330</v>
      </c>
      <c r="G345" s="61">
        <v>0</v>
      </c>
      <c r="H345" s="70">
        <f t="shared" si="4"/>
        <v>0</v>
      </c>
      <c r="I345" s="11">
        <v>46070</v>
      </c>
      <c r="J345" s="11">
        <v>46066</v>
      </c>
      <c r="K345" s="13"/>
    </row>
    <row r="346" spans="1:11" ht="18" x14ac:dyDescent="0.4">
      <c r="A346" s="7" t="s">
        <v>0</v>
      </c>
      <c r="B346" s="81" t="s">
        <v>320</v>
      </c>
      <c r="C346" s="57">
        <v>19414</v>
      </c>
      <c r="D346" s="70">
        <v>187517240</v>
      </c>
      <c r="E346" s="57">
        <v>1200</v>
      </c>
      <c r="F346" s="71" t="s">
        <v>331</v>
      </c>
      <c r="G346" s="61">
        <v>0</v>
      </c>
      <c r="H346" s="70">
        <f t="shared" si="4"/>
        <v>0</v>
      </c>
      <c r="I346" s="11">
        <v>46070</v>
      </c>
      <c r="J346" s="11">
        <v>46066</v>
      </c>
      <c r="K346" s="13"/>
    </row>
    <row r="347" spans="1:11" ht="18" x14ac:dyDescent="0.4">
      <c r="A347" s="7" t="s">
        <v>0</v>
      </c>
      <c r="B347" s="81" t="s">
        <v>320</v>
      </c>
      <c r="C347" s="57">
        <v>19414</v>
      </c>
      <c r="D347" s="70">
        <v>465484560</v>
      </c>
      <c r="E347" s="57">
        <v>700</v>
      </c>
      <c r="F347" s="71" t="s">
        <v>185</v>
      </c>
      <c r="G347" s="61">
        <v>0</v>
      </c>
      <c r="H347" s="70">
        <f t="shared" si="4"/>
        <v>0</v>
      </c>
      <c r="I347" s="11">
        <v>46070</v>
      </c>
      <c r="J347" s="11">
        <v>46066</v>
      </c>
      <c r="K347" s="13"/>
    </row>
    <row r="348" spans="1:11" ht="18" x14ac:dyDescent="0.4">
      <c r="A348" s="7" t="s">
        <v>0</v>
      </c>
      <c r="B348" s="81" t="s">
        <v>320</v>
      </c>
      <c r="C348" s="57">
        <v>19414</v>
      </c>
      <c r="D348" s="70">
        <v>465484570</v>
      </c>
      <c r="E348" s="57">
        <v>400</v>
      </c>
      <c r="F348" s="71" t="s">
        <v>185</v>
      </c>
      <c r="G348" s="61">
        <v>0</v>
      </c>
      <c r="H348" s="70">
        <f t="shared" si="4"/>
        <v>0</v>
      </c>
      <c r="I348" s="11">
        <v>46070</v>
      </c>
      <c r="J348" s="11">
        <v>46066</v>
      </c>
      <c r="K348" s="13"/>
    </row>
    <row r="349" spans="1:11" ht="18" x14ac:dyDescent="0.4">
      <c r="A349" s="7" t="s">
        <v>0</v>
      </c>
      <c r="B349" s="81" t="s">
        <v>320</v>
      </c>
      <c r="C349" s="57">
        <v>19414</v>
      </c>
      <c r="D349" s="70">
        <v>552607160</v>
      </c>
      <c r="E349" s="57">
        <v>800</v>
      </c>
      <c r="F349" s="71" t="s">
        <v>332</v>
      </c>
      <c r="G349" s="61">
        <v>0</v>
      </c>
      <c r="H349" s="70">
        <f t="shared" si="4"/>
        <v>0</v>
      </c>
      <c r="I349" s="11">
        <v>46070</v>
      </c>
      <c r="J349" s="11">
        <v>46066</v>
      </c>
      <c r="K349" s="13"/>
    </row>
    <row r="350" spans="1:11" ht="18" x14ac:dyDescent="0.4">
      <c r="A350" s="7" t="s">
        <v>0</v>
      </c>
      <c r="B350" s="81" t="s">
        <v>320</v>
      </c>
      <c r="C350" s="57">
        <v>19414</v>
      </c>
      <c r="D350" s="70">
        <v>162860240</v>
      </c>
      <c r="E350" s="57">
        <v>1800</v>
      </c>
      <c r="F350" s="71" t="s">
        <v>315</v>
      </c>
      <c r="G350" s="61">
        <v>0</v>
      </c>
      <c r="H350" s="70">
        <f t="shared" si="4"/>
        <v>0</v>
      </c>
      <c r="I350" s="11">
        <v>46070</v>
      </c>
      <c r="J350" s="11">
        <v>46066</v>
      </c>
      <c r="K350" s="13"/>
    </row>
    <row r="351" spans="1:11" ht="18" x14ac:dyDescent="0.4">
      <c r="A351" s="7" t="s">
        <v>0</v>
      </c>
      <c r="B351" s="81" t="s">
        <v>320</v>
      </c>
      <c r="C351" s="57">
        <v>19414</v>
      </c>
      <c r="D351" s="70">
        <v>187505240</v>
      </c>
      <c r="E351" s="57">
        <v>1000</v>
      </c>
      <c r="F351" s="71" t="s">
        <v>333</v>
      </c>
      <c r="G351" s="61">
        <v>0</v>
      </c>
      <c r="H351" s="70">
        <f t="shared" si="4"/>
        <v>0</v>
      </c>
      <c r="I351" s="11">
        <v>46070</v>
      </c>
      <c r="J351" s="11">
        <v>46066</v>
      </c>
      <c r="K351" s="13"/>
    </row>
    <row r="352" spans="1:11" ht="18" x14ac:dyDescent="0.4">
      <c r="A352" s="7" t="s">
        <v>0</v>
      </c>
      <c r="B352" s="81" t="s">
        <v>320</v>
      </c>
      <c r="C352" s="57">
        <v>19414</v>
      </c>
      <c r="D352" s="70">
        <v>187524240</v>
      </c>
      <c r="E352" s="57">
        <v>800</v>
      </c>
      <c r="F352" s="71" t="s">
        <v>334</v>
      </c>
      <c r="G352" s="61">
        <v>0</v>
      </c>
      <c r="H352" s="70">
        <f t="shared" ref="H352:H415" si="5">+G352/E352</f>
        <v>0</v>
      </c>
      <c r="I352" s="11">
        <v>46070</v>
      </c>
      <c r="J352" s="11">
        <v>46066</v>
      </c>
      <c r="K352" s="13"/>
    </row>
    <row r="353" spans="1:11" ht="18" x14ac:dyDescent="0.4">
      <c r="A353" s="7" t="s">
        <v>0</v>
      </c>
      <c r="B353" s="81" t="s">
        <v>320</v>
      </c>
      <c r="C353" s="57">
        <v>19414</v>
      </c>
      <c r="D353" s="70">
        <v>551872090</v>
      </c>
      <c r="E353" s="57">
        <v>180</v>
      </c>
      <c r="F353" s="71" t="s">
        <v>335</v>
      </c>
      <c r="G353" s="61">
        <v>0</v>
      </c>
      <c r="H353" s="70">
        <f t="shared" si="5"/>
        <v>0</v>
      </c>
      <c r="I353" s="11">
        <v>46070</v>
      </c>
      <c r="J353" s="11">
        <v>46066</v>
      </c>
      <c r="K353" s="13"/>
    </row>
    <row r="354" spans="1:11" ht="18" x14ac:dyDescent="0.4">
      <c r="A354" s="7" t="s">
        <v>0</v>
      </c>
      <c r="B354" s="81" t="s">
        <v>320</v>
      </c>
      <c r="C354" s="57">
        <v>19414</v>
      </c>
      <c r="D354" s="70">
        <v>735012020</v>
      </c>
      <c r="E354" s="57">
        <v>220</v>
      </c>
      <c r="F354" s="71" t="s">
        <v>336</v>
      </c>
      <c r="G354" s="61">
        <v>0</v>
      </c>
      <c r="H354" s="70">
        <f t="shared" si="5"/>
        <v>0</v>
      </c>
      <c r="I354" s="11">
        <v>46070</v>
      </c>
      <c r="J354" s="11">
        <v>46066</v>
      </c>
      <c r="K354" s="13"/>
    </row>
    <row r="355" spans="1:11" ht="18" x14ac:dyDescent="0.4">
      <c r="A355" s="7" t="s">
        <v>0</v>
      </c>
      <c r="B355" s="81" t="s">
        <v>320</v>
      </c>
      <c r="C355" s="57">
        <v>19414</v>
      </c>
      <c r="D355" s="70">
        <v>735012040</v>
      </c>
      <c r="E355" s="57">
        <v>250</v>
      </c>
      <c r="F355" s="71" t="s">
        <v>337</v>
      </c>
      <c r="G355" s="61">
        <v>0</v>
      </c>
      <c r="H355" s="70">
        <f t="shared" si="5"/>
        <v>0</v>
      </c>
      <c r="I355" s="11">
        <v>46070</v>
      </c>
      <c r="J355" s="11">
        <v>46066</v>
      </c>
      <c r="K355" s="13"/>
    </row>
    <row r="356" spans="1:11" ht="18" x14ac:dyDescent="0.4">
      <c r="A356" s="7" t="s">
        <v>0</v>
      </c>
      <c r="B356" s="81" t="s">
        <v>320</v>
      </c>
      <c r="C356" s="57">
        <v>19414</v>
      </c>
      <c r="D356" s="70">
        <v>735012080</v>
      </c>
      <c r="E356" s="57">
        <v>600</v>
      </c>
      <c r="F356" s="71" t="s">
        <v>338</v>
      </c>
      <c r="G356" s="61">
        <v>0</v>
      </c>
      <c r="H356" s="70">
        <f t="shared" si="5"/>
        <v>0</v>
      </c>
      <c r="I356" s="11">
        <v>46070</v>
      </c>
      <c r="J356" s="11">
        <v>46066</v>
      </c>
      <c r="K356" s="13"/>
    </row>
    <row r="357" spans="1:11" ht="18" x14ac:dyDescent="0.4">
      <c r="A357" s="7" t="s">
        <v>0</v>
      </c>
      <c r="B357" s="81" t="s">
        <v>320</v>
      </c>
      <c r="C357" s="57">
        <v>19414</v>
      </c>
      <c r="D357" s="70">
        <v>135872210</v>
      </c>
      <c r="E357" s="57">
        <v>2800</v>
      </c>
      <c r="F357" s="71" t="s">
        <v>339</v>
      </c>
      <c r="G357" s="61">
        <v>0</v>
      </c>
      <c r="H357" s="70">
        <f t="shared" si="5"/>
        <v>0</v>
      </c>
      <c r="I357" s="11">
        <v>46070</v>
      </c>
      <c r="J357" s="11">
        <v>46066</v>
      </c>
      <c r="K357" s="13"/>
    </row>
    <row r="358" spans="1:11" ht="18" x14ac:dyDescent="0.4">
      <c r="A358" s="7" t="s">
        <v>0</v>
      </c>
      <c r="B358" s="81" t="s">
        <v>340</v>
      </c>
      <c r="C358" s="57">
        <v>27951</v>
      </c>
      <c r="D358" s="70">
        <v>162870240</v>
      </c>
      <c r="E358" s="57">
        <v>800</v>
      </c>
      <c r="F358" s="71" t="s">
        <v>341</v>
      </c>
      <c r="G358" s="61">
        <v>0</v>
      </c>
      <c r="H358" s="70">
        <f t="shared" si="5"/>
        <v>0</v>
      </c>
      <c r="I358" s="11">
        <v>46070</v>
      </c>
      <c r="J358" s="11">
        <v>46066</v>
      </c>
      <c r="K358" s="13"/>
    </row>
    <row r="359" spans="1:11" ht="18" x14ac:dyDescent="0.4">
      <c r="A359" s="7" t="s">
        <v>0</v>
      </c>
      <c r="B359" s="81" t="s">
        <v>340</v>
      </c>
      <c r="C359" s="57">
        <v>27951</v>
      </c>
      <c r="D359" s="70">
        <v>552581940</v>
      </c>
      <c r="E359" s="57">
        <v>800</v>
      </c>
      <c r="F359" s="71" t="s">
        <v>342</v>
      </c>
      <c r="G359" s="61">
        <v>0</v>
      </c>
      <c r="H359" s="70">
        <f t="shared" si="5"/>
        <v>0</v>
      </c>
      <c r="I359" s="11">
        <v>46070</v>
      </c>
      <c r="J359" s="11">
        <v>46066</v>
      </c>
      <c r="K359" s="13"/>
    </row>
    <row r="360" spans="1:11" ht="18" x14ac:dyDescent="0.4">
      <c r="A360" s="7" t="s">
        <v>0</v>
      </c>
      <c r="B360" s="81" t="s">
        <v>343</v>
      </c>
      <c r="C360" s="57">
        <v>10627</v>
      </c>
      <c r="D360" s="70">
        <v>116123240</v>
      </c>
      <c r="E360" s="57">
        <v>18000</v>
      </c>
      <c r="F360" s="71" t="s">
        <v>344</v>
      </c>
      <c r="G360" s="61">
        <v>0</v>
      </c>
      <c r="H360" s="70">
        <f t="shared" si="5"/>
        <v>0</v>
      </c>
      <c r="I360" s="11">
        <v>46070</v>
      </c>
      <c r="J360" s="11">
        <v>46066</v>
      </c>
      <c r="K360" s="13"/>
    </row>
    <row r="361" spans="1:11" ht="18" x14ac:dyDescent="0.4">
      <c r="A361" s="7" t="s">
        <v>0</v>
      </c>
      <c r="B361" s="81" t="s">
        <v>137</v>
      </c>
      <c r="C361" s="57">
        <v>36019</v>
      </c>
      <c r="D361" s="70">
        <v>130307240</v>
      </c>
      <c r="E361" s="57">
        <v>350</v>
      </c>
      <c r="F361" s="71" t="s">
        <v>345</v>
      </c>
      <c r="G361" s="61">
        <v>0</v>
      </c>
      <c r="H361" s="70">
        <f t="shared" si="5"/>
        <v>0</v>
      </c>
      <c r="I361" s="11">
        <v>46070</v>
      </c>
      <c r="J361" s="11">
        <v>46066</v>
      </c>
      <c r="K361" s="13"/>
    </row>
    <row r="362" spans="1:11" ht="18" x14ac:dyDescent="0.4">
      <c r="A362" s="7" t="s">
        <v>0</v>
      </c>
      <c r="B362" s="81" t="s">
        <v>137</v>
      </c>
      <c r="C362" s="57">
        <v>36019</v>
      </c>
      <c r="D362" s="70">
        <v>143078240</v>
      </c>
      <c r="E362" s="57">
        <v>350</v>
      </c>
      <c r="F362" s="71" t="s">
        <v>346</v>
      </c>
      <c r="G362" s="61">
        <v>0</v>
      </c>
      <c r="H362" s="70">
        <f t="shared" si="5"/>
        <v>0</v>
      </c>
      <c r="I362" s="11">
        <v>46070</v>
      </c>
      <c r="J362" s="11">
        <v>46066</v>
      </c>
      <c r="K362" s="13"/>
    </row>
    <row r="363" spans="1:11" ht="18" x14ac:dyDescent="0.4">
      <c r="A363" s="7" t="s">
        <v>0</v>
      </c>
      <c r="B363" s="81" t="s">
        <v>137</v>
      </c>
      <c r="C363" s="57">
        <v>36019</v>
      </c>
      <c r="D363" s="70">
        <v>159720240</v>
      </c>
      <c r="E363" s="57">
        <v>130</v>
      </c>
      <c r="F363" s="71" t="s">
        <v>347</v>
      </c>
      <c r="G363" s="61">
        <v>0</v>
      </c>
      <c r="H363" s="70">
        <f t="shared" si="5"/>
        <v>0</v>
      </c>
      <c r="I363" s="11">
        <v>46070</v>
      </c>
      <c r="J363" s="11">
        <v>46066</v>
      </c>
      <c r="K363" s="13"/>
    </row>
    <row r="364" spans="1:11" ht="18" x14ac:dyDescent="0.4">
      <c r="A364" s="7" t="s">
        <v>0</v>
      </c>
      <c r="B364" s="81" t="s">
        <v>137</v>
      </c>
      <c r="C364" s="57">
        <v>36019</v>
      </c>
      <c r="D364" s="70">
        <v>187502240</v>
      </c>
      <c r="E364" s="57">
        <v>1400</v>
      </c>
      <c r="F364" s="71" t="s">
        <v>348</v>
      </c>
      <c r="G364" s="61">
        <v>0</v>
      </c>
      <c r="H364" s="70">
        <f t="shared" si="5"/>
        <v>0</v>
      </c>
      <c r="I364" s="11">
        <v>46070</v>
      </c>
      <c r="J364" s="11">
        <v>46066</v>
      </c>
      <c r="K364" s="13"/>
    </row>
    <row r="365" spans="1:11" ht="18" x14ac:dyDescent="0.4">
      <c r="A365" s="7" t="s">
        <v>0</v>
      </c>
      <c r="B365" s="81" t="s">
        <v>137</v>
      </c>
      <c r="C365" s="57">
        <v>36019</v>
      </c>
      <c r="D365" s="70">
        <v>187528210</v>
      </c>
      <c r="E365" s="57">
        <v>1400</v>
      </c>
      <c r="F365" s="71" t="s">
        <v>349</v>
      </c>
      <c r="G365" s="61">
        <v>0</v>
      </c>
      <c r="H365" s="70">
        <f t="shared" si="5"/>
        <v>0</v>
      </c>
      <c r="I365" s="11">
        <v>46070</v>
      </c>
      <c r="J365" s="11">
        <v>46066</v>
      </c>
      <c r="K365" s="13"/>
    </row>
    <row r="366" spans="1:11" ht="18" x14ac:dyDescent="0.4">
      <c r="A366" s="7" t="s">
        <v>0</v>
      </c>
      <c r="B366" s="81" t="s">
        <v>137</v>
      </c>
      <c r="C366" s="57">
        <v>36019</v>
      </c>
      <c r="D366" s="70">
        <v>463472570</v>
      </c>
      <c r="E366" s="57">
        <v>1200</v>
      </c>
      <c r="F366" s="71" t="s">
        <v>350</v>
      </c>
      <c r="G366" s="61">
        <v>0</v>
      </c>
      <c r="H366" s="70">
        <f t="shared" si="5"/>
        <v>0</v>
      </c>
      <c r="I366" s="11">
        <v>46070</v>
      </c>
      <c r="J366" s="11">
        <v>46066</v>
      </c>
      <c r="K366" s="13"/>
    </row>
    <row r="367" spans="1:11" ht="18" x14ac:dyDescent="0.4">
      <c r="A367" s="7" t="s">
        <v>0</v>
      </c>
      <c r="B367" s="81" t="s">
        <v>137</v>
      </c>
      <c r="C367" s="57">
        <v>36019</v>
      </c>
      <c r="D367" s="70">
        <v>551877370</v>
      </c>
      <c r="E367" s="57">
        <v>3600</v>
      </c>
      <c r="F367" s="71" t="s">
        <v>351</v>
      </c>
      <c r="G367" s="61">
        <v>0</v>
      </c>
      <c r="H367" s="70">
        <f t="shared" si="5"/>
        <v>0</v>
      </c>
      <c r="I367" s="11">
        <v>46070</v>
      </c>
      <c r="J367" s="11">
        <v>46066</v>
      </c>
      <c r="K367" s="13"/>
    </row>
    <row r="368" spans="1:11" ht="18" x14ac:dyDescent="0.4">
      <c r="A368" s="7" t="s">
        <v>0</v>
      </c>
      <c r="B368" s="81" t="s">
        <v>137</v>
      </c>
      <c r="C368" s="57">
        <v>36019</v>
      </c>
      <c r="D368" s="70">
        <v>552501310</v>
      </c>
      <c r="E368" s="57">
        <v>350</v>
      </c>
      <c r="F368" s="71" t="s">
        <v>352</v>
      </c>
      <c r="G368" s="61">
        <v>0</v>
      </c>
      <c r="H368" s="70">
        <f t="shared" si="5"/>
        <v>0</v>
      </c>
      <c r="I368" s="11">
        <v>46070</v>
      </c>
      <c r="J368" s="11">
        <v>46066</v>
      </c>
      <c r="K368" s="13"/>
    </row>
    <row r="369" spans="1:11" ht="18" x14ac:dyDescent="0.4">
      <c r="A369" s="7" t="s">
        <v>0</v>
      </c>
      <c r="B369" s="81" t="s">
        <v>137</v>
      </c>
      <c r="C369" s="57">
        <v>36019</v>
      </c>
      <c r="D369" s="70">
        <v>552261740</v>
      </c>
      <c r="E369" s="57">
        <v>250</v>
      </c>
      <c r="F369" s="71" t="s">
        <v>353</v>
      </c>
      <c r="G369" s="61">
        <v>0</v>
      </c>
      <c r="H369" s="70">
        <f t="shared" si="5"/>
        <v>0</v>
      </c>
      <c r="I369" s="11">
        <v>46070</v>
      </c>
      <c r="J369" s="11">
        <v>46066</v>
      </c>
      <c r="K369" s="13"/>
    </row>
    <row r="370" spans="1:11" ht="18" x14ac:dyDescent="0.4">
      <c r="A370" s="7" t="s">
        <v>0</v>
      </c>
      <c r="B370" s="81" t="s">
        <v>137</v>
      </c>
      <c r="C370" s="57">
        <v>36019</v>
      </c>
      <c r="D370" s="70">
        <v>463507860</v>
      </c>
      <c r="E370" s="57">
        <v>150</v>
      </c>
      <c r="F370" s="71" t="s">
        <v>127</v>
      </c>
      <c r="G370" s="61">
        <v>0</v>
      </c>
      <c r="H370" s="70">
        <f t="shared" si="5"/>
        <v>0</v>
      </c>
      <c r="I370" s="11">
        <v>46070</v>
      </c>
      <c r="J370" s="11">
        <v>46066</v>
      </c>
      <c r="K370" s="13"/>
    </row>
    <row r="371" spans="1:11" ht="18" x14ac:dyDescent="0.4">
      <c r="A371" s="14" t="s">
        <v>0</v>
      </c>
      <c r="B371" s="84" t="s">
        <v>137</v>
      </c>
      <c r="C371" s="78">
        <v>36019</v>
      </c>
      <c r="D371" s="79">
        <v>552589360</v>
      </c>
      <c r="E371" s="78">
        <v>230</v>
      </c>
      <c r="F371" s="80" t="s">
        <v>127</v>
      </c>
      <c r="G371" s="90">
        <v>0</v>
      </c>
      <c r="H371" s="70">
        <f t="shared" si="5"/>
        <v>0</v>
      </c>
      <c r="I371" s="36">
        <v>46070</v>
      </c>
      <c r="J371" s="36">
        <v>46066</v>
      </c>
      <c r="K371" s="15"/>
    </row>
    <row r="372" spans="1:11" ht="18" x14ac:dyDescent="0.4">
      <c r="A372" s="7" t="s">
        <v>719</v>
      </c>
      <c r="B372" s="97" t="s">
        <v>354</v>
      </c>
      <c r="C372" s="8">
        <v>30464</v>
      </c>
      <c r="D372" s="9">
        <v>76272340</v>
      </c>
      <c r="E372" s="57">
        <v>400</v>
      </c>
      <c r="F372" s="10" t="s">
        <v>355</v>
      </c>
      <c r="G372" s="9">
        <v>0</v>
      </c>
      <c r="H372" s="70">
        <f t="shared" si="5"/>
        <v>0</v>
      </c>
      <c r="I372" s="11">
        <v>46070</v>
      </c>
      <c r="J372" s="11">
        <v>46066</v>
      </c>
      <c r="K372" s="17"/>
    </row>
    <row r="373" spans="1:11" ht="18" x14ac:dyDescent="0.4">
      <c r="A373" s="7" t="s">
        <v>719</v>
      </c>
      <c r="B373" s="7" t="s">
        <v>354</v>
      </c>
      <c r="C373" s="8">
        <v>30464</v>
      </c>
      <c r="D373" s="9">
        <v>463444260</v>
      </c>
      <c r="E373" s="57">
        <v>200</v>
      </c>
      <c r="F373" s="10" t="s">
        <v>356</v>
      </c>
      <c r="G373" s="9">
        <v>0</v>
      </c>
      <c r="H373" s="70">
        <f t="shared" si="5"/>
        <v>0</v>
      </c>
      <c r="I373" s="11">
        <v>46070</v>
      </c>
      <c r="J373" s="11">
        <v>46066</v>
      </c>
      <c r="K373" s="13"/>
    </row>
    <row r="374" spans="1:11" ht="18" x14ac:dyDescent="0.4">
      <c r="A374" s="7" t="s">
        <v>719</v>
      </c>
      <c r="B374" s="7" t="s">
        <v>357</v>
      </c>
      <c r="C374" s="8">
        <v>19414</v>
      </c>
      <c r="D374" s="9">
        <v>552679400</v>
      </c>
      <c r="E374" s="57">
        <v>1500</v>
      </c>
      <c r="F374" s="10" t="s">
        <v>168</v>
      </c>
      <c r="G374" s="9">
        <v>0</v>
      </c>
      <c r="H374" s="70">
        <f t="shared" si="5"/>
        <v>0</v>
      </c>
      <c r="I374" s="11">
        <v>46070</v>
      </c>
      <c r="J374" s="11">
        <v>46066</v>
      </c>
      <c r="K374" s="13"/>
    </row>
    <row r="375" spans="1:11" ht="18" x14ac:dyDescent="0.4">
      <c r="A375" s="7" t="s">
        <v>719</v>
      </c>
      <c r="B375" s="7" t="s">
        <v>357</v>
      </c>
      <c r="C375" s="8">
        <v>19414</v>
      </c>
      <c r="D375" s="9">
        <v>463584330</v>
      </c>
      <c r="E375" s="57">
        <v>1500</v>
      </c>
      <c r="F375" s="10" t="s">
        <v>168</v>
      </c>
      <c r="G375" s="9">
        <v>0</v>
      </c>
      <c r="H375" s="70">
        <f t="shared" si="5"/>
        <v>0</v>
      </c>
      <c r="I375" s="11">
        <v>46070</v>
      </c>
      <c r="J375" s="11">
        <v>46066</v>
      </c>
      <c r="K375" s="13"/>
    </row>
    <row r="376" spans="1:11" ht="18" x14ac:dyDescent="0.4">
      <c r="A376" s="7" t="s">
        <v>719</v>
      </c>
      <c r="B376" s="7" t="s">
        <v>357</v>
      </c>
      <c r="C376" s="8">
        <v>19414</v>
      </c>
      <c r="D376" s="9">
        <v>552709810</v>
      </c>
      <c r="E376" s="57">
        <v>100</v>
      </c>
      <c r="F376" s="10" t="s">
        <v>358</v>
      </c>
      <c r="G376" s="9">
        <v>0</v>
      </c>
      <c r="H376" s="70">
        <f t="shared" si="5"/>
        <v>0</v>
      </c>
      <c r="I376" s="11">
        <v>46070</v>
      </c>
      <c r="J376" s="11">
        <v>46066</v>
      </c>
      <c r="K376" s="13"/>
    </row>
    <row r="377" spans="1:11" ht="18" x14ac:dyDescent="0.4">
      <c r="A377" s="7" t="s">
        <v>719</v>
      </c>
      <c r="B377" s="7" t="s">
        <v>357</v>
      </c>
      <c r="C377" s="8">
        <v>19414</v>
      </c>
      <c r="D377" s="9">
        <v>552679990</v>
      </c>
      <c r="E377" s="57">
        <v>600</v>
      </c>
      <c r="F377" s="10" t="s">
        <v>359</v>
      </c>
      <c r="G377" s="9">
        <v>0</v>
      </c>
      <c r="H377" s="70">
        <f t="shared" si="5"/>
        <v>0</v>
      </c>
      <c r="I377" s="11">
        <v>46070</v>
      </c>
      <c r="J377" s="11">
        <v>46066</v>
      </c>
      <c r="K377" s="13"/>
    </row>
    <row r="378" spans="1:11" ht="18" x14ac:dyDescent="0.4">
      <c r="A378" s="7" t="s">
        <v>719</v>
      </c>
      <c r="B378" s="7" t="s">
        <v>357</v>
      </c>
      <c r="C378" s="8">
        <v>19414</v>
      </c>
      <c r="D378" s="9">
        <v>552819860</v>
      </c>
      <c r="E378" s="57">
        <v>50</v>
      </c>
      <c r="F378" s="10" t="s">
        <v>360</v>
      </c>
      <c r="G378" s="9">
        <v>0</v>
      </c>
      <c r="H378" s="70">
        <f t="shared" si="5"/>
        <v>0</v>
      </c>
      <c r="I378" s="11">
        <v>46070</v>
      </c>
      <c r="J378" s="11">
        <v>46066</v>
      </c>
      <c r="K378" s="13"/>
    </row>
    <row r="379" spans="1:11" ht="18" x14ac:dyDescent="0.4">
      <c r="A379" s="7" t="s">
        <v>719</v>
      </c>
      <c r="B379" s="7" t="s">
        <v>357</v>
      </c>
      <c r="C379" s="8">
        <v>19414</v>
      </c>
      <c r="D379" s="9">
        <v>552584580</v>
      </c>
      <c r="E379" s="57">
        <v>600</v>
      </c>
      <c r="F379" s="10" t="s">
        <v>361</v>
      </c>
      <c r="G379" s="9">
        <v>0</v>
      </c>
      <c r="H379" s="70">
        <f t="shared" si="5"/>
        <v>0</v>
      </c>
      <c r="I379" s="11">
        <v>46070</v>
      </c>
      <c r="J379" s="11">
        <v>46066</v>
      </c>
      <c r="K379" s="13"/>
    </row>
    <row r="380" spans="1:11" ht="18" x14ac:dyDescent="0.4">
      <c r="A380" s="7" t="s">
        <v>719</v>
      </c>
      <c r="B380" s="7" t="s">
        <v>357</v>
      </c>
      <c r="C380" s="8">
        <v>19414</v>
      </c>
      <c r="D380" s="9">
        <v>552691000</v>
      </c>
      <c r="E380" s="57">
        <v>800</v>
      </c>
      <c r="F380" s="10" t="s">
        <v>362</v>
      </c>
      <c r="G380" s="9">
        <v>0</v>
      </c>
      <c r="H380" s="70">
        <f t="shared" si="5"/>
        <v>0</v>
      </c>
      <c r="I380" s="11">
        <v>46070</v>
      </c>
      <c r="J380" s="11">
        <v>46066</v>
      </c>
      <c r="K380" s="13"/>
    </row>
    <row r="381" spans="1:11" ht="18" x14ac:dyDescent="0.4">
      <c r="A381" s="7" t="s">
        <v>719</v>
      </c>
      <c r="B381" s="7" t="s">
        <v>357</v>
      </c>
      <c r="C381" s="8">
        <v>19414</v>
      </c>
      <c r="D381" s="9">
        <v>187529240</v>
      </c>
      <c r="E381" s="57">
        <v>400</v>
      </c>
      <c r="F381" s="10" t="s">
        <v>363</v>
      </c>
      <c r="G381" s="9">
        <v>0</v>
      </c>
      <c r="H381" s="70">
        <f t="shared" si="5"/>
        <v>0</v>
      </c>
      <c r="I381" s="11">
        <v>46070</v>
      </c>
      <c r="J381" s="11">
        <v>46066</v>
      </c>
      <c r="K381" s="13"/>
    </row>
    <row r="382" spans="1:11" ht="18" x14ac:dyDescent="0.4">
      <c r="A382" s="7" t="s">
        <v>719</v>
      </c>
      <c r="B382" s="7" t="s">
        <v>357</v>
      </c>
      <c r="C382" s="8">
        <v>19414</v>
      </c>
      <c r="D382" s="9">
        <v>552836160</v>
      </c>
      <c r="E382" s="57">
        <v>800</v>
      </c>
      <c r="F382" s="10" t="s">
        <v>364</v>
      </c>
      <c r="G382" s="9">
        <v>0</v>
      </c>
      <c r="H382" s="70">
        <f t="shared" si="5"/>
        <v>0</v>
      </c>
      <c r="I382" s="11">
        <v>46070</v>
      </c>
      <c r="J382" s="11">
        <v>46066</v>
      </c>
      <c r="K382" s="13"/>
    </row>
    <row r="383" spans="1:11" ht="18" x14ac:dyDescent="0.4">
      <c r="A383" s="7" t="s">
        <v>719</v>
      </c>
      <c r="B383" s="7" t="s">
        <v>357</v>
      </c>
      <c r="C383" s="8">
        <v>19414</v>
      </c>
      <c r="D383" s="9">
        <v>187505240</v>
      </c>
      <c r="E383" s="57">
        <v>1000</v>
      </c>
      <c r="F383" s="10" t="s">
        <v>365</v>
      </c>
      <c r="G383" s="9">
        <v>0</v>
      </c>
      <c r="H383" s="70">
        <f t="shared" si="5"/>
        <v>0</v>
      </c>
      <c r="I383" s="11">
        <v>46070</v>
      </c>
      <c r="J383" s="11">
        <v>46066</v>
      </c>
      <c r="K383" s="13"/>
    </row>
    <row r="384" spans="1:11" ht="18" x14ac:dyDescent="0.4">
      <c r="A384" s="7" t="s">
        <v>719</v>
      </c>
      <c r="B384" s="7" t="s">
        <v>357</v>
      </c>
      <c r="C384" s="8">
        <v>19414</v>
      </c>
      <c r="D384" s="9">
        <v>187517240</v>
      </c>
      <c r="E384" s="57">
        <v>1200</v>
      </c>
      <c r="F384" s="10" t="s">
        <v>366</v>
      </c>
      <c r="G384" s="9">
        <v>0</v>
      </c>
      <c r="H384" s="70">
        <f t="shared" si="5"/>
        <v>0</v>
      </c>
      <c r="I384" s="11">
        <v>46070</v>
      </c>
      <c r="J384" s="11">
        <v>46066</v>
      </c>
      <c r="K384" s="13"/>
    </row>
    <row r="385" spans="1:11" ht="18" x14ac:dyDescent="0.4">
      <c r="A385" s="7" t="s">
        <v>719</v>
      </c>
      <c r="B385" s="7" t="s">
        <v>357</v>
      </c>
      <c r="C385" s="8">
        <v>19414</v>
      </c>
      <c r="D385" s="9">
        <v>463479880</v>
      </c>
      <c r="E385" s="57">
        <v>1000</v>
      </c>
      <c r="F385" s="10" t="s">
        <v>127</v>
      </c>
      <c r="G385" s="9">
        <v>0</v>
      </c>
      <c r="H385" s="70">
        <f t="shared" si="5"/>
        <v>0</v>
      </c>
      <c r="I385" s="11">
        <v>46070</v>
      </c>
      <c r="J385" s="11">
        <v>46066</v>
      </c>
      <c r="K385" s="13"/>
    </row>
    <row r="386" spans="1:11" ht="18" x14ac:dyDescent="0.4">
      <c r="A386" s="7" t="s">
        <v>719</v>
      </c>
      <c r="B386" s="7" t="s">
        <v>367</v>
      </c>
      <c r="C386" s="8">
        <v>20419</v>
      </c>
      <c r="D386" s="9">
        <v>552681860</v>
      </c>
      <c r="E386" s="57">
        <v>560</v>
      </c>
      <c r="F386" s="10" t="s">
        <v>234</v>
      </c>
      <c r="G386" s="9">
        <v>1680</v>
      </c>
      <c r="H386" s="70">
        <f t="shared" si="5"/>
        <v>3</v>
      </c>
      <c r="I386" s="11">
        <v>46070</v>
      </c>
      <c r="J386" s="11">
        <v>46066</v>
      </c>
      <c r="K386" s="13"/>
    </row>
    <row r="387" spans="1:11" ht="18" x14ac:dyDescent="0.4">
      <c r="A387" s="7" t="s">
        <v>719</v>
      </c>
      <c r="B387" s="7" t="s">
        <v>367</v>
      </c>
      <c r="C387" s="8">
        <v>20419</v>
      </c>
      <c r="D387" s="9">
        <v>552678480</v>
      </c>
      <c r="E387" s="57">
        <v>800</v>
      </c>
      <c r="F387" s="10" t="s">
        <v>234</v>
      </c>
      <c r="G387" s="9">
        <v>0</v>
      </c>
      <c r="H387" s="70">
        <f t="shared" si="5"/>
        <v>0</v>
      </c>
      <c r="I387" s="11">
        <v>46070</v>
      </c>
      <c r="J387" s="11">
        <v>46066</v>
      </c>
      <c r="K387" s="13"/>
    </row>
    <row r="388" spans="1:11" ht="18" x14ac:dyDescent="0.4">
      <c r="A388" s="7" t="s">
        <v>719</v>
      </c>
      <c r="B388" s="7" t="s">
        <v>368</v>
      </c>
      <c r="C388" s="8">
        <v>32059</v>
      </c>
      <c r="D388" s="9">
        <v>552677450</v>
      </c>
      <c r="E388" s="57">
        <v>4500</v>
      </c>
      <c r="F388" s="10" t="s">
        <v>230</v>
      </c>
      <c r="G388" s="9">
        <v>0</v>
      </c>
      <c r="H388" s="70">
        <f t="shared" si="5"/>
        <v>0</v>
      </c>
      <c r="I388" s="11">
        <v>46070</v>
      </c>
      <c r="J388" s="11">
        <v>46066</v>
      </c>
      <c r="K388" s="13"/>
    </row>
    <row r="389" spans="1:11" ht="18" x14ac:dyDescent="0.4">
      <c r="A389" s="7" t="s">
        <v>719</v>
      </c>
      <c r="B389" s="7" t="s">
        <v>369</v>
      </c>
      <c r="C389" s="8">
        <v>14928</v>
      </c>
      <c r="D389" s="9">
        <v>463404710</v>
      </c>
      <c r="E389" s="57">
        <v>100</v>
      </c>
      <c r="F389" s="10" t="s">
        <v>370</v>
      </c>
      <c r="G389" s="9">
        <v>0</v>
      </c>
      <c r="H389" s="70">
        <f t="shared" si="5"/>
        <v>0</v>
      </c>
      <c r="I389" s="11">
        <v>46070</v>
      </c>
      <c r="J389" s="11">
        <v>46066</v>
      </c>
      <c r="K389" s="13"/>
    </row>
    <row r="390" spans="1:11" ht="18" x14ac:dyDescent="0.4">
      <c r="A390" s="7" t="s">
        <v>719</v>
      </c>
      <c r="B390" s="7" t="s">
        <v>371</v>
      </c>
      <c r="C390" s="8">
        <v>78605</v>
      </c>
      <c r="D390" s="9">
        <v>552679850</v>
      </c>
      <c r="E390" s="57">
        <v>300</v>
      </c>
      <c r="F390" s="10" t="s">
        <v>281</v>
      </c>
      <c r="G390" s="9">
        <v>0</v>
      </c>
      <c r="H390" s="70">
        <f t="shared" si="5"/>
        <v>0</v>
      </c>
      <c r="I390" s="11">
        <v>46070</v>
      </c>
      <c r="J390" s="11">
        <v>46066</v>
      </c>
      <c r="K390" s="13"/>
    </row>
    <row r="391" spans="1:11" ht="18" x14ac:dyDescent="0.4">
      <c r="A391" s="7" t="s">
        <v>719</v>
      </c>
      <c r="B391" s="7" t="s">
        <v>372</v>
      </c>
      <c r="C391" s="8">
        <v>27951</v>
      </c>
      <c r="D391" s="9">
        <v>463411550</v>
      </c>
      <c r="E391" s="57">
        <v>1100</v>
      </c>
      <c r="F391" s="10" t="s">
        <v>373</v>
      </c>
      <c r="G391" s="9">
        <v>0</v>
      </c>
      <c r="H391" s="70">
        <f t="shared" si="5"/>
        <v>0</v>
      </c>
      <c r="I391" s="11">
        <v>46070</v>
      </c>
      <c r="J391" s="11">
        <v>46066</v>
      </c>
      <c r="K391" s="13"/>
    </row>
    <row r="392" spans="1:11" ht="18" x14ac:dyDescent="0.4">
      <c r="A392" s="7" t="s">
        <v>719</v>
      </c>
      <c r="B392" s="7" t="s">
        <v>372</v>
      </c>
      <c r="C392" s="8">
        <v>27951</v>
      </c>
      <c r="D392" s="9">
        <v>463415550</v>
      </c>
      <c r="E392" s="57">
        <v>800</v>
      </c>
      <c r="F392" s="10" t="s">
        <v>374</v>
      </c>
      <c r="G392" s="9">
        <v>0</v>
      </c>
      <c r="H392" s="70">
        <f t="shared" si="5"/>
        <v>0</v>
      </c>
      <c r="I392" s="11">
        <v>46070</v>
      </c>
      <c r="J392" s="11">
        <v>46066</v>
      </c>
      <c r="K392" s="13"/>
    </row>
    <row r="393" spans="1:11" ht="18" x14ac:dyDescent="0.4">
      <c r="A393" s="7" t="s">
        <v>719</v>
      </c>
      <c r="B393" s="7" t="s">
        <v>375</v>
      </c>
      <c r="C393" s="8">
        <v>24229</v>
      </c>
      <c r="D393" s="9">
        <v>463471630</v>
      </c>
      <c r="E393" s="57">
        <v>200</v>
      </c>
      <c r="F393" s="10" t="s">
        <v>376</v>
      </c>
      <c r="G393" s="9">
        <v>0</v>
      </c>
      <c r="H393" s="70">
        <f t="shared" si="5"/>
        <v>0</v>
      </c>
      <c r="I393" s="11">
        <v>46070</v>
      </c>
      <c r="J393" s="11">
        <v>46066</v>
      </c>
      <c r="K393" s="13"/>
    </row>
    <row r="394" spans="1:11" ht="18" x14ac:dyDescent="0.4">
      <c r="A394" s="7" t="s">
        <v>719</v>
      </c>
      <c r="B394" s="7" t="s">
        <v>375</v>
      </c>
      <c r="C394" s="8">
        <v>24229</v>
      </c>
      <c r="D394" s="9">
        <v>463508000</v>
      </c>
      <c r="E394" s="57">
        <v>120</v>
      </c>
      <c r="F394" s="10" t="s">
        <v>271</v>
      </c>
      <c r="G394" s="9">
        <v>0</v>
      </c>
      <c r="H394" s="70">
        <f t="shared" si="5"/>
        <v>0</v>
      </c>
      <c r="I394" s="11">
        <v>46070</v>
      </c>
      <c r="J394" s="11">
        <v>46066</v>
      </c>
      <c r="K394" s="13"/>
    </row>
    <row r="395" spans="1:11" ht="18" x14ac:dyDescent="0.4">
      <c r="A395" s="7" t="s">
        <v>719</v>
      </c>
      <c r="B395" s="7" t="s">
        <v>377</v>
      </c>
      <c r="C395" s="8">
        <v>36019</v>
      </c>
      <c r="D395" s="9">
        <v>552768830</v>
      </c>
      <c r="E395" s="57">
        <v>2200</v>
      </c>
      <c r="F395" s="10" t="s">
        <v>378</v>
      </c>
      <c r="G395" s="9">
        <v>0</v>
      </c>
      <c r="H395" s="70">
        <f t="shared" si="5"/>
        <v>0</v>
      </c>
      <c r="I395" s="11">
        <v>46070</v>
      </c>
      <c r="J395" s="11">
        <v>46066</v>
      </c>
      <c r="K395" s="13"/>
    </row>
    <row r="396" spans="1:11" ht="18" x14ac:dyDescent="0.4">
      <c r="A396" s="7" t="s">
        <v>719</v>
      </c>
      <c r="B396" s="7" t="s">
        <v>377</v>
      </c>
      <c r="C396" s="8">
        <v>36019</v>
      </c>
      <c r="D396" s="9">
        <v>552686720</v>
      </c>
      <c r="E396" s="57">
        <v>250</v>
      </c>
      <c r="F396" s="10" t="s">
        <v>379</v>
      </c>
      <c r="G396" s="9">
        <v>0</v>
      </c>
      <c r="H396" s="70">
        <f t="shared" si="5"/>
        <v>0</v>
      </c>
      <c r="I396" s="11">
        <v>46070</v>
      </c>
      <c r="J396" s="11">
        <v>46066</v>
      </c>
      <c r="K396" s="13"/>
    </row>
    <row r="397" spans="1:11" ht="18" x14ac:dyDescent="0.4">
      <c r="A397" s="7" t="s">
        <v>719</v>
      </c>
      <c r="B397" s="7" t="s">
        <v>377</v>
      </c>
      <c r="C397" s="8">
        <v>36019</v>
      </c>
      <c r="D397" s="9">
        <v>552693200</v>
      </c>
      <c r="E397" s="57">
        <v>1000</v>
      </c>
      <c r="F397" s="10" t="s">
        <v>380</v>
      </c>
      <c r="G397" s="9">
        <v>0</v>
      </c>
      <c r="H397" s="70">
        <f t="shared" si="5"/>
        <v>0</v>
      </c>
      <c r="I397" s="11">
        <v>46070</v>
      </c>
      <c r="J397" s="11">
        <v>46066</v>
      </c>
      <c r="K397" s="13"/>
    </row>
    <row r="398" spans="1:11" ht="18" x14ac:dyDescent="0.4">
      <c r="A398" s="7" t="s">
        <v>719</v>
      </c>
      <c r="B398" s="7" t="s">
        <v>377</v>
      </c>
      <c r="C398" s="8">
        <v>36019</v>
      </c>
      <c r="D398" s="9">
        <v>552728620</v>
      </c>
      <c r="E398" s="57">
        <v>1500</v>
      </c>
      <c r="F398" s="10" t="s">
        <v>381</v>
      </c>
      <c r="G398" s="9">
        <v>0</v>
      </c>
      <c r="H398" s="70">
        <f t="shared" si="5"/>
        <v>0</v>
      </c>
      <c r="I398" s="11">
        <v>46070</v>
      </c>
      <c r="J398" s="11">
        <v>46066</v>
      </c>
      <c r="K398" s="13"/>
    </row>
    <row r="399" spans="1:11" ht="18" x14ac:dyDescent="0.4">
      <c r="A399" s="7" t="s">
        <v>719</v>
      </c>
      <c r="B399" s="7" t="s">
        <v>377</v>
      </c>
      <c r="C399" s="8">
        <v>36019</v>
      </c>
      <c r="D399" s="9">
        <v>552679970</v>
      </c>
      <c r="E399" s="57">
        <v>1200</v>
      </c>
      <c r="F399" s="10" t="s">
        <v>382</v>
      </c>
      <c r="G399" s="9">
        <v>0</v>
      </c>
      <c r="H399" s="70">
        <f t="shared" si="5"/>
        <v>0</v>
      </c>
      <c r="I399" s="11">
        <v>46070</v>
      </c>
      <c r="J399" s="11">
        <v>46066</v>
      </c>
      <c r="K399" s="13"/>
    </row>
    <row r="400" spans="1:11" ht="18" x14ac:dyDescent="0.4">
      <c r="A400" s="7" t="s">
        <v>719</v>
      </c>
      <c r="B400" s="7" t="s">
        <v>377</v>
      </c>
      <c r="C400" s="8">
        <v>36019</v>
      </c>
      <c r="D400" s="9">
        <v>552677410</v>
      </c>
      <c r="E400" s="57">
        <v>200</v>
      </c>
      <c r="F400" s="10" t="s">
        <v>383</v>
      </c>
      <c r="G400" s="9">
        <v>0</v>
      </c>
      <c r="H400" s="70">
        <f t="shared" si="5"/>
        <v>0</v>
      </c>
      <c r="I400" s="11">
        <v>46070</v>
      </c>
      <c r="J400" s="11">
        <v>46066</v>
      </c>
      <c r="K400" s="13"/>
    </row>
    <row r="401" spans="1:11" ht="18" x14ac:dyDescent="0.4">
      <c r="A401" s="7" t="s">
        <v>719</v>
      </c>
      <c r="B401" s="7" t="s">
        <v>377</v>
      </c>
      <c r="C401" s="8">
        <v>36019</v>
      </c>
      <c r="D401" s="9">
        <v>463535790</v>
      </c>
      <c r="E401" s="57">
        <v>700</v>
      </c>
      <c r="F401" s="10" t="s">
        <v>384</v>
      </c>
      <c r="G401" s="9">
        <v>0</v>
      </c>
      <c r="H401" s="70">
        <f t="shared" si="5"/>
        <v>0</v>
      </c>
      <c r="I401" s="11">
        <v>46070</v>
      </c>
      <c r="J401" s="11">
        <v>46066</v>
      </c>
      <c r="K401" s="13"/>
    </row>
    <row r="402" spans="1:11" ht="18" x14ac:dyDescent="0.4">
      <c r="A402" s="7" t="s">
        <v>719</v>
      </c>
      <c r="B402" s="7" t="s">
        <v>377</v>
      </c>
      <c r="C402" s="8">
        <v>36019</v>
      </c>
      <c r="D402" s="9">
        <v>463589540</v>
      </c>
      <c r="E402" s="57">
        <v>150</v>
      </c>
      <c r="F402" s="10" t="s">
        <v>385</v>
      </c>
      <c r="G402" s="9">
        <v>0</v>
      </c>
      <c r="H402" s="70">
        <f t="shared" si="5"/>
        <v>0</v>
      </c>
      <c r="I402" s="11">
        <v>46070</v>
      </c>
      <c r="J402" s="11">
        <v>46066</v>
      </c>
      <c r="K402" s="13"/>
    </row>
    <row r="403" spans="1:11" ht="18" x14ac:dyDescent="0.4">
      <c r="A403" s="7" t="s">
        <v>719</v>
      </c>
      <c r="B403" s="7" t="s">
        <v>377</v>
      </c>
      <c r="C403" s="8">
        <v>36019</v>
      </c>
      <c r="D403" s="9">
        <v>463586380</v>
      </c>
      <c r="E403" s="57">
        <v>3000</v>
      </c>
      <c r="F403" s="10" t="s">
        <v>386</v>
      </c>
      <c r="G403" s="9">
        <v>0</v>
      </c>
      <c r="H403" s="70">
        <f t="shared" si="5"/>
        <v>0</v>
      </c>
      <c r="I403" s="11">
        <v>46070</v>
      </c>
      <c r="J403" s="11">
        <v>46066</v>
      </c>
      <c r="K403" s="13"/>
    </row>
    <row r="404" spans="1:11" ht="18" x14ac:dyDescent="0.4">
      <c r="A404" s="7" t="s">
        <v>719</v>
      </c>
      <c r="B404" s="7" t="s">
        <v>377</v>
      </c>
      <c r="C404" s="8">
        <v>36019</v>
      </c>
      <c r="D404" s="9">
        <v>552636100</v>
      </c>
      <c r="E404" s="57">
        <v>200</v>
      </c>
      <c r="F404" s="10" t="s">
        <v>387</v>
      </c>
      <c r="G404" s="9">
        <v>0</v>
      </c>
      <c r="H404" s="70">
        <f t="shared" si="5"/>
        <v>0</v>
      </c>
      <c r="I404" s="11">
        <v>46070</v>
      </c>
      <c r="J404" s="11">
        <v>46066</v>
      </c>
      <c r="K404" s="13"/>
    </row>
    <row r="405" spans="1:11" ht="18" x14ac:dyDescent="0.4">
      <c r="A405" s="7" t="s">
        <v>719</v>
      </c>
      <c r="B405" s="7" t="s">
        <v>377</v>
      </c>
      <c r="C405" s="8">
        <v>36019</v>
      </c>
      <c r="D405" s="9">
        <v>135435340</v>
      </c>
      <c r="E405" s="57">
        <v>900</v>
      </c>
      <c r="F405" s="10" t="s">
        <v>388</v>
      </c>
      <c r="G405" s="9">
        <v>0</v>
      </c>
      <c r="H405" s="70">
        <f t="shared" si="5"/>
        <v>0</v>
      </c>
      <c r="I405" s="11">
        <v>46070</v>
      </c>
      <c r="J405" s="11">
        <v>46066</v>
      </c>
      <c r="K405" s="13"/>
    </row>
    <row r="406" spans="1:11" ht="18" x14ac:dyDescent="0.4">
      <c r="A406" s="7" t="s">
        <v>719</v>
      </c>
      <c r="B406" s="7" t="s">
        <v>377</v>
      </c>
      <c r="C406" s="8">
        <v>36019</v>
      </c>
      <c r="D406" s="9">
        <v>552739160</v>
      </c>
      <c r="E406" s="57">
        <v>500</v>
      </c>
      <c r="F406" s="10" t="s">
        <v>389</v>
      </c>
      <c r="G406" s="9">
        <v>0</v>
      </c>
      <c r="H406" s="70">
        <f t="shared" si="5"/>
        <v>0</v>
      </c>
      <c r="I406" s="11">
        <v>46070</v>
      </c>
      <c r="J406" s="11">
        <v>46066</v>
      </c>
      <c r="K406" s="13"/>
    </row>
    <row r="407" spans="1:11" ht="18" x14ac:dyDescent="0.4">
      <c r="A407" s="7" t="s">
        <v>719</v>
      </c>
      <c r="B407" s="7" t="s">
        <v>377</v>
      </c>
      <c r="C407" s="8">
        <v>36019</v>
      </c>
      <c r="D407" s="9">
        <v>187502240</v>
      </c>
      <c r="E407" s="57">
        <v>1400</v>
      </c>
      <c r="F407" s="10" t="s">
        <v>348</v>
      </c>
      <c r="G407" s="9">
        <v>0</v>
      </c>
      <c r="H407" s="70">
        <f t="shared" si="5"/>
        <v>0</v>
      </c>
      <c r="I407" s="11">
        <v>46070</v>
      </c>
      <c r="J407" s="11">
        <v>46066</v>
      </c>
      <c r="K407" s="13"/>
    </row>
    <row r="408" spans="1:11" ht="18" x14ac:dyDescent="0.4">
      <c r="A408" s="7" t="s">
        <v>719</v>
      </c>
      <c r="B408" s="7" t="s">
        <v>377</v>
      </c>
      <c r="C408" s="8">
        <v>36019</v>
      </c>
      <c r="D408" s="9">
        <v>463375300</v>
      </c>
      <c r="E408" s="57">
        <v>1000</v>
      </c>
      <c r="F408" s="10" t="s">
        <v>390</v>
      </c>
      <c r="G408" s="9">
        <v>0</v>
      </c>
      <c r="H408" s="70">
        <f t="shared" si="5"/>
        <v>0</v>
      </c>
      <c r="I408" s="11">
        <v>46070</v>
      </c>
      <c r="J408" s="11">
        <v>46066</v>
      </c>
      <c r="K408" s="13"/>
    </row>
    <row r="409" spans="1:11" ht="18" x14ac:dyDescent="0.4">
      <c r="A409" s="7" t="s">
        <v>719</v>
      </c>
      <c r="B409" s="7" t="s">
        <v>697</v>
      </c>
      <c r="C409" s="8">
        <v>47104</v>
      </c>
      <c r="D409" s="9">
        <v>463361830</v>
      </c>
      <c r="E409" s="57">
        <v>240</v>
      </c>
      <c r="F409" s="10" t="s">
        <v>23</v>
      </c>
      <c r="G409" s="9">
        <v>1440</v>
      </c>
      <c r="H409" s="70">
        <f t="shared" si="5"/>
        <v>6</v>
      </c>
      <c r="I409" s="11">
        <v>46070</v>
      </c>
      <c r="J409" s="11">
        <v>46066</v>
      </c>
      <c r="K409" s="13"/>
    </row>
    <row r="410" spans="1:11" ht="18" x14ac:dyDescent="0.4">
      <c r="A410" s="7" t="s">
        <v>719</v>
      </c>
      <c r="B410" s="7" t="s">
        <v>697</v>
      </c>
      <c r="C410" s="8">
        <v>47104</v>
      </c>
      <c r="D410" s="9">
        <v>463361840</v>
      </c>
      <c r="E410" s="57">
        <v>240</v>
      </c>
      <c r="F410" s="10" t="s">
        <v>23</v>
      </c>
      <c r="G410" s="9">
        <v>480</v>
      </c>
      <c r="H410" s="70">
        <f t="shared" si="5"/>
        <v>2</v>
      </c>
      <c r="I410" s="11">
        <v>46070</v>
      </c>
      <c r="J410" s="11">
        <v>46066</v>
      </c>
      <c r="K410" s="13"/>
    </row>
    <row r="411" spans="1:11" ht="18" x14ac:dyDescent="0.4">
      <c r="A411" s="7" t="s">
        <v>719</v>
      </c>
      <c r="B411" s="7" t="s">
        <v>250</v>
      </c>
      <c r="C411" s="8">
        <v>37866</v>
      </c>
      <c r="D411" s="9">
        <v>463518860</v>
      </c>
      <c r="E411" s="57">
        <v>120</v>
      </c>
      <c r="F411" s="10" t="s">
        <v>392</v>
      </c>
      <c r="G411" s="9">
        <v>0</v>
      </c>
      <c r="H411" s="70">
        <f t="shared" si="5"/>
        <v>0</v>
      </c>
      <c r="I411" s="11">
        <v>46070</v>
      </c>
      <c r="J411" s="11">
        <v>46066</v>
      </c>
      <c r="K411" s="13"/>
    </row>
    <row r="412" spans="1:11" ht="18" x14ac:dyDescent="0.4">
      <c r="A412" s="7" t="s">
        <v>719</v>
      </c>
      <c r="B412" s="7" t="s">
        <v>250</v>
      </c>
      <c r="C412" s="8">
        <v>37866</v>
      </c>
      <c r="D412" s="9">
        <v>463550740</v>
      </c>
      <c r="E412" s="57">
        <v>120</v>
      </c>
      <c r="F412" s="10" t="s">
        <v>392</v>
      </c>
      <c r="G412" s="9">
        <v>0</v>
      </c>
      <c r="H412" s="70">
        <f t="shared" si="5"/>
        <v>0</v>
      </c>
      <c r="I412" s="11">
        <v>46070</v>
      </c>
      <c r="J412" s="11">
        <v>46066</v>
      </c>
      <c r="K412" s="13"/>
    </row>
    <row r="413" spans="1:11" ht="18" x14ac:dyDescent="0.4">
      <c r="A413" s="7" t="s">
        <v>719</v>
      </c>
      <c r="B413" s="7" t="s">
        <v>250</v>
      </c>
      <c r="C413" s="8">
        <v>37866</v>
      </c>
      <c r="D413" s="9">
        <v>463528570</v>
      </c>
      <c r="E413" s="57">
        <v>120</v>
      </c>
      <c r="F413" s="10" t="s">
        <v>393</v>
      </c>
      <c r="G413" s="9">
        <v>0</v>
      </c>
      <c r="H413" s="70">
        <f t="shared" si="5"/>
        <v>0</v>
      </c>
      <c r="I413" s="11">
        <v>46070</v>
      </c>
      <c r="J413" s="11">
        <v>46066</v>
      </c>
      <c r="K413" s="13"/>
    </row>
    <row r="414" spans="1:11" ht="18" x14ac:dyDescent="0.4">
      <c r="A414" s="7" t="s">
        <v>719</v>
      </c>
      <c r="B414" s="7" t="s">
        <v>250</v>
      </c>
      <c r="C414" s="8">
        <v>37866</v>
      </c>
      <c r="D414" s="9">
        <v>463584820</v>
      </c>
      <c r="E414" s="57">
        <v>120</v>
      </c>
      <c r="F414" s="10" t="s">
        <v>394</v>
      </c>
      <c r="G414" s="9">
        <v>0</v>
      </c>
      <c r="H414" s="70">
        <f t="shared" si="5"/>
        <v>0</v>
      </c>
      <c r="I414" s="11">
        <v>46070</v>
      </c>
      <c r="J414" s="11">
        <v>46066</v>
      </c>
      <c r="K414" s="13"/>
    </row>
    <row r="415" spans="1:11" ht="18" x14ac:dyDescent="0.4">
      <c r="A415" s="7" t="s">
        <v>719</v>
      </c>
      <c r="B415" s="7" t="s">
        <v>250</v>
      </c>
      <c r="C415" s="8">
        <v>37866</v>
      </c>
      <c r="D415" s="9">
        <v>463584840</v>
      </c>
      <c r="E415" s="57">
        <v>120</v>
      </c>
      <c r="F415" s="10" t="s">
        <v>394</v>
      </c>
      <c r="G415" s="9">
        <v>0</v>
      </c>
      <c r="H415" s="70">
        <f t="shared" si="5"/>
        <v>0</v>
      </c>
      <c r="I415" s="11">
        <v>46070</v>
      </c>
      <c r="J415" s="11">
        <v>46066</v>
      </c>
      <c r="K415" s="13"/>
    </row>
    <row r="416" spans="1:11" ht="18" x14ac:dyDescent="0.4">
      <c r="A416" s="7" t="s">
        <v>719</v>
      </c>
      <c r="B416" s="7" t="s">
        <v>250</v>
      </c>
      <c r="C416" s="8">
        <v>37866</v>
      </c>
      <c r="D416" s="9">
        <v>463510130</v>
      </c>
      <c r="E416" s="57">
        <v>120</v>
      </c>
      <c r="F416" s="10" t="s">
        <v>394</v>
      </c>
      <c r="G416" s="9">
        <v>0</v>
      </c>
      <c r="H416" s="70">
        <f t="shared" ref="H416:H479" si="6">+G416/E416</f>
        <v>0</v>
      </c>
      <c r="I416" s="11">
        <v>46070</v>
      </c>
      <c r="J416" s="11">
        <v>46066</v>
      </c>
      <c r="K416" s="13"/>
    </row>
    <row r="417" spans="1:11" ht="18" x14ac:dyDescent="0.4">
      <c r="A417" s="7" t="s">
        <v>719</v>
      </c>
      <c r="B417" s="7" t="s">
        <v>250</v>
      </c>
      <c r="C417" s="8">
        <v>37866</v>
      </c>
      <c r="D417" s="9">
        <v>463584860</v>
      </c>
      <c r="E417" s="57">
        <v>120</v>
      </c>
      <c r="F417" s="37" t="s">
        <v>394</v>
      </c>
      <c r="G417" s="9">
        <v>0</v>
      </c>
      <c r="H417" s="70">
        <f t="shared" si="6"/>
        <v>0</v>
      </c>
      <c r="I417" s="11">
        <v>46070</v>
      </c>
      <c r="J417" s="11">
        <v>46066</v>
      </c>
      <c r="K417" s="13"/>
    </row>
    <row r="418" spans="1:11" ht="18" x14ac:dyDescent="0.4">
      <c r="A418" s="7" t="s">
        <v>719</v>
      </c>
      <c r="B418" s="7" t="s">
        <v>250</v>
      </c>
      <c r="C418" s="8">
        <v>37866</v>
      </c>
      <c r="D418" s="9">
        <v>463584880</v>
      </c>
      <c r="E418" s="57">
        <v>120</v>
      </c>
      <c r="F418" s="10" t="s">
        <v>394</v>
      </c>
      <c r="G418" s="9">
        <v>0</v>
      </c>
      <c r="H418" s="70">
        <f t="shared" si="6"/>
        <v>0</v>
      </c>
      <c r="I418" s="11">
        <v>46070</v>
      </c>
      <c r="J418" s="11">
        <v>46066</v>
      </c>
      <c r="K418" s="13"/>
    </row>
    <row r="419" spans="1:11" ht="18" x14ac:dyDescent="0.4">
      <c r="A419" s="7" t="s">
        <v>719</v>
      </c>
      <c r="B419" s="7" t="s">
        <v>250</v>
      </c>
      <c r="C419" s="8">
        <v>37866</v>
      </c>
      <c r="D419" s="9">
        <v>463584830</v>
      </c>
      <c r="E419" s="57">
        <v>120</v>
      </c>
      <c r="F419" s="37" t="s">
        <v>394</v>
      </c>
      <c r="G419" s="9">
        <v>0</v>
      </c>
      <c r="H419" s="70">
        <f t="shared" si="6"/>
        <v>0</v>
      </c>
      <c r="I419" s="11">
        <v>46070</v>
      </c>
      <c r="J419" s="11">
        <v>46066</v>
      </c>
      <c r="K419" s="13"/>
    </row>
    <row r="420" spans="1:11" ht="18" x14ac:dyDescent="0.4">
      <c r="A420" s="7" t="s">
        <v>719</v>
      </c>
      <c r="B420" s="7" t="s">
        <v>250</v>
      </c>
      <c r="C420" s="8">
        <v>37866</v>
      </c>
      <c r="D420" s="9">
        <v>463584870</v>
      </c>
      <c r="E420" s="57">
        <v>120</v>
      </c>
      <c r="F420" s="10" t="s">
        <v>394</v>
      </c>
      <c r="G420" s="9">
        <v>0</v>
      </c>
      <c r="H420" s="70">
        <f t="shared" si="6"/>
        <v>0</v>
      </c>
      <c r="I420" s="11">
        <v>46070</v>
      </c>
      <c r="J420" s="11">
        <v>46066</v>
      </c>
      <c r="K420" s="13"/>
    </row>
    <row r="421" spans="1:11" ht="18" x14ac:dyDescent="0.4">
      <c r="A421" s="7" t="s">
        <v>719</v>
      </c>
      <c r="B421" s="7" t="s">
        <v>250</v>
      </c>
      <c r="C421" s="8">
        <v>37866</v>
      </c>
      <c r="D421" s="9">
        <v>463569360</v>
      </c>
      <c r="E421" s="57">
        <v>120</v>
      </c>
      <c r="F421" s="10" t="s">
        <v>394</v>
      </c>
      <c r="G421" s="9">
        <v>0</v>
      </c>
      <c r="H421" s="70">
        <f t="shared" si="6"/>
        <v>0</v>
      </c>
      <c r="I421" s="11">
        <v>46070</v>
      </c>
      <c r="J421" s="11">
        <v>46066</v>
      </c>
      <c r="K421" s="13"/>
    </row>
    <row r="422" spans="1:11" ht="18" x14ac:dyDescent="0.4">
      <c r="A422" s="7" t="s">
        <v>719</v>
      </c>
      <c r="B422" s="7" t="s">
        <v>250</v>
      </c>
      <c r="C422" s="8">
        <v>37866</v>
      </c>
      <c r="D422" s="9">
        <v>463579240</v>
      </c>
      <c r="E422" s="57">
        <v>120</v>
      </c>
      <c r="F422" s="10" t="s">
        <v>394</v>
      </c>
      <c r="G422" s="9">
        <v>0</v>
      </c>
      <c r="H422" s="70">
        <f t="shared" si="6"/>
        <v>0</v>
      </c>
      <c r="I422" s="11">
        <v>46070</v>
      </c>
      <c r="J422" s="11">
        <v>46066</v>
      </c>
      <c r="K422" s="13"/>
    </row>
    <row r="423" spans="1:11" ht="18" x14ac:dyDescent="0.4">
      <c r="A423" s="7" t="s">
        <v>719</v>
      </c>
      <c r="B423" s="7" t="s">
        <v>250</v>
      </c>
      <c r="C423" s="8">
        <v>37866</v>
      </c>
      <c r="D423" s="9">
        <v>463579360</v>
      </c>
      <c r="E423" s="57">
        <v>120</v>
      </c>
      <c r="F423" s="10" t="s">
        <v>394</v>
      </c>
      <c r="G423" s="9">
        <v>0</v>
      </c>
      <c r="H423" s="70">
        <f t="shared" si="6"/>
        <v>0</v>
      </c>
      <c r="I423" s="11">
        <v>46070</v>
      </c>
      <c r="J423" s="11">
        <v>46066</v>
      </c>
      <c r="K423" s="13"/>
    </row>
    <row r="424" spans="1:11" ht="18" x14ac:dyDescent="0.4">
      <c r="A424" s="7" t="s">
        <v>719</v>
      </c>
      <c r="B424" s="7" t="s">
        <v>250</v>
      </c>
      <c r="C424" s="8">
        <v>37866</v>
      </c>
      <c r="D424" s="9">
        <v>463579680</v>
      </c>
      <c r="E424" s="57">
        <v>120</v>
      </c>
      <c r="F424" s="10" t="s">
        <v>394</v>
      </c>
      <c r="G424" s="9">
        <v>0</v>
      </c>
      <c r="H424" s="70">
        <f t="shared" si="6"/>
        <v>0</v>
      </c>
      <c r="I424" s="11">
        <v>46070</v>
      </c>
      <c r="J424" s="11">
        <v>46066</v>
      </c>
      <c r="K424" s="13"/>
    </row>
    <row r="425" spans="1:11" ht="18" x14ac:dyDescent="0.4">
      <c r="A425" s="7" t="s">
        <v>719</v>
      </c>
      <c r="B425" s="7" t="s">
        <v>250</v>
      </c>
      <c r="C425" s="8">
        <v>37866</v>
      </c>
      <c r="D425" s="9">
        <v>463579760</v>
      </c>
      <c r="E425" s="57">
        <v>120</v>
      </c>
      <c r="F425" s="10" t="s">
        <v>394</v>
      </c>
      <c r="G425" s="9">
        <v>0</v>
      </c>
      <c r="H425" s="70">
        <f t="shared" si="6"/>
        <v>0</v>
      </c>
      <c r="I425" s="11">
        <v>46070</v>
      </c>
      <c r="J425" s="11">
        <v>46066</v>
      </c>
      <c r="K425" s="13"/>
    </row>
    <row r="426" spans="1:11" ht="18" x14ac:dyDescent="0.4">
      <c r="A426" s="7" t="s">
        <v>719</v>
      </c>
      <c r="B426" s="7" t="s">
        <v>250</v>
      </c>
      <c r="C426" s="8">
        <v>37866</v>
      </c>
      <c r="D426" s="9">
        <v>463579900</v>
      </c>
      <c r="E426" s="57">
        <v>120</v>
      </c>
      <c r="F426" s="10" t="s">
        <v>394</v>
      </c>
      <c r="G426" s="9">
        <v>0</v>
      </c>
      <c r="H426" s="70">
        <f t="shared" si="6"/>
        <v>0</v>
      </c>
      <c r="I426" s="11">
        <v>46070</v>
      </c>
      <c r="J426" s="11">
        <v>46066</v>
      </c>
      <c r="K426" s="13"/>
    </row>
    <row r="427" spans="1:11" ht="18" x14ac:dyDescent="0.4">
      <c r="A427" s="7" t="s">
        <v>719</v>
      </c>
      <c r="B427" s="7" t="s">
        <v>250</v>
      </c>
      <c r="C427" s="8">
        <v>37866</v>
      </c>
      <c r="D427" s="9">
        <v>463580810</v>
      </c>
      <c r="E427" s="57">
        <v>120</v>
      </c>
      <c r="F427" s="10" t="s">
        <v>394</v>
      </c>
      <c r="G427" s="9">
        <v>0</v>
      </c>
      <c r="H427" s="70">
        <f t="shared" si="6"/>
        <v>0</v>
      </c>
      <c r="I427" s="11">
        <v>46070</v>
      </c>
      <c r="J427" s="11">
        <v>46066</v>
      </c>
      <c r="K427" s="13"/>
    </row>
    <row r="428" spans="1:11" ht="18" x14ac:dyDescent="0.4">
      <c r="A428" s="7" t="s">
        <v>719</v>
      </c>
      <c r="B428" s="7" t="s">
        <v>250</v>
      </c>
      <c r="C428" s="8">
        <v>37866</v>
      </c>
      <c r="D428" s="9">
        <v>463513260</v>
      </c>
      <c r="E428" s="57">
        <v>120</v>
      </c>
      <c r="F428" s="10" t="s">
        <v>395</v>
      </c>
      <c r="G428" s="9">
        <v>0</v>
      </c>
      <c r="H428" s="70">
        <f t="shared" si="6"/>
        <v>0</v>
      </c>
      <c r="I428" s="11">
        <v>46070</v>
      </c>
      <c r="J428" s="11">
        <v>46066</v>
      </c>
      <c r="K428" s="13"/>
    </row>
    <row r="429" spans="1:11" ht="18" x14ac:dyDescent="0.4">
      <c r="A429" s="7" t="s">
        <v>719</v>
      </c>
      <c r="B429" s="7" t="s">
        <v>396</v>
      </c>
      <c r="C429" s="8">
        <v>10675</v>
      </c>
      <c r="D429" s="9">
        <v>552678530</v>
      </c>
      <c r="E429" s="57">
        <v>2160</v>
      </c>
      <c r="F429" s="10" t="s">
        <v>397</v>
      </c>
      <c r="G429" s="9">
        <v>0</v>
      </c>
      <c r="H429" s="70">
        <f t="shared" si="6"/>
        <v>0</v>
      </c>
      <c r="I429" s="11">
        <v>46070</v>
      </c>
      <c r="J429" s="11">
        <v>46066</v>
      </c>
      <c r="K429" s="13"/>
    </row>
    <row r="430" spans="1:11" ht="18" x14ac:dyDescent="0.4">
      <c r="A430" s="7" t="s">
        <v>719</v>
      </c>
      <c r="B430" s="7" t="s">
        <v>396</v>
      </c>
      <c r="C430" s="8">
        <v>10675</v>
      </c>
      <c r="D430" s="9">
        <v>552755990</v>
      </c>
      <c r="E430" s="57">
        <v>2160</v>
      </c>
      <c r="F430" s="10" t="s">
        <v>398</v>
      </c>
      <c r="G430" s="9">
        <v>0</v>
      </c>
      <c r="H430" s="70">
        <f t="shared" si="6"/>
        <v>0</v>
      </c>
      <c r="I430" s="11">
        <v>46070</v>
      </c>
      <c r="J430" s="11">
        <v>46066</v>
      </c>
      <c r="K430" s="13"/>
    </row>
    <row r="431" spans="1:11" ht="18" x14ac:dyDescent="0.4">
      <c r="A431" s="7" t="s">
        <v>719</v>
      </c>
      <c r="B431" s="7" t="s">
        <v>399</v>
      </c>
      <c r="C431" s="8">
        <v>32572</v>
      </c>
      <c r="D431" s="9">
        <v>552679980</v>
      </c>
      <c r="E431" s="57">
        <v>720</v>
      </c>
      <c r="F431" s="10" t="s">
        <v>400</v>
      </c>
      <c r="G431" s="9">
        <v>0</v>
      </c>
      <c r="H431" s="70">
        <f t="shared" si="6"/>
        <v>0</v>
      </c>
      <c r="I431" s="11">
        <v>46070</v>
      </c>
      <c r="J431" s="11">
        <v>46066</v>
      </c>
      <c r="K431" s="13"/>
    </row>
    <row r="432" spans="1:11" ht="18" x14ac:dyDescent="0.4">
      <c r="A432" s="7" t="s">
        <v>719</v>
      </c>
      <c r="B432" s="7" t="s">
        <v>401</v>
      </c>
      <c r="C432" s="8">
        <v>31610</v>
      </c>
      <c r="D432" s="9">
        <v>552681700</v>
      </c>
      <c r="E432" s="57">
        <v>420</v>
      </c>
      <c r="F432" s="10" t="s">
        <v>402</v>
      </c>
      <c r="G432" s="9">
        <v>0</v>
      </c>
      <c r="H432" s="70">
        <f t="shared" si="6"/>
        <v>0</v>
      </c>
      <c r="I432" s="11">
        <v>46070</v>
      </c>
      <c r="J432" s="11">
        <v>46066</v>
      </c>
      <c r="K432" s="13"/>
    </row>
    <row r="433" spans="1:11" ht="18" x14ac:dyDescent="0.4">
      <c r="A433" s="7" t="s">
        <v>719</v>
      </c>
      <c r="B433" s="7" t="s">
        <v>401</v>
      </c>
      <c r="C433" s="8">
        <v>31610</v>
      </c>
      <c r="D433" s="9">
        <v>552678490</v>
      </c>
      <c r="E433" s="57">
        <v>520</v>
      </c>
      <c r="F433" s="10" t="s">
        <v>402</v>
      </c>
      <c r="G433" s="9">
        <v>0</v>
      </c>
      <c r="H433" s="70">
        <f t="shared" si="6"/>
        <v>0</v>
      </c>
      <c r="I433" s="11">
        <v>46070</v>
      </c>
      <c r="J433" s="11">
        <v>46066</v>
      </c>
      <c r="K433" s="13"/>
    </row>
    <row r="434" spans="1:11" ht="18" x14ac:dyDescent="0.4">
      <c r="A434" s="7" t="s">
        <v>719</v>
      </c>
      <c r="B434" s="7" t="s">
        <v>403</v>
      </c>
      <c r="C434" s="8">
        <v>34836</v>
      </c>
      <c r="D434" s="9">
        <v>552793140</v>
      </c>
      <c r="E434" s="57">
        <v>720</v>
      </c>
      <c r="F434" s="10" t="s">
        <v>404</v>
      </c>
      <c r="G434" s="9">
        <v>720</v>
      </c>
      <c r="H434" s="70">
        <f t="shared" si="6"/>
        <v>1</v>
      </c>
      <c r="I434" s="11">
        <v>46070</v>
      </c>
      <c r="J434" s="11">
        <v>46066</v>
      </c>
      <c r="K434" s="13"/>
    </row>
    <row r="435" spans="1:11" ht="18" x14ac:dyDescent="0.4">
      <c r="A435" s="7" t="s">
        <v>719</v>
      </c>
      <c r="B435" s="7" t="s">
        <v>403</v>
      </c>
      <c r="C435" s="8">
        <v>34836</v>
      </c>
      <c r="D435" s="9">
        <v>552793150</v>
      </c>
      <c r="E435" s="57">
        <v>720</v>
      </c>
      <c r="F435" s="10" t="s">
        <v>405</v>
      </c>
      <c r="G435" s="9">
        <v>14400</v>
      </c>
      <c r="H435" s="70">
        <f t="shared" si="6"/>
        <v>20</v>
      </c>
      <c r="I435" s="11">
        <v>46070</v>
      </c>
      <c r="J435" s="11">
        <v>46066</v>
      </c>
      <c r="K435" s="13"/>
    </row>
    <row r="436" spans="1:11" ht="18" x14ac:dyDescent="0.4">
      <c r="A436" s="7" t="s">
        <v>719</v>
      </c>
      <c r="B436" s="7" t="s">
        <v>403</v>
      </c>
      <c r="C436" s="8">
        <v>34836</v>
      </c>
      <c r="D436" s="9">
        <v>552793160</v>
      </c>
      <c r="E436" s="57">
        <v>720</v>
      </c>
      <c r="F436" s="10" t="s">
        <v>406</v>
      </c>
      <c r="G436" s="9">
        <v>2880</v>
      </c>
      <c r="H436" s="70">
        <f t="shared" si="6"/>
        <v>4</v>
      </c>
      <c r="I436" s="11">
        <v>46070</v>
      </c>
      <c r="J436" s="11">
        <v>46066</v>
      </c>
      <c r="K436" s="13"/>
    </row>
    <row r="437" spans="1:11" ht="18" x14ac:dyDescent="0.4">
      <c r="A437" s="7" t="s">
        <v>719</v>
      </c>
      <c r="B437" s="7" t="s">
        <v>403</v>
      </c>
      <c r="C437" s="8">
        <v>34836</v>
      </c>
      <c r="D437" s="9">
        <v>552677750</v>
      </c>
      <c r="E437" s="57">
        <v>480</v>
      </c>
      <c r="F437" s="10" t="s">
        <v>144</v>
      </c>
      <c r="G437" s="9">
        <v>0</v>
      </c>
      <c r="H437" s="70">
        <f t="shared" si="6"/>
        <v>0</v>
      </c>
      <c r="I437" s="11">
        <v>46070</v>
      </c>
      <c r="J437" s="11">
        <v>46066</v>
      </c>
      <c r="K437" s="13"/>
    </row>
    <row r="438" spans="1:11" ht="18" x14ac:dyDescent="0.4">
      <c r="A438" s="7" t="s">
        <v>719</v>
      </c>
      <c r="B438" s="7" t="s">
        <v>403</v>
      </c>
      <c r="C438" s="8">
        <v>34836</v>
      </c>
      <c r="D438" s="9">
        <v>552677760</v>
      </c>
      <c r="E438" s="57">
        <v>480</v>
      </c>
      <c r="F438" s="10" t="s">
        <v>145</v>
      </c>
      <c r="G438" s="9">
        <v>12960</v>
      </c>
      <c r="H438" s="70">
        <f t="shared" si="6"/>
        <v>27</v>
      </c>
      <c r="I438" s="11">
        <v>46070</v>
      </c>
      <c r="J438" s="11">
        <v>46066</v>
      </c>
      <c r="K438" s="13"/>
    </row>
    <row r="439" spans="1:11" ht="18" x14ac:dyDescent="0.4">
      <c r="A439" s="7" t="s">
        <v>719</v>
      </c>
      <c r="B439" s="7" t="s">
        <v>403</v>
      </c>
      <c r="C439" s="8">
        <v>34836</v>
      </c>
      <c r="D439" s="9">
        <v>552677770</v>
      </c>
      <c r="E439" s="57">
        <v>480</v>
      </c>
      <c r="F439" s="10" t="s">
        <v>146</v>
      </c>
      <c r="G439" s="9">
        <v>1920</v>
      </c>
      <c r="H439" s="70">
        <f t="shared" si="6"/>
        <v>4</v>
      </c>
      <c r="I439" s="11">
        <v>46070</v>
      </c>
      <c r="J439" s="11">
        <v>46066</v>
      </c>
      <c r="K439" s="13"/>
    </row>
    <row r="440" spans="1:11" ht="18" x14ac:dyDescent="0.4">
      <c r="A440" s="7" t="s">
        <v>719</v>
      </c>
      <c r="B440" s="7" t="s">
        <v>403</v>
      </c>
      <c r="C440" s="8">
        <v>34836</v>
      </c>
      <c r="D440" s="9">
        <v>552677810</v>
      </c>
      <c r="E440" s="57">
        <v>480</v>
      </c>
      <c r="F440" s="10" t="s">
        <v>147</v>
      </c>
      <c r="G440" s="9">
        <v>2880</v>
      </c>
      <c r="H440" s="70">
        <f t="shared" si="6"/>
        <v>6</v>
      </c>
      <c r="I440" s="11">
        <v>46070</v>
      </c>
      <c r="J440" s="11">
        <v>46066</v>
      </c>
      <c r="K440" s="13"/>
    </row>
    <row r="441" spans="1:11" ht="18" x14ac:dyDescent="0.4">
      <c r="A441" s="7" t="s">
        <v>719</v>
      </c>
      <c r="B441" s="7" t="s">
        <v>403</v>
      </c>
      <c r="C441" s="8">
        <v>34836</v>
      </c>
      <c r="D441" s="9">
        <v>552677820</v>
      </c>
      <c r="E441" s="57">
        <v>480</v>
      </c>
      <c r="F441" s="10" t="s">
        <v>148</v>
      </c>
      <c r="G441" s="9">
        <v>9600</v>
      </c>
      <c r="H441" s="70">
        <f t="shared" si="6"/>
        <v>20</v>
      </c>
      <c r="I441" s="11">
        <v>46070</v>
      </c>
      <c r="J441" s="11">
        <v>46066</v>
      </c>
      <c r="K441" s="13"/>
    </row>
    <row r="442" spans="1:11" ht="18" x14ac:dyDescent="0.4">
      <c r="A442" s="7" t="s">
        <v>719</v>
      </c>
      <c r="B442" s="7" t="s">
        <v>403</v>
      </c>
      <c r="C442" s="8">
        <v>34836</v>
      </c>
      <c r="D442" s="9">
        <v>552677830</v>
      </c>
      <c r="E442" s="57">
        <v>480</v>
      </c>
      <c r="F442" s="10" t="s">
        <v>149</v>
      </c>
      <c r="G442" s="9">
        <v>0</v>
      </c>
      <c r="H442" s="70">
        <f t="shared" si="6"/>
        <v>0</v>
      </c>
      <c r="I442" s="11">
        <v>46070</v>
      </c>
      <c r="J442" s="11">
        <v>46066</v>
      </c>
      <c r="K442" s="13"/>
    </row>
    <row r="443" spans="1:11" ht="18" x14ac:dyDescent="0.4">
      <c r="A443" s="7" t="s">
        <v>719</v>
      </c>
      <c r="B443" s="7" t="s">
        <v>403</v>
      </c>
      <c r="C443" s="8">
        <v>34836</v>
      </c>
      <c r="D443" s="9">
        <v>552679480</v>
      </c>
      <c r="E443" s="57">
        <v>600</v>
      </c>
      <c r="F443" s="10" t="s">
        <v>407</v>
      </c>
      <c r="G443" s="9">
        <v>19200</v>
      </c>
      <c r="H443" s="70">
        <f t="shared" si="6"/>
        <v>32</v>
      </c>
      <c r="I443" s="11">
        <v>46070</v>
      </c>
      <c r="J443" s="11">
        <v>46066</v>
      </c>
      <c r="K443" s="13"/>
    </row>
    <row r="444" spans="1:11" ht="18" x14ac:dyDescent="0.4">
      <c r="A444" s="7" t="s">
        <v>719</v>
      </c>
      <c r="B444" s="7" t="s">
        <v>403</v>
      </c>
      <c r="C444" s="8">
        <v>34836</v>
      </c>
      <c r="D444" s="9">
        <v>552679440</v>
      </c>
      <c r="E444" s="57">
        <v>550</v>
      </c>
      <c r="F444" s="10" t="s">
        <v>408</v>
      </c>
      <c r="G444" s="9">
        <v>10450</v>
      </c>
      <c r="H444" s="70">
        <f t="shared" si="6"/>
        <v>19</v>
      </c>
      <c r="I444" s="11">
        <v>46070</v>
      </c>
      <c r="J444" s="11">
        <v>46066</v>
      </c>
      <c r="K444" s="13"/>
    </row>
    <row r="445" spans="1:11" ht="18" x14ac:dyDescent="0.4">
      <c r="A445" s="7" t="s">
        <v>719</v>
      </c>
      <c r="B445" s="7" t="s">
        <v>403</v>
      </c>
      <c r="C445" s="8">
        <v>34836</v>
      </c>
      <c r="D445" s="9">
        <v>552786650</v>
      </c>
      <c r="E445" s="57">
        <v>180</v>
      </c>
      <c r="F445" s="10" t="s">
        <v>409</v>
      </c>
      <c r="G445" s="9">
        <v>4860</v>
      </c>
      <c r="H445" s="70">
        <f t="shared" si="6"/>
        <v>27</v>
      </c>
      <c r="I445" s="11">
        <v>46070</v>
      </c>
      <c r="J445" s="11">
        <v>46066</v>
      </c>
      <c r="K445" s="13"/>
    </row>
    <row r="446" spans="1:11" ht="18" x14ac:dyDescent="0.4">
      <c r="A446" s="7" t="s">
        <v>719</v>
      </c>
      <c r="B446" s="7" t="s">
        <v>410</v>
      </c>
      <c r="C446" s="8">
        <v>28824</v>
      </c>
      <c r="D446" s="9">
        <v>552681400</v>
      </c>
      <c r="E446" s="57">
        <v>336</v>
      </c>
      <c r="F446" s="10" t="s">
        <v>411</v>
      </c>
      <c r="G446" s="9">
        <v>1344</v>
      </c>
      <c r="H446" s="70">
        <f t="shared" si="6"/>
        <v>4</v>
      </c>
      <c r="I446" s="11">
        <v>46070</v>
      </c>
      <c r="J446" s="11">
        <v>46066</v>
      </c>
      <c r="K446" s="13"/>
    </row>
    <row r="447" spans="1:11" ht="18" x14ac:dyDescent="0.4">
      <c r="A447" s="7" t="s">
        <v>719</v>
      </c>
      <c r="B447" s="7" t="s">
        <v>410</v>
      </c>
      <c r="C447" s="8">
        <v>28824</v>
      </c>
      <c r="D447" s="9">
        <v>552679510</v>
      </c>
      <c r="E447" s="57">
        <v>336</v>
      </c>
      <c r="F447" s="10" t="s">
        <v>411</v>
      </c>
      <c r="G447" s="9">
        <v>336</v>
      </c>
      <c r="H447" s="70">
        <f t="shared" si="6"/>
        <v>1</v>
      </c>
      <c r="I447" s="11">
        <v>46070</v>
      </c>
      <c r="J447" s="11">
        <v>46066</v>
      </c>
      <c r="K447" s="13"/>
    </row>
    <row r="448" spans="1:11" ht="18" x14ac:dyDescent="0.4">
      <c r="A448" s="7" t="s">
        <v>719</v>
      </c>
      <c r="B448" s="7" t="s">
        <v>412</v>
      </c>
      <c r="C448" s="8">
        <v>11431</v>
      </c>
      <c r="D448" s="9">
        <v>463365360</v>
      </c>
      <c r="E448" s="57">
        <v>1000</v>
      </c>
      <c r="F448" s="10" t="s">
        <v>413</v>
      </c>
      <c r="G448" s="9">
        <v>0</v>
      </c>
      <c r="H448" s="70">
        <f t="shared" si="6"/>
        <v>0</v>
      </c>
      <c r="I448" s="11">
        <v>46070</v>
      </c>
      <c r="J448" s="11">
        <v>46066</v>
      </c>
      <c r="K448" s="13"/>
    </row>
    <row r="449" spans="1:11" ht="18" x14ac:dyDescent="0.4">
      <c r="A449" s="7" t="s">
        <v>719</v>
      </c>
      <c r="B449" s="7" t="s">
        <v>412</v>
      </c>
      <c r="C449" s="8">
        <v>11431</v>
      </c>
      <c r="D449" s="9">
        <v>463411530</v>
      </c>
      <c r="E449" s="57">
        <v>500</v>
      </c>
      <c r="F449" s="10" t="s">
        <v>413</v>
      </c>
      <c r="G449" s="9">
        <v>0</v>
      </c>
      <c r="H449" s="70">
        <f t="shared" si="6"/>
        <v>0</v>
      </c>
      <c r="I449" s="11">
        <v>46070</v>
      </c>
      <c r="J449" s="11">
        <v>46066</v>
      </c>
      <c r="K449" s="13"/>
    </row>
    <row r="450" spans="1:11" ht="18" x14ac:dyDescent="0.4">
      <c r="A450" s="7" t="s">
        <v>719</v>
      </c>
      <c r="B450" s="7" t="s">
        <v>414</v>
      </c>
      <c r="C450" s="8">
        <v>21570</v>
      </c>
      <c r="D450" s="9">
        <v>552754290</v>
      </c>
      <c r="E450" s="57">
        <v>800</v>
      </c>
      <c r="F450" s="10" t="s">
        <v>415</v>
      </c>
      <c r="G450" s="9">
        <v>0</v>
      </c>
      <c r="H450" s="70">
        <f t="shared" si="6"/>
        <v>0</v>
      </c>
      <c r="I450" s="11">
        <v>46070</v>
      </c>
      <c r="J450" s="11">
        <v>46066</v>
      </c>
      <c r="K450" s="13"/>
    </row>
    <row r="451" spans="1:11" ht="18" x14ac:dyDescent="0.4">
      <c r="A451" s="7" t="s">
        <v>719</v>
      </c>
      <c r="B451" s="7" t="s">
        <v>414</v>
      </c>
      <c r="C451" s="8">
        <v>21570</v>
      </c>
      <c r="D451" s="9">
        <v>552682660</v>
      </c>
      <c r="E451" s="57">
        <v>1800</v>
      </c>
      <c r="F451" s="10" t="s">
        <v>416</v>
      </c>
      <c r="G451" s="9">
        <v>0</v>
      </c>
      <c r="H451" s="70">
        <f t="shared" si="6"/>
        <v>0</v>
      </c>
      <c r="I451" s="11">
        <v>46070</v>
      </c>
      <c r="J451" s="11">
        <v>46066</v>
      </c>
      <c r="K451" s="13"/>
    </row>
    <row r="452" spans="1:11" ht="18" x14ac:dyDescent="0.4">
      <c r="A452" s="7" t="s">
        <v>719</v>
      </c>
      <c r="B452" s="7" t="s">
        <v>417</v>
      </c>
      <c r="C452" s="8">
        <v>23480</v>
      </c>
      <c r="D452" s="9">
        <v>552677420</v>
      </c>
      <c r="E452" s="57">
        <v>2475</v>
      </c>
      <c r="F452" s="10" t="s">
        <v>418</v>
      </c>
      <c r="G452" s="9">
        <v>0</v>
      </c>
      <c r="H452" s="70">
        <f t="shared" si="6"/>
        <v>0</v>
      </c>
      <c r="I452" s="11">
        <v>46070</v>
      </c>
      <c r="J452" s="11">
        <v>46066</v>
      </c>
      <c r="K452" s="13"/>
    </row>
    <row r="453" spans="1:11" ht="18" x14ac:dyDescent="0.4">
      <c r="A453" s="7" t="s">
        <v>719</v>
      </c>
      <c r="B453" s="7" t="s">
        <v>417</v>
      </c>
      <c r="C453" s="8">
        <v>23480</v>
      </c>
      <c r="D453" s="9">
        <v>144576800</v>
      </c>
      <c r="E453" s="57">
        <v>1000</v>
      </c>
      <c r="F453" s="10" t="s">
        <v>419</v>
      </c>
      <c r="G453" s="9">
        <v>0</v>
      </c>
      <c r="H453" s="70">
        <f t="shared" si="6"/>
        <v>0</v>
      </c>
      <c r="I453" s="11">
        <v>46070</v>
      </c>
      <c r="J453" s="11">
        <v>46066</v>
      </c>
      <c r="K453" s="13"/>
    </row>
    <row r="454" spans="1:11" ht="18" x14ac:dyDescent="0.4">
      <c r="A454" s="7" t="s">
        <v>719</v>
      </c>
      <c r="B454" s="7" t="s">
        <v>417</v>
      </c>
      <c r="C454" s="8">
        <v>23480</v>
      </c>
      <c r="D454" s="9">
        <v>144534810</v>
      </c>
      <c r="E454" s="57">
        <v>4000</v>
      </c>
      <c r="F454" s="10" t="s">
        <v>420</v>
      </c>
      <c r="G454" s="9">
        <v>0</v>
      </c>
      <c r="H454" s="70">
        <f t="shared" si="6"/>
        <v>0</v>
      </c>
      <c r="I454" s="11">
        <v>46070</v>
      </c>
      <c r="J454" s="11">
        <v>46066</v>
      </c>
      <c r="K454" s="13"/>
    </row>
    <row r="455" spans="1:11" ht="18" x14ac:dyDescent="0.4">
      <c r="A455" s="7" t="s">
        <v>719</v>
      </c>
      <c r="B455" s="7" t="s">
        <v>421</v>
      </c>
      <c r="C455" s="8">
        <v>23481</v>
      </c>
      <c r="D455" s="9">
        <v>463411500</v>
      </c>
      <c r="E455" s="57">
        <v>1200</v>
      </c>
      <c r="F455" s="10" t="s">
        <v>224</v>
      </c>
      <c r="G455" s="9">
        <v>0</v>
      </c>
      <c r="H455" s="70">
        <f t="shared" si="6"/>
        <v>0</v>
      </c>
      <c r="I455" s="11">
        <v>46070</v>
      </c>
      <c r="J455" s="11">
        <v>46066</v>
      </c>
      <c r="K455" s="13"/>
    </row>
    <row r="456" spans="1:11" ht="18" x14ac:dyDescent="0.4">
      <c r="A456" s="7" t="s">
        <v>719</v>
      </c>
      <c r="B456" s="7" t="s">
        <v>422</v>
      </c>
      <c r="C456" s="8">
        <v>21342</v>
      </c>
      <c r="D456" s="9">
        <v>463509950</v>
      </c>
      <c r="E456" s="57">
        <v>30</v>
      </c>
      <c r="F456" s="10" t="s">
        <v>423</v>
      </c>
      <c r="G456" s="9">
        <v>0</v>
      </c>
      <c r="H456" s="70">
        <f t="shared" si="6"/>
        <v>0</v>
      </c>
      <c r="I456" s="11">
        <v>46070</v>
      </c>
      <c r="J456" s="11">
        <v>46066</v>
      </c>
      <c r="K456" s="13"/>
    </row>
    <row r="457" spans="1:11" ht="18" x14ac:dyDescent="0.4">
      <c r="A457" s="7" t="s">
        <v>719</v>
      </c>
      <c r="B457" s="7" t="s">
        <v>422</v>
      </c>
      <c r="C457" s="8">
        <v>21342</v>
      </c>
      <c r="D457" s="9">
        <v>463509960</v>
      </c>
      <c r="E457" s="57">
        <v>300</v>
      </c>
      <c r="F457" s="10" t="s">
        <v>424</v>
      </c>
      <c r="G457" s="9">
        <v>0</v>
      </c>
      <c r="H457" s="70">
        <f t="shared" si="6"/>
        <v>0</v>
      </c>
      <c r="I457" s="11">
        <v>46070</v>
      </c>
      <c r="J457" s="11">
        <v>46066</v>
      </c>
      <c r="K457" s="13"/>
    </row>
    <row r="458" spans="1:11" ht="18" x14ac:dyDescent="0.4">
      <c r="A458" s="7" t="s">
        <v>719</v>
      </c>
      <c r="B458" s="7" t="s">
        <v>422</v>
      </c>
      <c r="C458" s="8">
        <v>21342</v>
      </c>
      <c r="D458" s="9">
        <v>463462820</v>
      </c>
      <c r="E458" s="57">
        <v>480</v>
      </c>
      <c r="F458" s="10" t="s">
        <v>425</v>
      </c>
      <c r="G458" s="9">
        <v>0</v>
      </c>
      <c r="H458" s="70">
        <f t="shared" si="6"/>
        <v>0</v>
      </c>
      <c r="I458" s="11">
        <v>46070</v>
      </c>
      <c r="J458" s="11">
        <v>46066</v>
      </c>
      <c r="K458" s="13"/>
    </row>
    <row r="459" spans="1:11" ht="18" x14ac:dyDescent="0.4">
      <c r="A459" s="7" t="s">
        <v>719</v>
      </c>
      <c r="B459" s="7" t="s">
        <v>422</v>
      </c>
      <c r="C459" s="8">
        <v>21342</v>
      </c>
      <c r="D459" s="9">
        <v>463462910</v>
      </c>
      <c r="E459" s="57">
        <v>420</v>
      </c>
      <c r="F459" s="10" t="s">
        <v>426</v>
      </c>
      <c r="G459" s="9">
        <v>0</v>
      </c>
      <c r="H459" s="70">
        <f t="shared" si="6"/>
        <v>0</v>
      </c>
      <c r="I459" s="11">
        <v>46070</v>
      </c>
      <c r="J459" s="11">
        <v>46066</v>
      </c>
      <c r="K459" s="13"/>
    </row>
    <row r="460" spans="1:11" ht="18" x14ac:dyDescent="0.4">
      <c r="A460" s="7" t="s">
        <v>719</v>
      </c>
      <c r="B460" s="7" t="s">
        <v>427</v>
      </c>
      <c r="C460" s="8">
        <v>14837</v>
      </c>
      <c r="D460" s="9">
        <v>552796450</v>
      </c>
      <c r="E460" s="57">
        <v>30</v>
      </c>
      <c r="F460" s="10" t="s">
        <v>428</v>
      </c>
      <c r="G460" s="9">
        <v>3000</v>
      </c>
      <c r="H460" s="70">
        <f t="shared" si="6"/>
        <v>100</v>
      </c>
      <c r="I460" s="11">
        <v>46070</v>
      </c>
      <c r="J460" s="11">
        <v>46066</v>
      </c>
      <c r="K460" s="13"/>
    </row>
    <row r="461" spans="1:11" ht="18" x14ac:dyDescent="0.4">
      <c r="A461" s="7" t="s">
        <v>719</v>
      </c>
      <c r="B461" s="7" t="s">
        <v>427</v>
      </c>
      <c r="C461" s="8">
        <v>14837</v>
      </c>
      <c r="D461" s="9">
        <v>463508220</v>
      </c>
      <c r="E461" s="57">
        <v>30</v>
      </c>
      <c r="F461" s="10" t="s">
        <v>428</v>
      </c>
      <c r="G461" s="9">
        <v>0</v>
      </c>
      <c r="H461" s="70">
        <f t="shared" si="6"/>
        <v>0</v>
      </c>
      <c r="I461" s="11">
        <v>46070</v>
      </c>
      <c r="J461" s="11">
        <v>46066</v>
      </c>
      <c r="K461" s="13"/>
    </row>
    <row r="462" spans="1:11" ht="18" x14ac:dyDescent="0.4">
      <c r="A462" s="7" t="s">
        <v>719</v>
      </c>
      <c r="B462" s="7" t="s">
        <v>429</v>
      </c>
      <c r="C462" s="8">
        <v>1097</v>
      </c>
      <c r="D462" s="9">
        <v>463550730</v>
      </c>
      <c r="E462" s="57">
        <v>24</v>
      </c>
      <c r="F462" s="10" t="s">
        <v>430</v>
      </c>
      <c r="G462" s="9">
        <v>360</v>
      </c>
      <c r="H462" s="70">
        <f t="shared" si="6"/>
        <v>15</v>
      </c>
      <c r="I462" s="11">
        <v>46070</v>
      </c>
      <c r="J462" s="11">
        <v>46066</v>
      </c>
      <c r="K462" s="13"/>
    </row>
    <row r="463" spans="1:11" ht="18" x14ac:dyDescent="0.4">
      <c r="A463" s="7" t="s">
        <v>719</v>
      </c>
      <c r="B463" s="7" t="s">
        <v>429</v>
      </c>
      <c r="C463" s="8">
        <v>1097</v>
      </c>
      <c r="D463" s="9">
        <v>463443560</v>
      </c>
      <c r="E463" s="57">
        <v>24</v>
      </c>
      <c r="F463" s="10" t="s">
        <v>431</v>
      </c>
      <c r="G463" s="9">
        <v>360</v>
      </c>
      <c r="H463" s="70">
        <f t="shared" si="6"/>
        <v>15</v>
      </c>
      <c r="I463" s="11">
        <v>46070</v>
      </c>
      <c r="J463" s="11">
        <v>46066</v>
      </c>
      <c r="K463" s="13"/>
    </row>
    <row r="464" spans="1:11" ht="18" x14ac:dyDescent="0.4">
      <c r="A464" s="7" t="s">
        <v>719</v>
      </c>
      <c r="B464" s="7" t="s">
        <v>429</v>
      </c>
      <c r="C464" s="8">
        <v>1097</v>
      </c>
      <c r="D464" s="9">
        <v>463555740</v>
      </c>
      <c r="E464" s="57">
        <v>24</v>
      </c>
      <c r="F464" s="10" t="s">
        <v>432</v>
      </c>
      <c r="G464" s="9">
        <v>960</v>
      </c>
      <c r="H464" s="70">
        <f t="shared" si="6"/>
        <v>40</v>
      </c>
      <c r="I464" s="11">
        <v>46070</v>
      </c>
      <c r="J464" s="11">
        <v>46066</v>
      </c>
      <c r="K464" s="13"/>
    </row>
    <row r="465" spans="1:11" ht="18" x14ac:dyDescent="0.4">
      <c r="A465" s="7" t="s">
        <v>719</v>
      </c>
      <c r="B465" s="7" t="s">
        <v>429</v>
      </c>
      <c r="C465" s="8">
        <v>1097</v>
      </c>
      <c r="D465" s="9">
        <v>463526980</v>
      </c>
      <c r="E465" s="57">
        <v>24</v>
      </c>
      <c r="F465" s="10" t="s">
        <v>433</v>
      </c>
      <c r="G465" s="9">
        <v>0</v>
      </c>
      <c r="H465" s="70">
        <f t="shared" si="6"/>
        <v>0</v>
      </c>
      <c r="I465" s="11">
        <v>46070</v>
      </c>
      <c r="J465" s="11">
        <v>46066</v>
      </c>
      <c r="K465" s="13"/>
    </row>
    <row r="466" spans="1:11" ht="18" x14ac:dyDescent="0.4">
      <c r="A466" s="7" t="s">
        <v>719</v>
      </c>
      <c r="B466" s="7" t="s">
        <v>434</v>
      </c>
      <c r="C466" s="8">
        <v>51620</v>
      </c>
      <c r="D466" s="9">
        <v>552685780</v>
      </c>
      <c r="E466" s="57">
        <v>840</v>
      </c>
      <c r="F466" s="10" t="s">
        <v>435</v>
      </c>
      <c r="G466" s="9">
        <v>840</v>
      </c>
      <c r="H466" s="70">
        <f t="shared" si="6"/>
        <v>1</v>
      </c>
      <c r="I466" s="11">
        <v>46070</v>
      </c>
      <c r="J466" s="11">
        <v>46066</v>
      </c>
      <c r="K466" s="13"/>
    </row>
    <row r="467" spans="1:11" ht="18" x14ac:dyDescent="0.4">
      <c r="A467" s="7" t="s">
        <v>719</v>
      </c>
      <c r="B467" s="7" t="s">
        <v>434</v>
      </c>
      <c r="C467" s="8">
        <v>51620</v>
      </c>
      <c r="D467" s="9">
        <v>552685800</v>
      </c>
      <c r="E467" s="57">
        <v>1440</v>
      </c>
      <c r="F467" s="10" t="s">
        <v>436</v>
      </c>
      <c r="G467" s="9">
        <v>7200</v>
      </c>
      <c r="H467" s="70">
        <f t="shared" si="6"/>
        <v>5</v>
      </c>
      <c r="I467" s="11">
        <v>46070</v>
      </c>
      <c r="J467" s="11">
        <v>46066</v>
      </c>
      <c r="K467" s="13"/>
    </row>
    <row r="468" spans="1:11" ht="18" x14ac:dyDescent="0.4">
      <c r="A468" s="7" t="s">
        <v>719</v>
      </c>
      <c r="B468" s="7" t="s">
        <v>434</v>
      </c>
      <c r="C468" s="8">
        <v>51620</v>
      </c>
      <c r="D468" s="9">
        <v>552685820</v>
      </c>
      <c r="E468" s="57">
        <v>840</v>
      </c>
      <c r="F468" s="10" t="s">
        <v>437</v>
      </c>
      <c r="G468" s="9">
        <v>840</v>
      </c>
      <c r="H468" s="70">
        <f t="shared" si="6"/>
        <v>1</v>
      </c>
      <c r="I468" s="11">
        <v>46070</v>
      </c>
      <c r="J468" s="11">
        <v>46066</v>
      </c>
      <c r="K468" s="13"/>
    </row>
    <row r="469" spans="1:11" ht="18" x14ac:dyDescent="0.4">
      <c r="A469" s="7" t="s">
        <v>719</v>
      </c>
      <c r="B469" s="7" t="s">
        <v>434</v>
      </c>
      <c r="C469" s="8">
        <v>51620</v>
      </c>
      <c r="D469" s="9">
        <v>552820620</v>
      </c>
      <c r="E469" s="57">
        <v>840</v>
      </c>
      <c r="F469" s="10" t="s">
        <v>435</v>
      </c>
      <c r="G469" s="9">
        <v>0</v>
      </c>
      <c r="H469" s="70">
        <f t="shared" si="6"/>
        <v>0</v>
      </c>
      <c r="I469" s="11">
        <v>46070</v>
      </c>
      <c r="J469" s="11">
        <v>46066</v>
      </c>
      <c r="K469" s="13"/>
    </row>
    <row r="470" spans="1:11" ht="18" x14ac:dyDescent="0.4">
      <c r="A470" s="7" t="s">
        <v>719</v>
      </c>
      <c r="B470" s="7" t="s">
        <v>434</v>
      </c>
      <c r="C470" s="8">
        <v>51620</v>
      </c>
      <c r="D470" s="9">
        <v>552820640</v>
      </c>
      <c r="E470" s="57">
        <v>1440</v>
      </c>
      <c r="F470" s="10" t="s">
        <v>436</v>
      </c>
      <c r="G470" s="9">
        <v>2880</v>
      </c>
      <c r="H470" s="70">
        <f t="shared" si="6"/>
        <v>2</v>
      </c>
      <c r="I470" s="11">
        <v>46070</v>
      </c>
      <c r="J470" s="11">
        <v>46066</v>
      </c>
      <c r="K470" s="13"/>
    </row>
    <row r="471" spans="1:11" ht="18" x14ac:dyDescent="0.4">
      <c r="A471" s="7" t="s">
        <v>719</v>
      </c>
      <c r="B471" s="7" t="s">
        <v>434</v>
      </c>
      <c r="C471" s="8">
        <v>51620</v>
      </c>
      <c r="D471" s="9">
        <v>552820660</v>
      </c>
      <c r="E471" s="57">
        <v>840</v>
      </c>
      <c r="F471" s="37" t="s">
        <v>437</v>
      </c>
      <c r="G471" s="9">
        <v>840</v>
      </c>
      <c r="H471" s="70">
        <f t="shared" si="6"/>
        <v>1</v>
      </c>
      <c r="I471" s="11">
        <v>46070</v>
      </c>
      <c r="J471" s="11">
        <v>46066</v>
      </c>
      <c r="K471" s="13"/>
    </row>
    <row r="472" spans="1:11" ht="18" x14ac:dyDescent="0.4">
      <c r="A472" s="7" t="s">
        <v>719</v>
      </c>
      <c r="B472" s="7" t="s">
        <v>434</v>
      </c>
      <c r="C472" s="8">
        <v>51620</v>
      </c>
      <c r="D472" s="9">
        <v>552685720</v>
      </c>
      <c r="E472" s="57">
        <v>4000</v>
      </c>
      <c r="F472" s="10" t="s">
        <v>438</v>
      </c>
      <c r="G472" s="9">
        <v>0</v>
      </c>
      <c r="H472" s="70">
        <f t="shared" si="6"/>
        <v>0</v>
      </c>
      <c r="I472" s="11">
        <v>46070</v>
      </c>
      <c r="J472" s="11">
        <v>46066</v>
      </c>
      <c r="K472" s="13"/>
    </row>
    <row r="473" spans="1:11" ht="18" x14ac:dyDescent="0.4">
      <c r="A473" s="7" t="s">
        <v>719</v>
      </c>
      <c r="B473" s="7" t="s">
        <v>439</v>
      </c>
      <c r="C473" s="8">
        <v>40840</v>
      </c>
      <c r="D473" s="9">
        <v>552731550</v>
      </c>
      <c r="E473" s="57">
        <v>1000</v>
      </c>
      <c r="F473" s="10" t="s">
        <v>440</v>
      </c>
      <c r="G473" s="9">
        <v>0</v>
      </c>
      <c r="H473" s="70">
        <f t="shared" si="6"/>
        <v>0</v>
      </c>
      <c r="I473" s="11">
        <v>46070</v>
      </c>
      <c r="J473" s="11">
        <v>46066</v>
      </c>
      <c r="K473" s="13"/>
    </row>
    <row r="474" spans="1:11" ht="18" x14ac:dyDescent="0.4">
      <c r="A474" s="7" t="s">
        <v>719</v>
      </c>
      <c r="B474" s="7" t="s">
        <v>439</v>
      </c>
      <c r="C474" s="8">
        <v>40840</v>
      </c>
      <c r="D474" s="9">
        <v>552716380</v>
      </c>
      <c r="E474" s="57">
        <v>500</v>
      </c>
      <c r="F474" s="10" t="s">
        <v>441</v>
      </c>
      <c r="G474" s="9">
        <v>0</v>
      </c>
      <c r="H474" s="70">
        <f t="shared" si="6"/>
        <v>0</v>
      </c>
      <c r="I474" s="11">
        <v>46070</v>
      </c>
      <c r="J474" s="11">
        <v>46066</v>
      </c>
      <c r="K474" s="13"/>
    </row>
    <row r="475" spans="1:11" ht="18" x14ac:dyDescent="0.4">
      <c r="A475" s="7" t="s">
        <v>719</v>
      </c>
      <c r="B475" s="7" t="s">
        <v>439</v>
      </c>
      <c r="C475" s="8">
        <v>40840</v>
      </c>
      <c r="D475" s="9">
        <v>552679610</v>
      </c>
      <c r="E475" s="57">
        <v>100</v>
      </c>
      <c r="F475" s="10" t="s">
        <v>442</v>
      </c>
      <c r="G475" s="9">
        <v>0</v>
      </c>
      <c r="H475" s="70">
        <f t="shared" si="6"/>
        <v>0</v>
      </c>
      <c r="I475" s="11">
        <v>46070</v>
      </c>
      <c r="J475" s="11">
        <v>46066</v>
      </c>
      <c r="K475" s="13"/>
    </row>
    <row r="476" spans="1:11" ht="18" x14ac:dyDescent="0.4">
      <c r="A476" s="7" t="s">
        <v>719</v>
      </c>
      <c r="B476" s="7" t="s">
        <v>439</v>
      </c>
      <c r="C476" s="8">
        <v>40840</v>
      </c>
      <c r="D476" s="9">
        <v>187503240</v>
      </c>
      <c r="E476" s="57">
        <v>1000</v>
      </c>
      <c r="F476" s="10" t="s">
        <v>443</v>
      </c>
      <c r="G476" s="9">
        <v>0</v>
      </c>
      <c r="H476" s="70">
        <f t="shared" si="6"/>
        <v>0</v>
      </c>
      <c r="I476" s="11">
        <v>46070</v>
      </c>
      <c r="J476" s="11">
        <v>46066</v>
      </c>
      <c r="K476" s="13"/>
    </row>
    <row r="477" spans="1:11" ht="18" x14ac:dyDescent="0.4">
      <c r="A477" s="7" t="s">
        <v>719</v>
      </c>
      <c r="B477" s="7" t="s">
        <v>439</v>
      </c>
      <c r="C477" s="8">
        <v>40840</v>
      </c>
      <c r="D477" s="9">
        <v>162859210</v>
      </c>
      <c r="E477" s="57">
        <v>1000</v>
      </c>
      <c r="F477" s="10" t="s">
        <v>444</v>
      </c>
      <c r="G477" s="9">
        <v>0</v>
      </c>
      <c r="H477" s="70">
        <f t="shared" si="6"/>
        <v>0</v>
      </c>
      <c r="I477" s="11">
        <v>46070</v>
      </c>
      <c r="J477" s="11">
        <v>46066</v>
      </c>
      <c r="K477" s="13"/>
    </row>
    <row r="478" spans="1:11" ht="18" x14ac:dyDescent="0.4">
      <c r="A478" s="7" t="s">
        <v>719</v>
      </c>
      <c r="B478" s="7" t="s">
        <v>439</v>
      </c>
      <c r="C478" s="8">
        <v>40840</v>
      </c>
      <c r="D478" s="9">
        <v>114843240</v>
      </c>
      <c r="E478" s="57">
        <v>1000</v>
      </c>
      <c r="F478" s="10" t="s">
        <v>445</v>
      </c>
      <c r="G478" s="9">
        <v>0</v>
      </c>
      <c r="H478" s="70">
        <f t="shared" si="6"/>
        <v>0</v>
      </c>
      <c r="I478" s="11">
        <v>46070</v>
      </c>
      <c r="J478" s="11">
        <v>46066</v>
      </c>
      <c r="K478" s="13"/>
    </row>
    <row r="479" spans="1:11" ht="18" x14ac:dyDescent="0.4">
      <c r="A479" s="7" t="s">
        <v>719</v>
      </c>
      <c r="B479" s="7" t="s">
        <v>446</v>
      </c>
      <c r="C479" s="8">
        <v>50111</v>
      </c>
      <c r="D479" s="9">
        <v>552679380</v>
      </c>
      <c r="E479" s="57">
        <v>5600</v>
      </c>
      <c r="F479" s="10" t="s">
        <v>447</v>
      </c>
      <c r="G479" s="9">
        <v>0</v>
      </c>
      <c r="H479" s="70">
        <f t="shared" si="6"/>
        <v>0</v>
      </c>
      <c r="I479" s="11">
        <v>46070</v>
      </c>
      <c r="J479" s="11">
        <v>46066</v>
      </c>
      <c r="K479" s="13"/>
    </row>
    <row r="480" spans="1:11" ht="18" x14ac:dyDescent="0.4">
      <c r="A480" s="7" t="s">
        <v>719</v>
      </c>
      <c r="B480" s="7" t="s">
        <v>448</v>
      </c>
      <c r="C480" s="8">
        <v>33518</v>
      </c>
      <c r="D480" s="9">
        <v>552681850</v>
      </c>
      <c r="E480" s="57">
        <v>64</v>
      </c>
      <c r="F480" s="10" t="s">
        <v>449</v>
      </c>
      <c r="G480" s="9">
        <v>1280</v>
      </c>
      <c r="H480" s="70">
        <f t="shared" ref="H480:H543" si="7">+G480/E480</f>
        <v>20</v>
      </c>
      <c r="I480" s="11">
        <v>46070</v>
      </c>
      <c r="J480" s="11">
        <v>46066</v>
      </c>
      <c r="K480" s="13"/>
    </row>
    <row r="481" spans="1:11" ht="18" x14ac:dyDescent="0.4">
      <c r="A481" s="7" t="s">
        <v>719</v>
      </c>
      <c r="B481" s="7" t="s">
        <v>448</v>
      </c>
      <c r="C481" s="8">
        <v>33518</v>
      </c>
      <c r="D481" s="9">
        <v>552667970</v>
      </c>
      <c r="E481" s="57">
        <v>96</v>
      </c>
      <c r="F481" s="10" t="s">
        <v>450</v>
      </c>
      <c r="G481" s="9">
        <v>384</v>
      </c>
      <c r="H481" s="70">
        <f t="shared" si="7"/>
        <v>4</v>
      </c>
      <c r="I481" s="11">
        <v>46070</v>
      </c>
      <c r="J481" s="11">
        <v>46066</v>
      </c>
      <c r="K481" s="13"/>
    </row>
    <row r="482" spans="1:11" ht="18" x14ac:dyDescent="0.4">
      <c r="A482" s="7" t="s">
        <v>719</v>
      </c>
      <c r="B482" s="7" t="s">
        <v>448</v>
      </c>
      <c r="C482" s="8">
        <v>33518</v>
      </c>
      <c r="D482" s="9">
        <v>463411480</v>
      </c>
      <c r="E482" s="57">
        <v>96</v>
      </c>
      <c r="F482" s="10" t="s">
        <v>450</v>
      </c>
      <c r="G482" s="9">
        <v>0</v>
      </c>
      <c r="H482" s="70">
        <f t="shared" si="7"/>
        <v>0</v>
      </c>
      <c r="I482" s="11">
        <v>46070</v>
      </c>
      <c r="J482" s="11">
        <v>46066</v>
      </c>
      <c r="K482" s="13"/>
    </row>
    <row r="483" spans="1:11" ht="18" x14ac:dyDescent="0.4">
      <c r="A483" s="7" t="s">
        <v>719</v>
      </c>
      <c r="B483" s="7" t="s">
        <v>451</v>
      </c>
      <c r="C483" s="8">
        <v>30467</v>
      </c>
      <c r="D483" s="9">
        <v>552703690</v>
      </c>
      <c r="E483" s="57">
        <v>2000</v>
      </c>
      <c r="F483" s="10" t="s">
        <v>184</v>
      </c>
      <c r="G483" s="9">
        <v>0</v>
      </c>
      <c r="H483" s="70">
        <f t="shared" si="7"/>
        <v>0</v>
      </c>
      <c r="I483" s="11">
        <v>46070</v>
      </c>
      <c r="J483" s="11">
        <v>46066</v>
      </c>
      <c r="K483" s="13"/>
    </row>
    <row r="484" spans="1:11" ht="18" x14ac:dyDescent="0.4">
      <c r="A484" s="7" t="s">
        <v>719</v>
      </c>
      <c r="B484" s="7" t="s">
        <v>452</v>
      </c>
      <c r="C484" s="8">
        <v>56589</v>
      </c>
      <c r="D484" s="9">
        <v>552681677</v>
      </c>
      <c r="E484" s="57">
        <v>48</v>
      </c>
      <c r="F484" s="10" t="s">
        <v>453</v>
      </c>
      <c r="G484" s="9">
        <v>912</v>
      </c>
      <c r="H484" s="70">
        <f t="shared" si="7"/>
        <v>19</v>
      </c>
      <c r="I484" s="11">
        <v>46070</v>
      </c>
      <c r="J484" s="11">
        <v>46066</v>
      </c>
      <c r="K484" s="13"/>
    </row>
    <row r="485" spans="1:11" ht="18" x14ac:dyDescent="0.4">
      <c r="A485" s="7" t="s">
        <v>719</v>
      </c>
      <c r="B485" s="7" t="s">
        <v>452</v>
      </c>
      <c r="C485" s="8">
        <v>56589</v>
      </c>
      <c r="D485" s="9">
        <v>552657037</v>
      </c>
      <c r="E485" s="57">
        <v>48</v>
      </c>
      <c r="F485" s="10" t="s">
        <v>454</v>
      </c>
      <c r="G485" s="9">
        <v>624</v>
      </c>
      <c r="H485" s="70">
        <f t="shared" si="7"/>
        <v>13</v>
      </c>
      <c r="I485" s="11">
        <v>46070</v>
      </c>
      <c r="J485" s="11">
        <v>46066</v>
      </c>
      <c r="K485" s="13"/>
    </row>
    <row r="486" spans="1:11" ht="18" x14ac:dyDescent="0.4">
      <c r="A486" s="7" t="s">
        <v>719</v>
      </c>
      <c r="B486" s="7" t="s">
        <v>452</v>
      </c>
      <c r="C486" s="8">
        <v>56589</v>
      </c>
      <c r="D486" s="9">
        <v>552681750</v>
      </c>
      <c r="E486" s="57">
        <v>120</v>
      </c>
      <c r="F486" s="10" t="s">
        <v>455</v>
      </c>
      <c r="G486" s="9">
        <v>480</v>
      </c>
      <c r="H486" s="70">
        <f t="shared" si="7"/>
        <v>4</v>
      </c>
      <c r="I486" s="11">
        <v>46070</v>
      </c>
      <c r="J486" s="11">
        <v>46066</v>
      </c>
      <c r="K486" s="13"/>
    </row>
    <row r="487" spans="1:11" ht="18" x14ac:dyDescent="0.4">
      <c r="A487" s="7" t="s">
        <v>719</v>
      </c>
      <c r="B487" s="7" t="s">
        <v>452</v>
      </c>
      <c r="C487" s="8">
        <v>56589</v>
      </c>
      <c r="D487" s="9">
        <v>552680020</v>
      </c>
      <c r="E487" s="57">
        <v>120</v>
      </c>
      <c r="F487" s="10" t="s">
        <v>456</v>
      </c>
      <c r="G487" s="9">
        <v>0</v>
      </c>
      <c r="H487" s="70">
        <f t="shared" si="7"/>
        <v>0</v>
      </c>
      <c r="I487" s="11">
        <v>46070</v>
      </c>
      <c r="J487" s="11">
        <v>46066</v>
      </c>
      <c r="K487" s="13"/>
    </row>
    <row r="488" spans="1:11" ht="18" x14ac:dyDescent="0.4">
      <c r="A488" s="7" t="s">
        <v>719</v>
      </c>
      <c r="B488" s="7" t="s">
        <v>457</v>
      </c>
      <c r="C488" s="8">
        <v>35657</v>
      </c>
      <c r="D488" s="9">
        <v>552677430</v>
      </c>
      <c r="E488" s="57">
        <v>6000</v>
      </c>
      <c r="F488" s="10" t="s">
        <v>243</v>
      </c>
      <c r="G488" s="9">
        <v>0</v>
      </c>
      <c r="H488" s="70">
        <f t="shared" si="7"/>
        <v>0</v>
      </c>
      <c r="I488" s="11">
        <v>46070</v>
      </c>
      <c r="J488" s="11">
        <v>46066</v>
      </c>
      <c r="K488" s="13"/>
    </row>
    <row r="489" spans="1:11" ht="18" x14ac:dyDescent="0.4">
      <c r="A489" s="7" t="s">
        <v>719</v>
      </c>
      <c r="B489" s="7" t="s">
        <v>458</v>
      </c>
      <c r="C489" s="8">
        <v>68265</v>
      </c>
      <c r="D489" s="9">
        <v>463375350</v>
      </c>
      <c r="E489" s="57">
        <v>7200</v>
      </c>
      <c r="F489" s="10" t="s">
        <v>459</v>
      </c>
      <c r="G489" s="9">
        <v>7200</v>
      </c>
      <c r="H489" s="70">
        <f t="shared" si="7"/>
        <v>1</v>
      </c>
      <c r="I489" s="11">
        <v>46070</v>
      </c>
      <c r="J489" s="11">
        <v>46066</v>
      </c>
      <c r="K489" s="13"/>
    </row>
    <row r="490" spans="1:11" ht="18" x14ac:dyDescent="0.4">
      <c r="A490" s="7" t="s">
        <v>719</v>
      </c>
      <c r="B490" s="7" t="s">
        <v>458</v>
      </c>
      <c r="C490" s="8">
        <v>68265</v>
      </c>
      <c r="D490" s="9">
        <v>552679420</v>
      </c>
      <c r="E490" s="57">
        <v>3360</v>
      </c>
      <c r="F490" s="10" t="s">
        <v>460</v>
      </c>
      <c r="G490" s="9">
        <v>16800</v>
      </c>
      <c r="H490" s="70">
        <f t="shared" si="7"/>
        <v>5</v>
      </c>
      <c r="I490" s="11">
        <v>46070</v>
      </c>
      <c r="J490" s="11">
        <v>46066</v>
      </c>
      <c r="K490" s="13"/>
    </row>
    <row r="491" spans="1:11" ht="18" x14ac:dyDescent="0.4">
      <c r="A491" s="7" t="s">
        <v>719</v>
      </c>
      <c r="B491" s="7" t="s">
        <v>458</v>
      </c>
      <c r="C491" s="8">
        <v>68265</v>
      </c>
      <c r="D491" s="9">
        <v>463541260</v>
      </c>
      <c r="E491" s="57">
        <v>120</v>
      </c>
      <c r="F491" s="10" t="s">
        <v>461</v>
      </c>
      <c r="G491" s="9">
        <v>480</v>
      </c>
      <c r="H491" s="70">
        <f t="shared" si="7"/>
        <v>4</v>
      </c>
      <c r="I491" s="11">
        <v>46070</v>
      </c>
      <c r="J491" s="11">
        <v>46066</v>
      </c>
      <c r="K491" s="13"/>
    </row>
    <row r="492" spans="1:11" ht="18" x14ac:dyDescent="0.4">
      <c r="A492" s="7" t="s">
        <v>719</v>
      </c>
      <c r="B492" s="7" t="s">
        <v>458</v>
      </c>
      <c r="C492" s="8">
        <v>68265</v>
      </c>
      <c r="D492" s="9">
        <v>463541240</v>
      </c>
      <c r="E492" s="57">
        <v>120</v>
      </c>
      <c r="F492" s="10" t="s">
        <v>462</v>
      </c>
      <c r="G492" s="9">
        <v>1200</v>
      </c>
      <c r="H492" s="70">
        <f t="shared" si="7"/>
        <v>10</v>
      </c>
      <c r="I492" s="11">
        <v>46070</v>
      </c>
      <c r="J492" s="11">
        <v>46066</v>
      </c>
      <c r="K492" s="13"/>
    </row>
    <row r="493" spans="1:11" ht="21" customHeight="1" x14ac:dyDescent="0.4">
      <c r="A493" s="7" t="s">
        <v>719</v>
      </c>
      <c r="B493" s="7" t="s">
        <v>463</v>
      </c>
      <c r="C493" s="8">
        <v>1020</v>
      </c>
      <c r="D493" s="9">
        <v>552732717</v>
      </c>
      <c r="E493" s="57">
        <v>30</v>
      </c>
      <c r="F493" s="10" t="s">
        <v>464</v>
      </c>
      <c r="G493" s="9">
        <v>600</v>
      </c>
      <c r="H493" s="70">
        <f t="shared" si="7"/>
        <v>20</v>
      </c>
      <c r="I493" s="11">
        <v>46070</v>
      </c>
      <c r="J493" s="11">
        <v>46066</v>
      </c>
      <c r="K493" s="13"/>
    </row>
    <row r="494" spans="1:11" ht="18" x14ac:dyDescent="0.4">
      <c r="A494" s="7" t="s">
        <v>719</v>
      </c>
      <c r="B494" s="7" t="s">
        <v>463</v>
      </c>
      <c r="C494" s="8">
        <v>1020</v>
      </c>
      <c r="D494" s="9">
        <v>552732747</v>
      </c>
      <c r="E494" s="57">
        <v>30</v>
      </c>
      <c r="F494" s="10" t="s">
        <v>465</v>
      </c>
      <c r="G494" s="9">
        <v>1800</v>
      </c>
      <c r="H494" s="70">
        <f t="shared" si="7"/>
        <v>60</v>
      </c>
      <c r="I494" s="11">
        <v>46070</v>
      </c>
      <c r="J494" s="11">
        <v>46066</v>
      </c>
      <c r="K494" s="13"/>
    </row>
    <row r="495" spans="1:11" ht="18" x14ac:dyDescent="0.4">
      <c r="A495" s="7" t="s">
        <v>719</v>
      </c>
      <c r="B495" s="7" t="s">
        <v>463</v>
      </c>
      <c r="C495" s="8">
        <v>1020</v>
      </c>
      <c r="D495" s="9">
        <v>552821208</v>
      </c>
      <c r="E495" s="57">
        <v>24</v>
      </c>
      <c r="F495" s="10" t="s">
        <v>466</v>
      </c>
      <c r="G495" s="9">
        <v>0</v>
      </c>
      <c r="H495" s="70">
        <f t="shared" si="7"/>
        <v>0</v>
      </c>
      <c r="I495" s="11">
        <v>46070</v>
      </c>
      <c r="J495" s="11">
        <v>46066</v>
      </c>
      <c r="K495" s="13"/>
    </row>
    <row r="496" spans="1:11" ht="18" x14ac:dyDescent="0.4">
      <c r="A496" s="7" t="s">
        <v>719</v>
      </c>
      <c r="B496" s="7" t="s">
        <v>463</v>
      </c>
      <c r="C496" s="8">
        <v>1020</v>
      </c>
      <c r="D496" s="9">
        <v>463404768</v>
      </c>
      <c r="E496" s="57">
        <v>24</v>
      </c>
      <c r="F496" s="10" t="s">
        <v>466</v>
      </c>
      <c r="G496" s="9">
        <v>1800</v>
      </c>
      <c r="H496" s="70">
        <f t="shared" si="7"/>
        <v>75</v>
      </c>
      <c r="I496" s="11">
        <v>46070</v>
      </c>
      <c r="J496" s="11">
        <v>46066</v>
      </c>
      <c r="K496" s="13"/>
    </row>
    <row r="497" spans="1:11" ht="18" x14ac:dyDescent="0.4">
      <c r="A497" s="7" t="s">
        <v>719</v>
      </c>
      <c r="B497" s="7" t="s">
        <v>463</v>
      </c>
      <c r="C497" s="8">
        <v>1020</v>
      </c>
      <c r="D497" s="9">
        <v>552821178</v>
      </c>
      <c r="E497" s="57">
        <v>24</v>
      </c>
      <c r="F497" s="10" t="s">
        <v>467</v>
      </c>
      <c r="G497" s="9">
        <v>624</v>
      </c>
      <c r="H497" s="70">
        <f t="shared" si="7"/>
        <v>26</v>
      </c>
      <c r="I497" s="11">
        <v>46070</v>
      </c>
      <c r="J497" s="11">
        <v>46066</v>
      </c>
      <c r="K497" s="13"/>
    </row>
    <row r="498" spans="1:11" ht="25.5" customHeight="1" x14ac:dyDescent="0.4">
      <c r="A498" s="7" t="s">
        <v>719</v>
      </c>
      <c r="B498" s="7" t="s">
        <v>95</v>
      </c>
      <c r="C498" s="8">
        <v>45150</v>
      </c>
      <c r="D498" s="9">
        <v>552681821</v>
      </c>
      <c r="E498" s="57">
        <v>40</v>
      </c>
      <c r="F498" s="37" t="s">
        <v>468</v>
      </c>
      <c r="G498" s="9">
        <v>1600</v>
      </c>
      <c r="H498" s="70">
        <f t="shared" si="7"/>
        <v>40</v>
      </c>
      <c r="I498" s="11">
        <v>46070</v>
      </c>
      <c r="J498" s="11">
        <v>46066</v>
      </c>
      <c r="K498" s="13"/>
    </row>
    <row r="499" spans="1:11" ht="18" x14ac:dyDescent="0.4">
      <c r="A499" s="7" t="s">
        <v>719</v>
      </c>
      <c r="B499" s="7" t="s">
        <v>95</v>
      </c>
      <c r="C499" s="8">
        <v>45150</v>
      </c>
      <c r="D499" s="9">
        <v>552677041</v>
      </c>
      <c r="E499" s="57">
        <v>40</v>
      </c>
      <c r="F499" s="10" t="s">
        <v>469</v>
      </c>
      <c r="G499" s="9">
        <v>0</v>
      </c>
      <c r="H499" s="70">
        <f t="shared" si="7"/>
        <v>0</v>
      </c>
      <c r="I499" s="11">
        <v>46070</v>
      </c>
      <c r="J499" s="11">
        <v>46066</v>
      </c>
      <c r="K499" s="13"/>
    </row>
    <row r="500" spans="1:11" ht="18" x14ac:dyDescent="0.4">
      <c r="A500" s="7" t="s">
        <v>719</v>
      </c>
      <c r="B500" s="7" t="s">
        <v>470</v>
      </c>
      <c r="C500" s="8">
        <v>21796</v>
      </c>
      <c r="D500" s="9">
        <v>552808040</v>
      </c>
      <c r="E500" s="57">
        <v>1920</v>
      </c>
      <c r="F500" s="10" t="s">
        <v>154</v>
      </c>
      <c r="G500" s="9">
        <v>0</v>
      </c>
      <c r="H500" s="70">
        <f t="shared" si="7"/>
        <v>0</v>
      </c>
      <c r="I500" s="11">
        <v>46070</v>
      </c>
      <c r="J500" s="11">
        <v>46066</v>
      </c>
      <c r="K500" s="13"/>
    </row>
    <row r="501" spans="1:11" ht="18" x14ac:dyDescent="0.4">
      <c r="A501" s="7" t="s">
        <v>719</v>
      </c>
      <c r="B501" s="7" t="s">
        <v>471</v>
      </c>
      <c r="C501" s="8">
        <v>42932</v>
      </c>
      <c r="D501" s="9">
        <v>463404510</v>
      </c>
      <c r="E501" s="57">
        <v>60</v>
      </c>
      <c r="F501" s="10" t="s">
        <v>155</v>
      </c>
      <c r="G501" s="9">
        <v>0</v>
      </c>
      <c r="H501" s="70">
        <f t="shared" si="7"/>
        <v>0</v>
      </c>
      <c r="I501" s="11">
        <v>46070</v>
      </c>
      <c r="J501" s="11">
        <v>46066</v>
      </c>
      <c r="K501" s="13"/>
    </row>
    <row r="502" spans="1:11" ht="18" x14ac:dyDescent="0.4">
      <c r="A502" s="7" t="s">
        <v>719</v>
      </c>
      <c r="B502" s="7" t="s">
        <v>471</v>
      </c>
      <c r="C502" s="8">
        <v>42932</v>
      </c>
      <c r="D502" s="9">
        <v>463404780</v>
      </c>
      <c r="E502" s="57">
        <v>60</v>
      </c>
      <c r="F502" s="10" t="s">
        <v>155</v>
      </c>
      <c r="G502" s="9">
        <v>1920</v>
      </c>
      <c r="H502" s="70">
        <f t="shared" si="7"/>
        <v>32</v>
      </c>
      <c r="I502" s="11">
        <v>46070</v>
      </c>
      <c r="J502" s="11">
        <v>46066</v>
      </c>
      <c r="K502" s="13"/>
    </row>
    <row r="503" spans="1:11" ht="18" x14ac:dyDescent="0.4">
      <c r="A503" s="7" t="s">
        <v>719</v>
      </c>
      <c r="B503" s="7" t="s">
        <v>472</v>
      </c>
      <c r="C503" s="8">
        <v>41469</v>
      </c>
      <c r="D503" s="9">
        <v>463462830</v>
      </c>
      <c r="E503" s="57">
        <v>30</v>
      </c>
      <c r="F503" s="10" t="s">
        <v>428</v>
      </c>
      <c r="G503" s="9">
        <v>1050</v>
      </c>
      <c r="H503" s="70">
        <f t="shared" si="7"/>
        <v>35</v>
      </c>
      <c r="I503" s="11">
        <v>46070</v>
      </c>
      <c r="J503" s="11">
        <v>46066</v>
      </c>
      <c r="K503" s="12"/>
    </row>
    <row r="504" spans="1:11" ht="18" x14ac:dyDescent="0.4">
      <c r="A504" s="43" t="s">
        <v>719</v>
      </c>
      <c r="B504" s="43" t="s">
        <v>473</v>
      </c>
      <c r="C504" s="44">
        <v>31775</v>
      </c>
      <c r="D504" s="45">
        <v>463530880</v>
      </c>
      <c r="E504" s="65">
        <v>30</v>
      </c>
      <c r="F504" s="46" t="s">
        <v>474</v>
      </c>
      <c r="G504" s="45">
        <v>0</v>
      </c>
      <c r="H504" s="70">
        <f t="shared" si="7"/>
        <v>0</v>
      </c>
      <c r="I504" s="11">
        <v>46070</v>
      </c>
      <c r="J504" s="47">
        <v>46066</v>
      </c>
      <c r="K504" s="48"/>
    </row>
    <row r="505" spans="1:11" ht="18" x14ac:dyDescent="0.4">
      <c r="A505" s="7" t="s">
        <v>475</v>
      </c>
      <c r="B505" s="16" t="s">
        <v>451</v>
      </c>
      <c r="C505" s="8">
        <v>30460</v>
      </c>
      <c r="D505" s="9">
        <v>463557158</v>
      </c>
      <c r="E505" s="57">
        <v>672</v>
      </c>
      <c r="F505" s="10" t="s">
        <v>476</v>
      </c>
      <c r="G505" s="9">
        <v>0</v>
      </c>
      <c r="H505" s="70">
        <f t="shared" si="7"/>
        <v>0</v>
      </c>
      <c r="I505" s="11">
        <v>46070</v>
      </c>
      <c r="J505" s="11">
        <v>46066</v>
      </c>
      <c r="K505" s="8"/>
    </row>
    <row r="506" spans="1:11" ht="18" x14ac:dyDescent="0.4">
      <c r="A506" s="7" t="s">
        <v>475</v>
      </c>
      <c r="B506" s="16" t="s">
        <v>451</v>
      </c>
      <c r="C506" s="8">
        <v>30460</v>
      </c>
      <c r="D506" s="9">
        <v>463557148</v>
      </c>
      <c r="E506" s="57">
        <v>672</v>
      </c>
      <c r="F506" s="10" t="s">
        <v>477</v>
      </c>
      <c r="G506" s="9">
        <v>0</v>
      </c>
      <c r="H506" s="70">
        <f t="shared" si="7"/>
        <v>0</v>
      </c>
      <c r="I506" s="11">
        <v>46070</v>
      </c>
      <c r="J506" s="11">
        <v>46066</v>
      </c>
      <c r="K506" s="8"/>
    </row>
    <row r="507" spans="1:11" ht="18" x14ac:dyDescent="0.4">
      <c r="A507" s="7" t="s">
        <v>475</v>
      </c>
      <c r="B507" s="16" t="s">
        <v>451</v>
      </c>
      <c r="C507" s="8">
        <v>30460</v>
      </c>
      <c r="D507" s="9">
        <v>552664537</v>
      </c>
      <c r="E507" s="57">
        <v>792</v>
      </c>
      <c r="F507" s="10" t="s">
        <v>478</v>
      </c>
      <c r="G507" s="9">
        <v>0</v>
      </c>
      <c r="H507" s="70">
        <f t="shared" si="7"/>
        <v>0</v>
      </c>
      <c r="I507" s="11">
        <v>46070</v>
      </c>
      <c r="J507" s="11">
        <v>46066</v>
      </c>
      <c r="K507" s="8"/>
    </row>
    <row r="508" spans="1:11" ht="18" x14ac:dyDescent="0.4">
      <c r="A508" s="7" t="s">
        <v>475</v>
      </c>
      <c r="B508" s="16" t="s">
        <v>451</v>
      </c>
      <c r="C508" s="8">
        <v>30460</v>
      </c>
      <c r="D508" s="9">
        <v>552664527</v>
      </c>
      <c r="E508" s="57">
        <v>792</v>
      </c>
      <c r="F508" s="10" t="s">
        <v>479</v>
      </c>
      <c r="G508" s="9">
        <v>0</v>
      </c>
      <c r="H508" s="70">
        <f t="shared" si="7"/>
        <v>0</v>
      </c>
      <c r="I508" s="11">
        <v>46070</v>
      </c>
      <c r="J508" s="11">
        <v>46066</v>
      </c>
      <c r="K508" s="8"/>
    </row>
    <row r="509" spans="1:11" ht="18" x14ac:dyDescent="0.4">
      <c r="A509" s="7" t="s">
        <v>475</v>
      </c>
      <c r="B509" s="16" t="s">
        <v>451</v>
      </c>
      <c r="C509" s="8">
        <v>30460</v>
      </c>
      <c r="D509" s="9">
        <v>552664547</v>
      </c>
      <c r="E509" s="57">
        <v>672</v>
      </c>
      <c r="F509" s="10" t="s">
        <v>480</v>
      </c>
      <c r="G509" s="9">
        <v>0</v>
      </c>
      <c r="H509" s="70">
        <f t="shared" si="7"/>
        <v>0</v>
      </c>
      <c r="I509" s="11">
        <v>46070</v>
      </c>
      <c r="J509" s="11">
        <v>46066</v>
      </c>
      <c r="K509" s="8"/>
    </row>
    <row r="510" spans="1:11" ht="18" x14ac:dyDescent="0.4">
      <c r="A510" s="7" t="s">
        <v>475</v>
      </c>
      <c r="B510" s="16" t="s">
        <v>451</v>
      </c>
      <c r="C510" s="8">
        <v>30460</v>
      </c>
      <c r="D510" s="9">
        <v>552664557</v>
      </c>
      <c r="E510" s="57">
        <v>672</v>
      </c>
      <c r="F510" s="10" t="s">
        <v>481</v>
      </c>
      <c r="G510" s="9">
        <v>0</v>
      </c>
      <c r="H510" s="70">
        <f t="shared" si="7"/>
        <v>0</v>
      </c>
      <c r="I510" s="11">
        <v>46070</v>
      </c>
      <c r="J510" s="11">
        <v>46066</v>
      </c>
      <c r="K510" s="8"/>
    </row>
    <row r="511" spans="1:11" ht="18" x14ac:dyDescent="0.4">
      <c r="A511" s="7" t="s">
        <v>475</v>
      </c>
      <c r="B511" s="16" t="s">
        <v>451</v>
      </c>
      <c r="C511" s="8">
        <v>30460</v>
      </c>
      <c r="D511" s="9">
        <v>552664567</v>
      </c>
      <c r="E511" s="57">
        <v>756</v>
      </c>
      <c r="F511" s="10" t="s">
        <v>482</v>
      </c>
      <c r="G511" s="9">
        <v>0</v>
      </c>
      <c r="H511" s="70">
        <f t="shared" si="7"/>
        <v>0</v>
      </c>
      <c r="I511" s="11">
        <v>46070</v>
      </c>
      <c r="J511" s="11">
        <v>46066</v>
      </c>
      <c r="K511" s="8"/>
    </row>
    <row r="512" spans="1:11" ht="18" x14ac:dyDescent="0.4">
      <c r="A512" s="7" t="s">
        <v>475</v>
      </c>
      <c r="B512" s="16" t="s">
        <v>451</v>
      </c>
      <c r="C512" s="8">
        <v>30460</v>
      </c>
      <c r="D512" s="9">
        <v>552664577</v>
      </c>
      <c r="E512" s="57">
        <v>756</v>
      </c>
      <c r="F512" s="10" t="s">
        <v>483</v>
      </c>
      <c r="G512" s="9">
        <v>0</v>
      </c>
      <c r="H512" s="70">
        <f t="shared" si="7"/>
        <v>0</v>
      </c>
      <c r="I512" s="11">
        <v>46070</v>
      </c>
      <c r="J512" s="11">
        <v>46066</v>
      </c>
      <c r="K512" s="8"/>
    </row>
    <row r="513" spans="1:11" ht="18" x14ac:dyDescent="0.4">
      <c r="A513" s="7" t="s">
        <v>475</v>
      </c>
      <c r="B513" s="16" t="s">
        <v>451</v>
      </c>
      <c r="C513" s="8">
        <v>30460</v>
      </c>
      <c r="D513" s="9">
        <v>463555108</v>
      </c>
      <c r="E513" s="57">
        <v>588</v>
      </c>
      <c r="F513" s="10" t="s">
        <v>484</v>
      </c>
      <c r="G513" s="9">
        <v>0</v>
      </c>
      <c r="H513" s="70">
        <f t="shared" si="7"/>
        <v>0</v>
      </c>
      <c r="I513" s="11">
        <v>46070</v>
      </c>
      <c r="J513" s="11">
        <v>46066</v>
      </c>
      <c r="K513" s="8"/>
    </row>
    <row r="514" spans="1:11" ht="18" x14ac:dyDescent="0.4">
      <c r="A514" s="7" t="s">
        <v>475</v>
      </c>
      <c r="B514" s="16" t="s">
        <v>451</v>
      </c>
      <c r="C514" s="8">
        <v>30460</v>
      </c>
      <c r="D514" s="9">
        <v>552086937</v>
      </c>
      <c r="E514" s="57">
        <v>588</v>
      </c>
      <c r="F514" s="10" t="s">
        <v>485</v>
      </c>
      <c r="G514" s="9">
        <v>0</v>
      </c>
      <c r="H514" s="70">
        <f t="shared" si="7"/>
        <v>0</v>
      </c>
      <c r="I514" s="11">
        <v>46070</v>
      </c>
      <c r="J514" s="11">
        <v>46066</v>
      </c>
      <c r="K514" s="8"/>
    </row>
    <row r="515" spans="1:11" ht="18" x14ac:dyDescent="0.4">
      <c r="A515" s="7" t="s">
        <v>475</v>
      </c>
      <c r="B515" s="16" t="s">
        <v>451</v>
      </c>
      <c r="C515" s="8">
        <v>30460</v>
      </c>
      <c r="D515" s="9">
        <v>463555088</v>
      </c>
      <c r="E515" s="57">
        <v>588</v>
      </c>
      <c r="F515" s="10" t="s">
        <v>486</v>
      </c>
      <c r="G515" s="9">
        <v>0</v>
      </c>
      <c r="H515" s="70">
        <f t="shared" si="7"/>
        <v>0</v>
      </c>
      <c r="I515" s="11">
        <v>46070</v>
      </c>
      <c r="J515" s="11">
        <v>46066</v>
      </c>
      <c r="K515" s="8"/>
    </row>
    <row r="516" spans="1:11" ht="18" x14ac:dyDescent="0.4">
      <c r="A516" s="7" t="s">
        <v>475</v>
      </c>
      <c r="B516" s="16" t="s">
        <v>451</v>
      </c>
      <c r="C516" s="8">
        <v>30460</v>
      </c>
      <c r="D516" s="9">
        <v>552086957</v>
      </c>
      <c r="E516" s="57">
        <v>588</v>
      </c>
      <c r="F516" s="10" t="s">
        <v>487</v>
      </c>
      <c r="G516" s="9">
        <v>0</v>
      </c>
      <c r="H516" s="70">
        <f t="shared" si="7"/>
        <v>0</v>
      </c>
      <c r="I516" s="11">
        <v>46070</v>
      </c>
      <c r="J516" s="11">
        <v>46066</v>
      </c>
      <c r="K516" s="8"/>
    </row>
    <row r="517" spans="1:11" ht="18" x14ac:dyDescent="0.4">
      <c r="A517" s="7" t="s">
        <v>475</v>
      </c>
      <c r="B517" s="16" t="s">
        <v>451</v>
      </c>
      <c r="C517" s="8">
        <v>30460</v>
      </c>
      <c r="D517" s="9">
        <v>552724278</v>
      </c>
      <c r="E517" s="57">
        <v>588</v>
      </c>
      <c r="F517" s="10" t="s">
        <v>488</v>
      </c>
      <c r="G517" s="9">
        <v>0</v>
      </c>
      <c r="H517" s="70">
        <f t="shared" si="7"/>
        <v>0</v>
      </c>
      <c r="I517" s="11">
        <v>46070</v>
      </c>
      <c r="J517" s="11">
        <v>46066</v>
      </c>
      <c r="K517" s="8"/>
    </row>
    <row r="518" spans="1:11" ht="18" x14ac:dyDescent="0.4">
      <c r="A518" s="7" t="s">
        <v>475</v>
      </c>
      <c r="B518" s="16" t="s">
        <v>451</v>
      </c>
      <c r="C518" s="8">
        <v>30460</v>
      </c>
      <c r="D518" s="9">
        <v>552086967</v>
      </c>
      <c r="E518" s="57">
        <v>294</v>
      </c>
      <c r="F518" s="10" t="s">
        <v>489</v>
      </c>
      <c r="G518" s="9">
        <v>0</v>
      </c>
      <c r="H518" s="70">
        <f t="shared" si="7"/>
        <v>0</v>
      </c>
      <c r="I518" s="11">
        <v>46070</v>
      </c>
      <c r="J518" s="11">
        <v>46066</v>
      </c>
      <c r="K518" s="8"/>
    </row>
    <row r="519" spans="1:11" ht="18" x14ac:dyDescent="0.4">
      <c r="A519" s="7" t="s">
        <v>475</v>
      </c>
      <c r="B519" s="16" t="s">
        <v>451</v>
      </c>
      <c r="C519" s="8">
        <v>30460</v>
      </c>
      <c r="D519" s="9">
        <v>552086977</v>
      </c>
      <c r="E519" s="57">
        <v>294</v>
      </c>
      <c r="F519" s="10" t="s">
        <v>490</v>
      </c>
      <c r="G519" s="9">
        <v>0</v>
      </c>
      <c r="H519" s="70">
        <f t="shared" si="7"/>
        <v>0</v>
      </c>
      <c r="I519" s="11">
        <v>46070</v>
      </c>
      <c r="J519" s="11">
        <v>46066</v>
      </c>
      <c r="K519" s="8"/>
    </row>
    <row r="520" spans="1:11" ht="18" x14ac:dyDescent="0.4">
      <c r="A520" s="7" t="s">
        <v>475</v>
      </c>
      <c r="B520" s="16" t="s">
        <v>451</v>
      </c>
      <c r="C520" s="8">
        <v>30460</v>
      </c>
      <c r="D520" s="9">
        <v>77579477</v>
      </c>
      <c r="E520" s="57">
        <v>294</v>
      </c>
      <c r="F520" s="10" t="s">
        <v>491</v>
      </c>
      <c r="G520" s="9">
        <v>0</v>
      </c>
      <c r="H520" s="70">
        <f t="shared" si="7"/>
        <v>0</v>
      </c>
      <c r="I520" s="11">
        <v>46070</v>
      </c>
      <c r="J520" s="11">
        <v>46066</v>
      </c>
      <c r="K520" s="8"/>
    </row>
    <row r="521" spans="1:11" ht="18" x14ac:dyDescent="0.4">
      <c r="A521" s="7" t="s">
        <v>475</v>
      </c>
      <c r="B521" s="16" t="s">
        <v>451</v>
      </c>
      <c r="C521" s="8">
        <v>30460</v>
      </c>
      <c r="D521" s="9">
        <v>552698778</v>
      </c>
      <c r="E521" s="57">
        <v>672</v>
      </c>
      <c r="F521" s="10" t="s">
        <v>492</v>
      </c>
      <c r="G521" s="9">
        <v>0</v>
      </c>
      <c r="H521" s="70">
        <f t="shared" si="7"/>
        <v>0</v>
      </c>
      <c r="I521" s="11">
        <v>46070</v>
      </c>
      <c r="J521" s="11">
        <v>46066</v>
      </c>
      <c r="K521" s="8"/>
    </row>
    <row r="522" spans="1:11" ht="18" x14ac:dyDescent="0.4">
      <c r="A522" s="7" t="s">
        <v>475</v>
      </c>
      <c r="B522" s="16" t="s">
        <v>451</v>
      </c>
      <c r="C522" s="8">
        <v>30460</v>
      </c>
      <c r="D522" s="9">
        <v>552698768</v>
      </c>
      <c r="E522" s="57">
        <v>672</v>
      </c>
      <c r="F522" s="10" t="s">
        <v>493</v>
      </c>
      <c r="G522" s="9">
        <v>0</v>
      </c>
      <c r="H522" s="70">
        <f t="shared" si="7"/>
        <v>0</v>
      </c>
      <c r="I522" s="11">
        <v>46070</v>
      </c>
      <c r="J522" s="11">
        <v>46066</v>
      </c>
      <c r="K522" s="8"/>
    </row>
    <row r="523" spans="1:11" ht="18" x14ac:dyDescent="0.4">
      <c r="A523" s="7" t="s">
        <v>475</v>
      </c>
      <c r="B523" s="16" t="s">
        <v>451</v>
      </c>
      <c r="C523" s="8">
        <v>30460</v>
      </c>
      <c r="D523" s="9">
        <v>552698758</v>
      </c>
      <c r="E523" s="57">
        <v>672</v>
      </c>
      <c r="F523" s="10" t="s">
        <v>494</v>
      </c>
      <c r="G523" s="9">
        <v>0</v>
      </c>
      <c r="H523" s="70">
        <f t="shared" si="7"/>
        <v>0</v>
      </c>
      <c r="I523" s="11">
        <v>46070</v>
      </c>
      <c r="J523" s="11">
        <v>46066</v>
      </c>
      <c r="K523" s="8"/>
    </row>
    <row r="524" spans="1:11" ht="18" x14ac:dyDescent="0.4">
      <c r="A524" s="7" t="s">
        <v>475</v>
      </c>
      <c r="B524" s="16" t="s">
        <v>451</v>
      </c>
      <c r="C524" s="8">
        <v>30460</v>
      </c>
      <c r="D524" s="9">
        <v>552698748</v>
      </c>
      <c r="E524" s="57">
        <v>672</v>
      </c>
      <c r="F524" s="10" t="s">
        <v>495</v>
      </c>
      <c r="G524" s="9">
        <v>0</v>
      </c>
      <c r="H524" s="70">
        <f t="shared" si="7"/>
        <v>0</v>
      </c>
      <c r="I524" s="11">
        <v>46070</v>
      </c>
      <c r="J524" s="11">
        <v>46066</v>
      </c>
      <c r="K524" s="8"/>
    </row>
    <row r="525" spans="1:11" ht="18" x14ac:dyDescent="0.4">
      <c r="A525" s="7" t="s">
        <v>475</v>
      </c>
      <c r="B525" s="16" t="s">
        <v>451</v>
      </c>
      <c r="C525" s="8">
        <v>30460</v>
      </c>
      <c r="D525" s="9">
        <v>552724288</v>
      </c>
      <c r="E525" s="57">
        <v>672</v>
      </c>
      <c r="F525" s="10" t="s">
        <v>496</v>
      </c>
      <c r="G525" s="9">
        <v>0</v>
      </c>
      <c r="H525" s="70">
        <f t="shared" si="7"/>
        <v>0</v>
      </c>
      <c r="I525" s="11">
        <v>46070</v>
      </c>
      <c r="J525" s="11">
        <v>46066</v>
      </c>
      <c r="K525" s="8"/>
    </row>
    <row r="526" spans="1:11" ht="18" x14ac:dyDescent="0.4">
      <c r="A526" s="7" t="s">
        <v>475</v>
      </c>
      <c r="B526" s="16" t="s">
        <v>451</v>
      </c>
      <c r="C526" s="8">
        <v>30460</v>
      </c>
      <c r="D526" s="9">
        <v>467670637</v>
      </c>
      <c r="E526" s="57">
        <v>792</v>
      </c>
      <c r="F526" s="10" t="s">
        <v>497</v>
      </c>
      <c r="G526" s="9">
        <v>0</v>
      </c>
      <c r="H526" s="70">
        <f t="shared" si="7"/>
        <v>0</v>
      </c>
      <c r="I526" s="11">
        <v>46070</v>
      </c>
      <c r="J526" s="11">
        <v>46066</v>
      </c>
      <c r="K526" s="8"/>
    </row>
    <row r="527" spans="1:11" ht="18" x14ac:dyDescent="0.4">
      <c r="A527" s="7" t="s">
        <v>475</v>
      </c>
      <c r="B527" s="16" t="s">
        <v>451</v>
      </c>
      <c r="C527" s="8">
        <v>30460</v>
      </c>
      <c r="D527" s="9">
        <v>552030228</v>
      </c>
      <c r="E527" s="57">
        <v>392</v>
      </c>
      <c r="F527" s="10" t="s">
        <v>498</v>
      </c>
      <c r="G527" s="9">
        <v>0</v>
      </c>
      <c r="H527" s="70">
        <f t="shared" si="7"/>
        <v>0</v>
      </c>
      <c r="I527" s="11">
        <v>46070</v>
      </c>
      <c r="J527" s="11">
        <v>46066</v>
      </c>
      <c r="K527" s="8"/>
    </row>
    <row r="528" spans="1:11" ht="18" x14ac:dyDescent="0.4">
      <c r="A528" s="7" t="s">
        <v>475</v>
      </c>
      <c r="B528" s="16" t="s">
        <v>451</v>
      </c>
      <c r="C528" s="8">
        <v>30460</v>
      </c>
      <c r="D528" s="9">
        <v>467784288</v>
      </c>
      <c r="E528" s="57">
        <v>392</v>
      </c>
      <c r="F528" s="10" t="s">
        <v>499</v>
      </c>
      <c r="G528" s="9">
        <v>0</v>
      </c>
      <c r="H528" s="70">
        <f t="shared" si="7"/>
        <v>0</v>
      </c>
      <c r="I528" s="11">
        <v>46070</v>
      </c>
      <c r="J528" s="11">
        <v>46066</v>
      </c>
      <c r="K528" s="8"/>
    </row>
    <row r="529" spans="1:11" ht="18" x14ac:dyDescent="0.4">
      <c r="A529" s="7" t="s">
        <v>475</v>
      </c>
      <c r="B529" s="16" t="s">
        <v>451</v>
      </c>
      <c r="C529" s="8">
        <v>30460</v>
      </c>
      <c r="D529" s="9">
        <v>467784297</v>
      </c>
      <c r="E529" s="57">
        <v>392</v>
      </c>
      <c r="F529" s="10" t="s">
        <v>500</v>
      </c>
      <c r="G529" s="9">
        <v>0</v>
      </c>
      <c r="H529" s="70">
        <f t="shared" si="7"/>
        <v>0</v>
      </c>
      <c r="I529" s="11">
        <v>46070</v>
      </c>
      <c r="J529" s="11">
        <v>46066</v>
      </c>
      <c r="K529" s="8"/>
    </row>
    <row r="530" spans="1:11" ht="18" x14ac:dyDescent="0.4">
      <c r="A530" s="7" t="s">
        <v>475</v>
      </c>
      <c r="B530" s="16" t="s">
        <v>451</v>
      </c>
      <c r="C530" s="8">
        <v>30460</v>
      </c>
      <c r="D530" s="9">
        <v>551824567</v>
      </c>
      <c r="E530" s="57">
        <v>392</v>
      </c>
      <c r="F530" s="10" t="s">
        <v>501</v>
      </c>
      <c r="G530" s="9">
        <v>0</v>
      </c>
      <c r="H530" s="70">
        <f t="shared" si="7"/>
        <v>0</v>
      </c>
      <c r="I530" s="11">
        <v>46070</v>
      </c>
      <c r="J530" s="11">
        <v>46066</v>
      </c>
      <c r="K530" s="8"/>
    </row>
    <row r="531" spans="1:11" ht="18" x14ac:dyDescent="0.4">
      <c r="A531" s="7" t="s">
        <v>475</v>
      </c>
      <c r="B531" s="16" t="s">
        <v>451</v>
      </c>
      <c r="C531" s="8">
        <v>30460</v>
      </c>
      <c r="D531" s="9">
        <v>552433468</v>
      </c>
      <c r="E531" s="57">
        <v>392</v>
      </c>
      <c r="F531" s="10" t="s">
        <v>502</v>
      </c>
      <c r="G531" s="9">
        <v>0</v>
      </c>
      <c r="H531" s="70">
        <f t="shared" si="7"/>
        <v>0</v>
      </c>
      <c r="I531" s="11">
        <v>46070</v>
      </c>
      <c r="J531" s="11">
        <v>46066</v>
      </c>
      <c r="K531" s="8"/>
    </row>
    <row r="532" spans="1:11" ht="18" x14ac:dyDescent="0.4">
      <c r="A532" s="7" t="s">
        <v>475</v>
      </c>
      <c r="B532" s="16" t="s">
        <v>451</v>
      </c>
      <c r="C532" s="8">
        <v>30460</v>
      </c>
      <c r="D532" s="9">
        <v>463503958</v>
      </c>
      <c r="E532" s="57">
        <v>392</v>
      </c>
      <c r="F532" s="10" t="s">
        <v>503</v>
      </c>
      <c r="G532" s="9">
        <v>0</v>
      </c>
      <c r="H532" s="70">
        <f t="shared" si="7"/>
        <v>0</v>
      </c>
      <c r="I532" s="11">
        <v>46070</v>
      </c>
      <c r="J532" s="11">
        <v>46066</v>
      </c>
      <c r="K532" s="8"/>
    </row>
    <row r="533" spans="1:11" ht="18" x14ac:dyDescent="0.4">
      <c r="A533" s="7" t="s">
        <v>475</v>
      </c>
      <c r="B533" s="16" t="s">
        <v>451</v>
      </c>
      <c r="C533" s="8">
        <v>30460</v>
      </c>
      <c r="D533" s="9">
        <v>552486498</v>
      </c>
      <c r="E533" s="57">
        <v>392</v>
      </c>
      <c r="F533" s="10" t="s">
        <v>504</v>
      </c>
      <c r="G533" s="9">
        <v>0</v>
      </c>
      <c r="H533" s="70">
        <f t="shared" si="7"/>
        <v>0</v>
      </c>
      <c r="I533" s="11">
        <v>46070</v>
      </c>
      <c r="J533" s="11">
        <v>46066</v>
      </c>
      <c r="K533" s="8"/>
    </row>
    <row r="534" spans="1:11" ht="18" x14ac:dyDescent="0.4">
      <c r="A534" s="7" t="s">
        <v>475</v>
      </c>
      <c r="B534" s="16" t="s">
        <v>451</v>
      </c>
      <c r="C534" s="8">
        <v>30460</v>
      </c>
      <c r="D534" s="9">
        <v>468076307</v>
      </c>
      <c r="E534" s="57">
        <v>546</v>
      </c>
      <c r="F534" s="10" t="s">
        <v>505</v>
      </c>
      <c r="G534" s="9">
        <v>0</v>
      </c>
      <c r="H534" s="70">
        <f t="shared" si="7"/>
        <v>0</v>
      </c>
      <c r="I534" s="11">
        <v>46070</v>
      </c>
      <c r="J534" s="11">
        <v>46066</v>
      </c>
      <c r="K534" s="8"/>
    </row>
    <row r="535" spans="1:11" ht="18" x14ac:dyDescent="0.4">
      <c r="A535" s="7" t="s">
        <v>475</v>
      </c>
      <c r="B535" s="16" t="s">
        <v>451</v>
      </c>
      <c r="C535" s="8">
        <v>30460</v>
      </c>
      <c r="D535" s="9">
        <v>468084487</v>
      </c>
      <c r="E535" s="57">
        <v>546</v>
      </c>
      <c r="F535" s="10" t="s">
        <v>506</v>
      </c>
      <c r="G535" s="9">
        <v>0</v>
      </c>
      <c r="H535" s="70">
        <f t="shared" si="7"/>
        <v>0</v>
      </c>
      <c r="I535" s="11">
        <v>46070</v>
      </c>
      <c r="J535" s="11">
        <v>46066</v>
      </c>
      <c r="K535" s="8"/>
    </row>
    <row r="536" spans="1:11" ht="18" x14ac:dyDescent="0.4">
      <c r="A536" s="7" t="s">
        <v>475</v>
      </c>
      <c r="B536" s="16" t="s">
        <v>451</v>
      </c>
      <c r="C536" s="8">
        <v>30460</v>
      </c>
      <c r="D536" s="9">
        <v>552727098</v>
      </c>
      <c r="E536" s="57">
        <v>546</v>
      </c>
      <c r="F536" s="10" t="s">
        <v>507</v>
      </c>
      <c r="G536" s="9">
        <v>0</v>
      </c>
      <c r="H536" s="70">
        <f t="shared" si="7"/>
        <v>0</v>
      </c>
      <c r="I536" s="11">
        <v>46070</v>
      </c>
      <c r="J536" s="11">
        <v>46066</v>
      </c>
      <c r="K536" s="8"/>
    </row>
    <row r="537" spans="1:11" ht="18" x14ac:dyDescent="0.4">
      <c r="A537" s="7" t="s">
        <v>475</v>
      </c>
      <c r="B537" s="16" t="s">
        <v>451</v>
      </c>
      <c r="C537" s="8">
        <v>30460</v>
      </c>
      <c r="D537" s="9">
        <v>552792228</v>
      </c>
      <c r="E537" s="57">
        <v>546</v>
      </c>
      <c r="F537" s="10" t="s">
        <v>508</v>
      </c>
      <c r="G537" s="9">
        <v>0</v>
      </c>
      <c r="H537" s="70">
        <f t="shared" si="7"/>
        <v>0</v>
      </c>
      <c r="I537" s="11">
        <v>46070</v>
      </c>
      <c r="J537" s="11">
        <v>46066</v>
      </c>
      <c r="K537" s="8"/>
    </row>
    <row r="538" spans="1:11" ht="18" x14ac:dyDescent="0.4">
      <c r="A538" s="7" t="s">
        <v>475</v>
      </c>
      <c r="B538" s="16" t="s">
        <v>451</v>
      </c>
      <c r="C538" s="8">
        <v>30460</v>
      </c>
      <c r="D538" s="9">
        <v>59507209</v>
      </c>
      <c r="E538" s="57">
        <v>450</v>
      </c>
      <c r="F538" s="10" t="s">
        <v>509</v>
      </c>
      <c r="G538" s="9">
        <v>0</v>
      </c>
      <c r="H538" s="70">
        <f t="shared" si="7"/>
        <v>0</v>
      </c>
      <c r="I538" s="11">
        <v>46070</v>
      </c>
      <c r="J538" s="11">
        <v>46066</v>
      </c>
      <c r="K538" s="8"/>
    </row>
    <row r="539" spans="1:11" ht="18" x14ac:dyDescent="0.4">
      <c r="A539" s="7" t="s">
        <v>475</v>
      </c>
      <c r="B539" s="16" t="s">
        <v>451</v>
      </c>
      <c r="C539" s="8">
        <v>30460</v>
      </c>
      <c r="D539" s="9">
        <v>77894039</v>
      </c>
      <c r="E539" s="57">
        <v>2880</v>
      </c>
      <c r="F539" s="10" t="s">
        <v>510</v>
      </c>
      <c r="G539" s="9">
        <v>0</v>
      </c>
      <c r="H539" s="70">
        <f t="shared" si="7"/>
        <v>0</v>
      </c>
      <c r="I539" s="11">
        <v>46070</v>
      </c>
      <c r="J539" s="11">
        <v>46066</v>
      </c>
      <c r="K539" s="8"/>
    </row>
    <row r="540" spans="1:11" ht="18" x14ac:dyDescent="0.4">
      <c r="A540" s="7" t="s">
        <v>475</v>
      </c>
      <c r="B540" s="16" t="s">
        <v>451</v>
      </c>
      <c r="C540" s="8">
        <v>30460</v>
      </c>
      <c r="D540" s="9">
        <v>551955737</v>
      </c>
      <c r="E540" s="57">
        <v>700</v>
      </c>
      <c r="F540" s="10" t="s">
        <v>511</v>
      </c>
      <c r="G540" s="9">
        <v>0</v>
      </c>
      <c r="H540" s="70">
        <f t="shared" si="7"/>
        <v>0</v>
      </c>
      <c r="I540" s="11">
        <v>46070</v>
      </c>
      <c r="J540" s="11">
        <v>46066</v>
      </c>
      <c r="K540" s="8"/>
    </row>
    <row r="541" spans="1:11" ht="18" x14ac:dyDescent="0.4">
      <c r="A541" s="7" t="s">
        <v>475</v>
      </c>
      <c r="B541" s="16" t="s">
        <v>451</v>
      </c>
      <c r="C541" s="8">
        <v>30460</v>
      </c>
      <c r="D541" s="9">
        <v>551955748</v>
      </c>
      <c r="E541" s="57">
        <v>700</v>
      </c>
      <c r="F541" s="10" t="s">
        <v>512</v>
      </c>
      <c r="G541" s="9">
        <v>0</v>
      </c>
      <c r="H541" s="70">
        <f t="shared" si="7"/>
        <v>0</v>
      </c>
      <c r="I541" s="11">
        <v>46070</v>
      </c>
      <c r="J541" s="11">
        <v>46066</v>
      </c>
      <c r="K541" s="8"/>
    </row>
    <row r="542" spans="1:11" ht="18" x14ac:dyDescent="0.4">
      <c r="A542" s="7" t="s">
        <v>475</v>
      </c>
      <c r="B542" s="16" t="s">
        <v>451</v>
      </c>
      <c r="C542" s="8">
        <v>30460</v>
      </c>
      <c r="D542" s="9">
        <v>552792238</v>
      </c>
      <c r="E542" s="57">
        <v>700</v>
      </c>
      <c r="F542" s="10" t="s">
        <v>513</v>
      </c>
      <c r="G542" s="9">
        <v>0</v>
      </c>
      <c r="H542" s="70">
        <f t="shared" si="7"/>
        <v>0</v>
      </c>
      <c r="I542" s="11">
        <v>46070</v>
      </c>
      <c r="J542" s="11">
        <v>46066</v>
      </c>
      <c r="K542" s="8"/>
    </row>
    <row r="543" spans="1:11" ht="18" x14ac:dyDescent="0.4">
      <c r="A543" s="60" t="s">
        <v>475</v>
      </c>
      <c r="B543" s="81" t="s">
        <v>451</v>
      </c>
      <c r="C543" s="60">
        <v>30460</v>
      </c>
      <c r="D543" s="61">
        <v>463458098</v>
      </c>
      <c r="E543" s="57">
        <v>1650</v>
      </c>
      <c r="F543" s="10" t="s">
        <v>514</v>
      </c>
      <c r="G543" s="9">
        <v>0</v>
      </c>
      <c r="H543" s="70">
        <f t="shared" si="7"/>
        <v>0</v>
      </c>
      <c r="I543" s="11">
        <v>46070</v>
      </c>
      <c r="J543" s="11">
        <v>46066</v>
      </c>
      <c r="K543" s="8"/>
    </row>
    <row r="544" spans="1:11" ht="18" x14ac:dyDescent="0.4">
      <c r="A544" s="7" t="s">
        <v>475</v>
      </c>
      <c r="B544" s="7" t="s">
        <v>95</v>
      </c>
      <c r="C544" s="8">
        <v>45150</v>
      </c>
      <c r="D544" s="9">
        <v>77894011</v>
      </c>
      <c r="E544" s="57">
        <v>300</v>
      </c>
      <c r="F544" s="10" t="s">
        <v>515</v>
      </c>
      <c r="G544" s="9">
        <v>0</v>
      </c>
      <c r="H544" s="70">
        <f t="shared" ref="H544:H607" si="8">+G544/E544</f>
        <v>0</v>
      </c>
      <c r="I544" s="11">
        <v>46070</v>
      </c>
      <c r="J544" s="11">
        <v>46066</v>
      </c>
      <c r="K544" s="8"/>
    </row>
    <row r="545" spans="1:11" ht="18" x14ac:dyDescent="0.4">
      <c r="A545" s="7" t="s">
        <v>475</v>
      </c>
      <c r="B545" s="7" t="s">
        <v>95</v>
      </c>
      <c r="C545" s="8">
        <v>45150</v>
      </c>
      <c r="D545" s="9">
        <v>467721611</v>
      </c>
      <c r="E545" s="57">
        <v>240</v>
      </c>
      <c r="F545" s="10" t="s">
        <v>516</v>
      </c>
      <c r="G545" s="9">
        <v>0</v>
      </c>
      <c r="H545" s="70">
        <f t="shared" si="8"/>
        <v>0</v>
      </c>
      <c r="I545" s="11">
        <v>46070</v>
      </c>
      <c r="J545" s="11">
        <v>46066</v>
      </c>
      <c r="K545" s="8"/>
    </row>
    <row r="546" spans="1:11" ht="18" x14ac:dyDescent="0.4">
      <c r="A546" s="60" t="s">
        <v>475</v>
      </c>
      <c r="B546" s="60" t="s">
        <v>517</v>
      </c>
      <c r="C546" s="60">
        <v>46051</v>
      </c>
      <c r="D546" s="61">
        <v>463559961</v>
      </c>
      <c r="E546" s="57">
        <v>270</v>
      </c>
      <c r="F546" s="10" t="s">
        <v>518</v>
      </c>
      <c r="G546" s="9">
        <v>0</v>
      </c>
      <c r="H546" s="70">
        <f t="shared" si="8"/>
        <v>0</v>
      </c>
      <c r="I546" s="11">
        <v>46070</v>
      </c>
      <c r="J546" s="11">
        <v>46066</v>
      </c>
      <c r="K546" s="8"/>
    </row>
    <row r="547" spans="1:11" ht="18" x14ac:dyDescent="0.4">
      <c r="A547" s="7" t="s">
        <v>475</v>
      </c>
      <c r="B547" s="7" t="s">
        <v>517</v>
      </c>
      <c r="C547" s="8">
        <v>46051</v>
      </c>
      <c r="D547" s="9">
        <v>75821121</v>
      </c>
      <c r="E547" s="57">
        <v>270</v>
      </c>
      <c r="F547" s="10" t="s">
        <v>519</v>
      </c>
      <c r="G547" s="9">
        <v>0</v>
      </c>
      <c r="H547" s="70">
        <f t="shared" si="8"/>
        <v>0</v>
      </c>
      <c r="I547" s="11">
        <v>46070</v>
      </c>
      <c r="J547" s="11">
        <v>46066</v>
      </c>
      <c r="K547" s="8"/>
    </row>
    <row r="548" spans="1:11" ht="18" x14ac:dyDescent="0.4">
      <c r="A548" s="7" t="s">
        <v>475</v>
      </c>
      <c r="B548" s="7" t="s">
        <v>517</v>
      </c>
      <c r="C548" s="8">
        <v>46051</v>
      </c>
      <c r="D548" s="9">
        <v>463433241</v>
      </c>
      <c r="E548" s="57">
        <v>270</v>
      </c>
      <c r="F548" s="10" t="s">
        <v>520</v>
      </c>
      <c r="G548" s="9">
        <v>0</v>
      </c>
      <c r="H548" s="70">
        <f t="shared" si="8"/>
        <v>0</v>
      </c>
      <c r="I548" s="11">
        <v>46070</v>
      </c>
      <c r="J548" s="11">
        <v>46066</v>
      </c>
      <c r="K548" s="8"/>
    </row>
    <row r="549" spans="1:11" ht="18" x14ac:dyDescent="0.4">
      <c r="A549" s="7" t="s">
        <v>475</v>
      </c>
      <c r="B549" s="7" t="s">
        <v>517</v>
      </c>
      <c r="C549" s="8">
        <v>46051</v>
      </c>
      <c r="D549" s="9">
        <v>464420321</v>
      </c>
      <c r="E549" s="57">
        <v>270</v>
      </c>
      <c r="F549" s="10" t="s">
        <v>521</v>
      </c>
      <c r="G549" s="9">
        <v>0</v>
      </c>
      <c r="H549" s="70">
        <f t="shared" si="8"/>
        <v>0</v>
      </c>
      <c r="I549" s="11">
        <v>46070</v>
      </c>
      <c r="J549" s="11">
        <v>46066</v>
      </c>
      <c r="K549" s="8"/>
    </row>
    <row r="550" spans="1:11" ht="18" x14ac:dyDescent="0.4">
      <c r="A550" s="7" t="s">
        <v>475</v>
      </c>
      <c r="B550" s="7" t="s">
        <v>517</v>
      </c>
      <c r="C550" s="8">
        <v>46051</v>
      </c>
      <c r="D550" s="9">
        <v>465555151</v>
      </c>
      <c r="E550" s="57">
        <v>270</v>
      </c>
      <c r="F550" s="10" t="s">
        <v>522</v>
      </c>
      <c r="G550" s="9">
        <v>0</v>
      </c>
      <c r="H550" s="70">
        <f t="shared" si="8"/>
        <v>0</v>
      </c>
      <c r="I550" s="11">
        <v>46070</v>
      </c>
      <c r="J550" s="11">
        <v>46066</v>
      </c>
      <c r="K550" s="8"/>
    </row>
    <row r="551" spans="1:11" ht="18" x14ac:dyDescent="0.4">
      <c r="A551" s="7" t="s">
        <v>475</v>
      </c>
      <c r="B551" s="7" t="s">
        <v>517</v>
      </c>
      <c r="C551" s="8">
        <v>46051</v>
      </c>
      <c r="D551" s="9">
        <v>552694438</v>
      </c>
      <c r="E551" s="57">
        <v>270</v>
      </c>
      <c r="F551" s="10" t="s">
        <v>523</v>
      </c>
      <c r="G551" s="9">
        <v>0</v>
      </c>
      <c r="H551" s="70">
        <f t="shared" si="8"/>
        <v>0</v>
      </c>
      <c r="I551" s="11">
        <v>46070</v>
      </c>
      <c r="J551" s="11">
        <v>46066</v>
      </c>
      <c r="K551" s="8"/>
    </row>
    <row r="552" spans="1:11" ht="18" x14ac:dyDescent="0.4">
      <c r="A552" s="7" t="s">
        <v>475</v>
      </c>
      <c r="B552" s="7" t="s">
        <v>517</v>
      </c>
      <c r="C552" s="8">
        <v>46051</v>
      </c>
      <c r="D552" s="9">
        <v>464197038</v>
      </c>
      <c r="E552" s="57">
        <v>270</v>
      </c>
      <c r="F552" s="10" t="s">
        <v>524</v>
      </c>
      <c r="G552" s="9">
        <v>0</v>
      </c>
      <c r="H552" s="70">
        <f t="shared" si="8"/>
        <v>0</v>
      </c>
      <c r="I552" s="11">
        <v>46070</v>
      </c>
      <c r="J552" s="11">
        <v>46066</v>
      </c>
      <c r="K552" s="8"/>
    </row>
    <row r="553" spans="1:11" ht="18" x14ac:dyDescent="0.4">
      <c r="A553" s="7" t="s">
        <v>475</v>
      </c>
      <c r="B553" s="7" t="s">
        <v>517</v>
      </c>
      <c r="C553" s="8">
        <v>46051</v>
      </c>
      <c r="D553" s="9">
        <v>77603518</v>
      </c>
      <c r="E553" s="57">
        <v>270</v>
      </c>
      <c r="F553" s="10" t="s">
        <v>525</v>
      </c>
      <c r="G553" s="9">
        <v>0</v>
      </c>
      <c r="H553" s="70">
        <f t="shared" si="8"/>
        <v>0</v>
      </c>
      <c r="I553" s="11">
        <v>46070</v>
      </c>
      <c r="J553" s="11">
        <v>46066</v>
      </c>
      <c r="K553" s="8"/>
    </row>
    <row r="554" spans="1:11" ht="18" x14ac:dyDescent="0.4">
      <c r="A554" s="60" t="s">
        <v>475</v>
      </c>
      <c r="B554" s="60" t="s">
        <v>517</v>
      </c>
      <c r="C554" s="60">
        <v>46051</v>
      </c>
      <c r="D554" s="61">
        <v>463559978</v>
      </c>
      <c r="E554" s="57">
        <v>270</v>
      </c>
      <c r="F554" s="37" t="s">
        <v>526</v>
      </c>
      <c r="G554" s="9">
        <v>0</v>
      </c>
      <c r="H554" s="70">
        <f t="shared" si="8"/>
        <v>0</v>
      </c>
      <c r="I554" s="11">
        <v>46070</v>
      </c>
      <c r="J554" s="11">
        <v>46066</v>
      </c>
      <c r="K554" s="8"/>
    </row>
    <row r="555" spans="1:11" ht="18" x14ac:dyDescent="0.4">
      <c r="A555" s="7" t="s">
        <v>475</v>
      </c>
      <c r="B555" s="7" t="s">
        <v>517</v>
      </c>
      <c r="C555" s="8">
        <v>46051</v>
      </c>
      <c r="D555" s="9">
        <v>463433238</v>
      </c>
      <c r="E555" s="57">
        <v>270</v>
      </c>
      <c r="F555" s="37" t="s">
        <v>527</v>
      </c>
      <c r="G555" s="9">
        <v>0</v>
      </c>
      <c r="H555" s="70">
        <f t="shared" si="8"/>
        <v>0</v>
      </c>
      <c r="I555" s="11">
        <v>46070</v>
      </c>
      <c r="J555" s="11">
        <v>46066</v>
      </c>
      <c r="K555" s="8"/>
    </row>
    <row r="556" spans="1:11" ht="18" x14ac:dyDescent="0.4">
      <c r="A556" s="60" t="s">
        <v>475</v>
      </c>
      <c r="B556" s="60" t="s">
        <v>517</v>
      </c>
      <c r="C556" s="60">
        <v>46051</v>
      </c>
      <c r="D556" s="61">
        <v>463585598</v>
      </c>
      <c r="E556" s="57">
        <v>270</v>
      </c>
      <c r="F556" s="37" t="s">
        <v>527</v>
      </c>
      <c r="G556" s="9">
        <v>0</v>
      </c>
      <c r="H556" s="70">
        <f t="shared" si="8"/>
        <v>0</v>
      </c>
      <c r="I556" s="11">
        <v>46070</v>
      </c>
      <c r="J556" s="11">
        <v>46066</v>
      </c>
      <c r="K556" s="8"/>
    </row>
    <row r="557" spans="1:11" ht="18" x14ac:dyDescent="0.4">
      <c r="A557" s="7" t="s">
        <v>475</v>
      </c>
      <c r="B557" s="7" t="s">
        <v>517</v>
      </c>
      <c r="C557" s="8">
        <v>46051</v>
      </c>
      <c r="D557" s="9">
        <v>465555148</v>
      </c>
      <c r="E557" s="57">
        <v>270</v>
      </c>
      <c r="F557" s="37" t="s">
        <v>528</v>
      </c>
      <c r="G557" s="9">
        <v>0</v>
      </c>
      <c r="H557" s="70">
        <f t="shared" si="8"/>
        <v>0</v>
      </c>
      <c r="I557" s="11">
        <v>46070</v>
      </c>
      <c r="J557" s="11">
        <v>46066</v>
      </c>
      <c r="K557" s="8"/>
    </row>
    <row r="558" spans="1:11" ht="18" x14ac:dyDescent="0.4">
      <c r="A558" s="7" t="s">
        <v>475</v>
      </c>
      <c r="B558" s="7" t="s">
        <v>517</v>
      </c>
      <c r="C558" s="8">
        <v>46051</v>
      </c>
      <c r="D558" s="9">
        <v>463496858</v>
      </c>
      <c r="E558" s="57">
        <v>270</v>
      </c>
      <c r="F558" s="37" t="s">
        <v>529</v>
      </c>
      <c r="G558" s="9">
        <v>0</v>
      </c>
      <c r="H558" s="70">
        <f t="shared" si="8"/>
        <v>0</v>
      </c>
      <c r="I558" s="11">
        <v>46070</v>
      </c>
      <c r="J558" s="11">
        <v>46066</v>
      </c>
      <c r="K558" s="8"/>
    </row>
    <row r="559" spans="1:11" ht="18" x14ac:dyDescent="0.4">
      <c r="A559" s="7" t="s">
        <v>475</v>
      </c>
      <c r="B559" s="7" t="s">
        <v>517</v>
      </c>
      <c r="C559" s="8">
        <v>46051</v>
      </c>
      <c r="D559" s="9">
        <v>463535748</v>
      </c>
      <c r="E559" s="57">
        <v>270</v>
      </c>
      <c r="F559" s="37" t="s">
        <v>528</v>
      </c>
      <c r="G559" s="9">
        <v>0</v>
      </c>
      <c r="H559" s="70">
        <f t="shared" si="8"/>
        <v>0</v>
      </c>
      <c r="I559" s="11">
        <v>46070</v>
      </c>
      <c r="J559" s="11">
        <v>46066</v>
      </c>
      <c r="K559" s="8"/>
    </row>
    <row r="560" spans="1:11" ht="18" x14ac:dyDescent="0.4">
      <c r="A560" s="7" t="s">
        <v>475</v>
      </c>
      <c r="B560" s="7" t="s">
        <v>517</v>
      </c>
      <c r="C560" s="8">
        <v>46051</v>
      </c>
      <c r="D560" s="9">
        <v>552694428</v>
      </c>
      <c r="E560" s="57">
        <v>270</v>
      </c>
      <c r="F560" s="10" t="s">
        <v>530</v>
      </c>
      <c r="G560" s="9">
        <v>0</v>
      </c>
      <c r="H560" s="70">
        <f t="shared" si="8"/>
        <v>0</v>
      </c>
      <c r="I560" s="11">
        <v>46070</v>
      </c>
      <c r="J560" s="11">
        <v>46066</v>
      </c>
      <c r="K560" s="8"/>
    </row>
    <row r="561" spans="1:11" ht="18" x14ac:dyDescent="0.4">
      <c r="A561" s="7" t="s">
        <v>475</v>
      </c>
      <c r="B561" s="7" t="s">
        <v>517</v>
      </c>
      <c r="C561" s="8">
        <v>46051</v>
      </c>
      <c r="D561" s="9">
        <v>552571388</v>
      </c>
      <c r="E561" s="57">
        <v>270</v>
      </c>
      <c r="F561" s="37" t="s">
        <v>531</v>
      </c>
      <c r="G561" s="9">
        <v>0</v>
      </c>
      <c r="H561" s="70">
        <f t="shared" si="8"/>
        <v>0</v>
      </c>
      <c r="I561" s="11">
        <v>46070</v>
      </c>
      <c r="J561" s="11">
        <v>46066</v>
      </c>
      <c r="K561" s="8"/>
    </row>
    <row r="562" spans="1:11" ht="18" x14ac:dyDescent="0.4">
      <c r="A562" s="7" t="s">
        <v>475</v>
      </c>
      <c r="B562" s="7" t="s">
        <v>517</v>
      </c>
      <c r="C562" s="8">
        <v>46051</v>
      </c>
      <c r="D562" s="9">
        <v>552774808</v>
      </c>
      <c r="E562" s="57">
        <v>270</v>
      </c>
      <c r="F562" s="37" t="s">
        <v>532</v>
      </c>
      <c r="G562" s="9">
        <v>0</v>
      </c>
      <c r="H562" s="70">
        <f t="shared" si="8"/>
        <v>0</v>
      </c>
      <c r="I562" s="11">
        <v>46070</v>
      </c>
      <c r="J562" s="11">
        <v>46066</v>
      </c>
      <c r="K562" s="8"/>
    </row>
    <row r="563" spans="1:11" ht="18" x14ac:dyDescent="0.4">
      <c r="A563" s="7" t="s">
        <v>475</v>
      </c>
      <c r="B563" s="7" t="s">
        <v>517</v>
      </c>
      <c r="C563" s="8">
        <v>46051</v>
      </c>
      <c r="D563" s="9">
        <v>463496828</v>
      </c>
      <c r="E563" s="57">
        <v>270</v>
      </c>
      <c r="F563" s="37" t="s">
        <v>533</v>
      </c>
      <c r="G563" s="9">
        <v>0</v>
      </c>
      <c r="H563" s="70">
        <f t="shared" si="8"/>
        <v>0</v>
      </c>
      <c r="I563" s="11">
        <v>46070</v>
      </c>
      <c r="J563" s="11">
        <v>46066</v>
      </c>
      <c r="K563" s="8"/>
    </row>
    <row r="564" spans="1:11" ht="18" x14ac:dyDescent="0.4">
      <c r="A564" s="7" t="s">
        <v>475</v>
      </c>
      <c r="B564" s="7" t="s">
        <v>517</v>
      </c>
      <c r="C564" s="8">
        <v>46051</v>
      </c>
      <c r="D564" s="9">
        <v>552825828</v>
      </c>
      <c r="E564" s="57">
        <v>270</v>
      </c>
      <c r="F564" s="37" t="s">
        <v>534</v>
      </c>
      <c r="G564" s="9">
        <v>0</v>
      </c>
      <c r="H564" s="70">
        <f t="shared" si="8"/>
        <v>0</v>
      </c>
      <c r="I564" s="11">
        <v>46070</v>
      </c>
      <c r="J564" s="11">
        <v>46066</v>
      </c>
      <c r="K564" s="8"/>
    </row>
    <row r="565" spans="1:11" ht="18" x14ac:dyDescent="0.4">
      <c r="A565" s="7" t="s">
        <v>475</v>
      </c>
      <c r="B565" s="7" t="s">
        <v>517</v>
      </c>
      <c r="C565" s="8">
        <v>46051</v>
      </c>
      <c r="D565" s="9">
        <v>552835168</v>
      </c>
      <c r="E565" s="57">
        <v>270</v>
      </c>
      <c r="F565" s="37" t="s">
        <v>535</v>
      </c>
      <c r="G565" s="9">
        <v>0</v>
      </c>
      <c r="H565" s="70">
        <f t="shared" si="8"/>
        <v>0</v>
      </c>
      <c r="I565" s="11">
        <v>46070</v>
      </c>
      <c r="J565" s="11">
        <v>46066</v>
      </c>
      <c r="K565" s="8"/>
    </row>
    <row r="566" spans="1:11" ht="18" x14ac:dyDescent="0.4">
      <c r="A566" s="7" t="s">
        <v>475</v>
      </c>
      <c r="B566" s="7" t="s">
        <v>517</v>
      </c>
      <c r="C566" s="8">
        <v>46051</v>
      </c>
      <c r="D566" s="9">
        <v>551957818</v>
      </c>
      <c r="E566" s="57">
        <v>270</v>
      </c>
      <c r="F566" s="37" t="s">
        <v>536</v>
      </c>
      <c r="G566" s="9">
        <v>0</v>
      </c>
      <c r="H566" s="70">
        <f t="shared" si="8"/>
        <v>0</v>
      </c>
      <c r="I566" s="11">
        <v>46070</v>
      </c>
      <c r="J566" s="11">
        <v>46066</v>
      </c>
      <c r="K566" s="8"/>
    </row>
    <row r="567" spans="1:11" ht="18" x14ac:dyDescent="0.4">
      <c r="A567" s="7" t="s">
        <v>475</v>
      </c>
      <c r="B567" s="7" t="s">
        <v>517</v>
      </c>
      <c r="C567" s="8">
        <v>46051</v>
      </c>
      <c r="D567" s="9">
        <v>463496838</v>
      </c>
      <c r="E567" s="57">
        <v>270</v>
      </c>
      <c r="F567" s="37" t="s">
        <v>536</v>
      </c>
      <c r="G567" s="9">
        <v>0</v>
      </c>
      <c r="H567" s="70">
        <f t="shared" si="8"/>
        <v>0</v>
      </c>
      <c r="I567" s="11">
        <v>46070</v>
      </c>
      <c r="J567" s="11">
        <v>46066</v>
      </c>
      <c r="K567" s="8"/>
    </row>
    <row r="568" spans="1:11" ht="18" x14ac:dyDescent="0.4">
      <c r="A568" s="7" t="s">
        <v>475</v>
      </c>
      <c r="B568" s="7" t="s">
        <v>517</v>
      </c>
      <c r="C568" s="8">
        <v>46051</v>
      </c>
      <c r="D568" s="9">
        <v>552284868</v>
      </c>
      <c r="E568" s="57">
        <v>270</v>
      </c>
      <c r="F568" s="37" t="s">
        <v>537</v>
      </c>
      <c r="G568" s="9">
        <v>0</v>
      </c>
      <c r="H568" s="70">
        <f t="shared" si="8"/>
        <v>0</v>
      </c>
      <c r="I568" s="11">
        <v>46070</v>
      </c>
      <c r="J568" s="11">
        <v>46066</v>
      </c>
      <c r="K568" s="8"/>
    </row>
    <row r="569" spans="1:11" ht="18" x14ac:dyDescent="0.4">
      <c r="A569" s="7" t="s">
        <v>475</v>
      </c>
      <c r="B569" s="7" t="s">
        <v>517</v>
      </c>
      <c r="C569" s="8">
        <v>46051</v>
      </c>
      <c r="D569" s="9">
        <v>463496848</v>
      </c>
      <c r="E569" s="57">
        <v>270</v>
      </c>
      <c r="F569" s="37" t="s">
        <v>538</v>
      </c>
      <c r="G569" s="9">
        <v>0</v>
      </c>
      <c r="H569" s="70">
        <f t="shared" si="8"/>
        <v>0</v>
      </c>
      <c r="I569" s="11">
        <v>46070</v>
      </c>
      <c r="J569" s="11">
        <v>46066</v>
      </c>
      <c r="K569" s="8"/>
    </row>
    <row r="570" spans="1:11" ht="18" x14ac:dyDescent="0.4">
      <c r="A570" s="7" t="s">
        <v>475</v>
      </c>
      <c r="B570" s="7" t="s">
        <v>517</v>
      </c>
      <c r="C570" s="8">
        <v>46051</v>
      </c>
      <c r="D570" s="9">
        <v>552696328</v>
      </c>
      <c r="E570" s="57">
        <v>180</v>
      </c>
      <c r="F570" s="37" t="s">
        <v>539</v>
      </c>
      <c r="G570" s="9">
        <v>0</v>
      </c>
      <c r="H570" s="70">
        <f t="shared" si="8"/>
        <v>0</v>
      </c>
      <c r="I570" s="11">
        <v>46070</v>
      </c>
      <c r="J570" s="11">
        <v>46066</v>
      </c>
      <c r="K570" s="8"/>
    </row>
    <row r="571" spans="1:11" ht="18" x14ac:dyDescent="0.4">
      <c r="A571" s="7" t="s">
        <v>475</v>
      </c>
      <c r="B571" s="7" t="s">
        <v>517</v>
      </c>
      <c r="C571" s="8">
        <v>46051</v>
      </c>
      <c r="D571" s="9">
        <v>463496868</v>
      </c>
      <c r="E571" s="57">
        <v>180</v>
      </c>
      <c r="F571" s="38" t="s">
        <v>540</v>
      </c>
      <c r="G571" s="9">
        <v>0</v>
      </c>
      <c r="H571" s="70">
        <f t="shared" si="8"/>
        <v>0</v>
      </c>
      <c r="I571" s="11">
        <v>46070</v>
      </c>
      <c r="J571" s="11">
        <v>46066</v>
      </c>
      <c r="K571" s="8"/>
    </row>
    <row r="572" spans="1:11" ht="18" x14ac:dyDescent="0.4">
      <c r="A572" s="39" t="s">
        <v>475</v>
      </c>
      <c r="B572" s="39" t="s">
        <v>517</v>
      </c>
      <c r="C572" s="40">
        <v>46051</v>
      </c>
      <c r="D572" s="41">
        <v>552727078</v>
      </c>
      <c r="E572" s="66">
        <v>180</v>
      </c>
      <c r="F572" s="42" t="s">
        <v>541</v>
      </c>
      <c r="G572" s="9">
        <v>0</v>
      </c>
      <c r="H572" s="70">
        <f t="shared" si="8"/>
        <v>0</v>
      </c>
      <c r="I572" s="11">
        <v>46070</v>
      </c>
      <c r="J572" s="11">
        <v>46066</v>
      </c>
      <c r="K572" s="8"/>
    </row>
    <row r="573" spans="1:11" ht="33" customHeight="1" x14ac:dyDescent="0.4">
      <c r="A573" s="39" t="s">
        <v>475</v>
      </c>
      <c r="B573" s="39" t="s">
        <v>517</v>
      </c>
      <c r="C573" s="40">
        <v>46051</v>
      </c>
      <c r="D573" s="41">
        <v>552770948</v>
      </c>
      <c r="E573" s="66">
        <v>180</v>
      </c>
      <c r="F573" s="42" t="s">
        <v>542</v>
      </c>
      <c r="G573" s="9">
        <v>0</v>
      </c>
      <c r="H573" s="70">
        <f t="shared" si="8"/>
        <v>0</v>
      </c>
      <c r="I573" s="11">
        <v>46070</v>
      </c>
      <c r="J573" s="11">
        <v>46066</v>
      </c>
      <c r="K573" s="8"/>
    </row>
    <row r="574" spans="1:11" ht="18" x14ac:dyDescent="0.4">
      <c r="A574" s="7" t="s">
        <v>475</v>
      </c>
      <c r="B574" s="7" t="s">
        <v>517</v>
      </c>
      <c r="C574" s="8">
        <v>46051</v>
      </c>
      <c r="D574" s="9">
        <v>468084498</v>
      </c>
      <c r="E574" s="57">
        <v>180</v>
      </c>
      <c r="F574" s="37" t="s">
        <v>543</v>
      </c>
      <c r="G574" s="9">
        <v>0</v>
      </c>
      <c r="H574" s="70">
        <f t="shared" si="8"/>
        <v>0</v>
      </c>
      <c r="I574" s="11">
        <v>46070</v>
      </c>
      <c r="J574" s="11">
        <v>46066</v>
      </c>
      <c r="K574" s="8"/>
    </row>
    <row r="575" spans="1:11" ht="18" x14ac:dyDescent="0.4">
      <c r="A575" s="7" t="s">
        <v>475</v>
      </c>
      <c r="B575" s="7" t="s">
        <v>517</v>
      </c>
      <c r="C575" s="8">
        <v>46051</v>
      </c>
      <c r="D575" s="9">
        <v>463496808</v>
      </c>
      <c r="E575" s="57">
        <v>180</v>
      </c>
      <c r="F575" s="37" t="s">
        <v>543</v>
      </c>
      <c r="G575" s="9">
        <v>0</v>
      </c>
      <c r="H575" s="70">
        <f t="shared" si="8"/>
        <v>0</v>
      </c>
      <c r="I575" s="11">
        <v>46070</v>
      </c>
      <c r="J575" s="11">
        <v>46066</v>
      </c>
      <c r="K575" s="8"/>
    </row>
    <row r="576" spans="1:11" ht="18" x14ac:dyDescent="0.4">
      <c r="A576" s="7" t="s">
        <v>475</v>
      </c>
      <c r="B576" s="7" t="s">
        <v>517</v>
      </c>
      <c r="C576" s="8">
        <v>46051</v>
      </c>
      <c r="D576" s="9">
        <v>552792188</v>
      </c>
      <c r="E576" s="57">
        <v>180</v>
      </c>
      <c r="F576" s="37" t="s">
        <v>544</v>
      </c>
      <c r="G576" s="9">
        <v>0</v>
      </c>
      <c r="H576" s="70">
        <f t="shared" si="8"/>
        <v>0</v>
      </c>
      <c r="I576" s="11">
        <v>46070</v>
      </c>
      <c r="J576" s="11">
        <v>46066</v>
      </c>
      <c r="K576" s="8"/>
    </row>
    <row r="577" spans="1:14" ht="18" x14ac:dyDescent="0.4">
      <c r="A577" s="7" t="s">
        <v>475</v>
      </c>
      <c r="B577" s="7" t="s">
        <v>517</v>
      </c>
      <c r="C577" s="8">
        <v>46051</v>
      </c>
      <c r="D577" s="9">
        <v>463504548</v>
      </c>
      <c r="E577" s="57">
        <v>180</v>
      </c>
      <c r="F577" s="37" t="s">
        <v>545</v>
      </c>
      <c r="G577" s="9">
        <v>0</v>
      </c>
      <c r="H577" s="70">
        <f t="shared" si="8"/>
        <v>0</v>
      </c>
      <c r="I577" s="11">
        <v>46070</v>
      </c>
      <c r="J577" s="11">
        <v>46066</v>
      </c>
      <c r="K577" s="8"/>
    </row>
    <row r="578" spans="1:14" ht="18" x14ac:dyDescent="0.4">
      <c r="A578" s="7" t="s">
        <v>475</v>
      </c>
      <c r="B578" s="7" t="s">
        <v>517</v>
      </c>
      <c r="C578" s="8">
        <v>46051</v>
      </c>
      <c r="D578" s="9">
        <v>468085168</v>
      </c>
      <c r="E578" s="57">
        <v>180</v>
      </c>
      <c r="F578" s="37" t="s">
        <v>546</v>
      </c>
      <c r="G578" s="9">
        <v>0</v>
      </c>
      <c r="H578" s="70">
        <f t="shared" si="8"/>
        <v>0</v>
      </c>
      <c r="I578" s="11">
        <v>46070</v>
      </c>
      <c r="J578" s="11">
        <v>46066</v>
      </c>
      <c r="K578" s="8"/>
    </row>
    <row r="579" spans="1:14" ht="18" x14ac:dyDescent="0.4">
      <c r="A579" s="7" t="s">
        <v>475</v>
      </c>
      <c r="B579" s="7" t="s">
        <v>517</v>
      </c>
      <c r="C579" s="8">
        <v>46051</v>
      </c>
      <c r="D579" s="9">
        <v>468085188</v>
      </c>
      <c r="E579" s="57">
        <v>180</v>
      </c>
      <c r="F579" s="37" t="s">
        <v>547</v>
      </c>
      <c r="G579" s="9">
        <v>0</v>
      </c>
      <c r="H579" s="70">
        <f t="shared" si="8"/>
        <v>0</v>
      </c>
      <c r="I579" s="11">
        <v>46070</v>
      </c>
      <c r="J579" s="11">
        <v>46066</v>
      </c>
      <c r="K579" s="8"/>
    </row>
    <row r="580" spans="1:14" ht="18" x14ac:dyDescent="0.4">
      <c r="A580" s="7" t="s">
        <v>475</v>
      </c>
      <c r="B580" s="7" t="s">
        <v>517</v>
      </c>
      <c r="C580" s="8">
        <v>46051</v>
      </c>
      <c r="D580" s="9">
        <v>552049748</v>
      </c>
      <c r="E580" s="57">
        <v>180</v>
      </c>
      <c r="F580" s="37" t="s">
        <v>545</v>
      </c>
      <c r="G580" s="9">
        <v>0</v>
      </c>
      <c r="H580" s="70">
        <f t="shared" si="8"/>
        <v>0</v>
      </c>
      <c r="I580" s="11">
        <v>46070</v>
      </c>
      <c r="J580" s="11">
        <v>46066</v>
      </c>
      <c r="K580" s="8"/>
    </row>
    <row r="581" spans="1:14" ht="18" x14ac:dyDescent="0.4">
      <c r="A581" s="7" t="s">
        <v>475</v>
      </c>
      <c r="B581" s="7" t="s">
        <v>517</v>
      </c>
      <c r="C581" s="8">
        <v>46051</v>
      </c>
      <c r="D581" s="9">
        <v>552486488</v>
      </c>
      <c r="E581" s="57">
        <v>180</v>
      </c>
      <c r="F581" s="37" t="s">
        <v>548</v>
      </c>
      <c r="G581" s="9">
        <v>0</v>
      </c>
      <c r="H581" s="70">
        <f t="shared" si="8"/>
        <v>0</v>
      </c>
      <c r="I581" s="11">
        <v>46070</v>
      </c>
      <c r="J581" s="11">
        <v>46066</v>
      </c>
      <c r="K581" s="8"/>
    </row>
    <row r="582" spans="1:14" ht="18" x14ac:dyDescent="0.4">
      <c r="A582" s="7" t="s">
        <v>475</v>
      </c>
      <c r="B582" s="7" t="s">
        <v>517</v>
      </c>
      <c r="C582" s="8">
        <v>46051</v>
      </c>
      <c r="D582" s="9">
        <v>463508568</v>
      </c>
      <c r="E582" s="57">
        <v>180</v>
      </c>
      <c r="F582" s="37" t="s">
        <v>549</v>
      </c>
      <c r="G582" s="9">
        <v>0</v>
      </c>
      <c r="H582" s="70">
        <f t="shared" si="8"/>
        <v>0</v>
      </c>
      <c r="I582" s="11">
        <v>46070</v>
      </c>
      <c r="J582" s="11">
        <v>46066</v>
      </c>
      <c r="K582" s="8"/>
      <c r="N582" s="26"/>
    </row>
    <row r="583" spans="1:14" ht="18" x14ac:dyDescent="0.4">
      <c r="A583" s="7" t="s">
        <v>475</v>
      </c>
      <c r="B583" s="7" t="s">
        <v>517</v>
      </c>
      <c r="C583" s="8">
        <v>46051</v>
      </c>
      <c r="D583" s="9">
        <v>463503948</v>
      </c>
      <c r="E583" s="57">
        <v>180</v>
      </c>
      <c r="F583" s="37" t="s">
        <v>550</v>
      </c>
      <c r="G583" s="9">
        <v>0</v>
      </c>
      <c r="H583" s="70">
        <f t="shared" si="8"/>
        <v>0</v>
      </c>
      <c r="I583" s="11">
        <v>46070</v>
      </c>
      <c r="J583" s="11">
        <v>46066</v>
      </c>
      <c r="K583" s="8"/>
    </row>
    <row r="584" spans="1:14" ht="18" x14ac:dyDescent="0.4">
      <c r="A584" s="7" t="s">
        <v>475</v>
      </c>
      <c r="B584" s="7" t="s">
        <v>517</v>
      </c>
      <c r="C584" s="8">
        <v>46051</v>
      </c>
      <c r="D584" s="9">
        <v>463496798</v>
      </c>
      <c r="E584" s="57">
        <v>180</v>
      </c>
      <c r="F584" s="37" t="s">
        <v>551</v>
      </c>
      <c r="G584" s="9">
        <v>0</v>
      </c>
      <c r="H584" s="70">
        <f t="shared" si="8"/>
        <v>0</v>
      </c>
      <c r="I584" s="11">
        <v>46070</v>
      </c>
      <c r="J584" s="11">
        <v>46066</v>
      </c>
      <c r="K584" s="8"/>
    </row>
    <row r="585" spans="1:14" ht="18" x14ac:dyDescent="0.4">
      <c r="A585" s="7" t="s">
        <v>475</v>
      </c>
      <c r="B585" s="7" t="s">
        <v>517</v>
      </c>
      <c r="C585" s="8">
        <v>46051</v>
      </c>
      <c r="D585" s="9">
        <v>552696318</v>
      </c>
      <c r="E585" s="57">
        <v>180</v>
      </c>
      <c r="F585" s="37" t="s">
        <v>551</v>
      </c>
      <c r="G585" s="9">
        <v>0</v>
      </c>
      <c r="H585" s="70">
        <f t="shared" si="8"/>
        <v>0</v>
      </c>
      <c r="I585" s="11">
        <v>46070</v>
      </c>
      <c r="J585" s="11">
        <v>46066</v>
      </c>
      <c r="K585" s="8"/>
    </row>
    <row r="586" spans="1:14" ht="18" x14ac:dyDescent="0.4">
      <c r="A586" s="92" t="s">
        <v>475</v>
      </c>
      <c r="B586" s="22" t="s">
        <v>552</v>
      </c>
      <c r="C586" s="23">
        <v>19414</v>
      </c>
      <c r="D586" s="24">
        <v>76779780</v>
      </c>
      <c r="E586" s="67">
        <v>300</v>
      </c>
      <c r="F586" s="25" t="s">
        <v>553</v>
      </c>
      <c r="G586" s="99">
        <v>0</v>
      </c>
      <c r="H586" s="70">
        <f t="shared" si="8"/>
        <v>0</v>
      </c>
      <c r="I586" s="11">
        <v>46070</v>
      </c>
      <c r="J586" s="11">
        <v>46066</v>
      </c>
      <c r="K586" s="13"/>
    </row>
    <row r="587" spans="1:14" ht="18" x14ac:dyDescent="0.4">
      <c r="A587" s="93" t="s">
        <v>475</v>
      </c>
      <c r="B587" s="16" t="s">
        <v>552</v>
      </c>
      <c r="C587" s="8">
        <v>19414</v>
      </c>
      <c r="D587" s="9">
        <v>135549210</v>
      </c>
      <c r="E587" s="57">
        <v>250</v>
      </c>
      <c r="F587" s="10" t="s">
        <v>554</v>
      </c>
      <c r="G587" s="94">
        <v>0</v>
      </c>
      <c r="H587" s="70">
        <f t="shared" si="8"/>
        <v>0</v>
      </c>
      <c r="I587" s="11">
        <v>46070</v>
      </c>
      <c r="J587" s="11">
        <v>46066</v>
      </c>
      <c r="K587" s="13"/>
    </row>
    <row r="588" spans="1:14" ht="18" x14ac:dyDescent="0.4">
      <c r="A588" s="93" t="s">
        <v>475</v>
      </c>
      <c r="B588" s="16" t="s">
        <v>552</v>
      </c>
      <c r="C588" s="8">
        <v>19414</v>
      </c>
      <c r="D588" s="9">
        <v>149359240</v>
      </c>
      <c r="E588" s="57">
        <v>1000</v>
      </c>
      <c r="F588" s="10" t="s">
        <v>555</v>
      </c>
      <c r="G588" s="94">
        <v>0</v>
      </c>
      <c r="H588" s="70">
        <f t="shared" si="8"/>
        <v>0</v>
      </c>
      <c r="I588" s="11">
        <v>46070</v>
      </c>
      <c r="J588" s="11">
        <v>46066</v>
      </c>
      <c r="K588" s="13"/>
    </row>
    <row r="589" spans="1:14" ht="18" x14ac:dyDescent="0.4">
      <c r="A589" s="93" t="s">
        <v>475</v>
      </c>
      <c r="B589" s="16" t="s">
        <v>552</v>
      </c>
      <c r="C589" s="8">
        <v>19414</v>
      </c>
      <c r="D589" s="9">
        <v>162876210</v>
      </c>
      <c r="E589" s="57">
        <v>500</v>
      </c>
      <c r="F589" s="10" t="s">
        <v>556</v>
      </c>
      <c r="G589" s="94">
        <v>0</v>
      </c>
      <c r="H589" s="70">
        <f t="shared" si="8"/>
        <v>0</v>
      </c>
      <c r="I589" s="11">
        <v>46070</v>
      </c>
      <c r="J589" s="11">
        <v>46066</v>
      </c>
      <c r="K589" s="13"/>
    </row>
    <row r="590" spans="1:14" ht="18" x14ac:dyDescent="0.4">
      <c r="A590" s="93" t="s">
        <v>475</v>
      </c>
      <c r="B590" s="16" t="s">
        <v>552</v>
      </c>
      <c r="C590" s="8">
        <v>19414</v>
      </c>
      <c r="D590" s="9">
        <v>162885240</v>
      </c>
      <c r="E590" s="57">
        <v>300</v>
      </c>
      <c r="F590" s="10" t="s">
        <v>557</v>
      </c>
      <c r="G590" s="94">
        <v>0</v>
      </c>
      <c r="H590" s="70">
        <f t="shared" si="8"/>
        <v>0</v>
      </c>
      <c r="I590" s="11">
        <v>46070</v>
      </c>
      <c r="J590" s="11">
        <v>46066</v>
      </c>
      <c r="K590" s="13"/>
    </row>
    <row r="591" spans="1:14" ht="18" x14ac:dyDescent="0.4">
      <c r="A591" s="93" t="s">
        <v>475</v>
      </c>
      <c r="B591" s="16" t="s">
        <v>552</v>
      </c>
      <c r="C591" s="8">
        <v>19414</v>
      </c>
      <c r="D591" s="9">
        <v>187519210</v>
      </c>
      <c r="E591" s="57">
        <v>400</v>
      </c>
      <c r="F591" s="10" t="s">
        <v>558</v>
      </c>
      <c r="G591" s="94">
        <v>0</v>
      </c>
      <c r="H591" s="70">
        <f t="shared" si="8"/>
        <v>0</v>
      </c>
      <c r="I591" s="11">
        <v>46070</v>
      </c>
      <c r="J591" s="11">
        <v>46066</v>
      </c>
      <c r="K591" s="13"/>
    </row>
    <row r="592" spans="1:14" ht="18" x14ac:dyDescent="0.4">
      <c r="A592" s="93" t="s">
        <v>475</v>
      </c>
      <c r="B592" s="16" t="s">
        <v>552</v>
      </c>
      <c r="C592" s="8">
        <v>19414</v>
      </c>
      <c r="D592" s="9">
        <v>187525210</v>
      </c>
      <c r="E592" s="57">
        <v>500</v>
      </c>
      <c r="F592" s="10" t="s">
        <v>559</v>
      </c>
      <c r="G592" s="94">
        <v>0</v>
      </c>
      <c r="H592" s="70">
        <f t="shared" si="8"/>
        <v>0</v>
      </c>
      <c r="I592" s="11">
        <v>46070</v>
      </c>
      <c r="J592" s="11">
        <v>46066</v>
      </c>
      <c r="K592" s="13"/>
    </row>
    <row r="593" spans="1:11" ht="18" x14ac:dyDescent="0.4">
      <c r="A593" s="93" t="s">
        <v>475</v>
      </c>
      <c r="B593" s="16" t="s">
        <v>552</v>
      </c>
      <c r="C593" s="8">
        <v>19414</v>
      </c>
      <c r="D593" s="9">
        <v>187527210</v>
      </c>
      <c r="E593" s="57">
        <v>500</v>
      </c>
      <c r="F593" s="10" t="s">
        <v>560</v>
      </c>
      <c r="G593" s="94">
        <v>0</v>
      </c>
      <c r="H593" s="70">
        <f t="shared" si="8"/>
        <v>0</v>
      </c>
      <c r="I593" s="11">
        <v>46070</v>
      </c>
      <c r="J593" s="11">
        <v>46066</v>
      </c>
      <c r="K593" s="13"/>
    </row>
    <row r="594" spans="1:11" ht="18" x14ac:dyDescent="0.4">
      <c r="A594" s="93" t="s">
        <v>475</v>
      </c>
      <c r="B594" s="16" t="s">
        <v>552</v>
      </c>
      <c r="C594" s="8">
        <v>19414</v>
      </c>
      <c r="D594" s="9">
        <v>187530210</v>
      </c>
      <c r="E594" s="57">
        <v>500</v>
      </c>
      <c r="F594" s="10" t="s">
        <v>561</v>
      </c>
      <c r="G594" s="94">
        <v>0</v>
      </c>
      <c r="H594" s="70">
        <f t="shared" si="8"/>
        <v>0</v>
      </c>
      <c r="I594" s="11">
        <v>46070</v>
      </c>
      <c r="J594" s="11">
        <v>46066</v>
      </c>
      <c r="K594" s="13"/>
    </row>
    <row r="595" spans="1:11" ht="18" x14ac:dyDescent="0.4">
      <c r="A595" s="93" t="s">
        <v>475</v>
      </c>
      <c r="B595" s="16" t="s">
        <v>552</v>
      </c>
      <c r="C595" s="8">
        <v>19414</v>
      </c>
      <c r="D595" s="9">
        <v>464555000</v>
      </c>
      <c r="E595" s="57">
        <v>250</v>
      </c>
      <c r="F595" s="10" t="s">
        <v>562</v>
      </c>
      <c r="G595" s="94">
        <v>0</v>
      </c>
      <c r="H595" s="70">
        <f t="shared" si="8"/>
        <v>0</v>
      </c>
      <c r="I595" s="11">
        <v>46070</v>
      </c>
      <c r="J595" s="11">
        <v>46066</v>
      </c>
      <c r="K595" s="13"/>
    </row>
    <row r="596" spans="1:11" ht="18" x14ac:dyDescent="0.4">
      <c r="A596" s="93" t="s">
        <v>475</v>
      </c>
      <c r="B596" s="16" t="s">
        <v>552</v>
      </c>
      <c r="C596" s="8">
        <v>19414</v>
      </c>
      <c r="D596" s="9">
        <v>43913530</v>
      </c>
      <c r="E596" s="57">
        <v>400</v>
      </c>
      <c r="F596" s="10" t="s">
        <v>563</v>
      </c>
      <c r="G596" s="94">
        <v>0</v>
      </c>
      <c r="H596" s="70">
        <f t="shared" si="8"/>
        <v>0</v>
      </c>
      <c r="I596" s="11">
        <v>46070</v>
      </c>
      <c r="J596" s="11">
        <v>46066</v>
      </c>
      <c r="K596" s="13"/>
    </row>
    <row r="597" spans="1:11" ht="18" x14ac:dyDescent="0.4">
      <c r="A597" s="93" t="s">
        <v>475</v>
      </c>
      <c r="B597" s="16" t="s">
        <v>552</v>
      </c>
      <c r="C597" s="8">
        <v>19414</v>
      </c>
      <c r="D597" s="9">
        <v>75754720</v>
      </c>
      <c r="E597" s="57">
        <v>1500</v>
      </c>
      <c r="F597" s="10" t="s">
        <v>564</v>
      </c>
      <c r="G597" s="94">
        <v>0</v>
      </c>
      <c r="H597" s="70">
        <f t="shared" si="8"/>
        <v>0</v>
      </c>
      <c r="I597" s="11">
        <v>46070</v>
      </c>
      <c r="J597" s="11">
        <v>46066</v>
      </c>
      <c r="K597" s="13"/>
    </row>
    <row r="598" spans="1:11" ht="18" x14ac:dyDescent="0.4">
      <c r="A598" s="93" t="s">
        <v>475</v>
      </c>
      <c r="B598" s="16" t="s">
        <v>552</v>
      </c>
      <c r="C598" s="8">
        <v>19414</v>
      </c>
      <c r="D598" s="9">
        <v>76648820</v>
      </c>
      <c r="E598" s="57">
        <v>300</v>
      </c>
      <c r="F598" s="10" t="s">
        <v>565</v>
      </c>
      <c r="G598" s="94">
        <v>0</v>
      </c>
      <c r="H598" s="70">
        <f t="shared" si="8"/>
        <v>0</v>
      </c>
      <c r="I598" s="11">
        <v>46070</v>
      </c>
      <c r="J598" s="11">
        <v>46066</v>
      </c>
      <c r="K598" s="13"/>
    </row>
    <row r="599" spans="1:11" ht="18" x14ac:dyDescent="0.4">
      <c r="A599" s="93" t="s">
        <v>475</v>
      </c>
      <c r="B599" s="16" t="s">
        <v>552</v>
      </c>
      <c r="C599" s="8">
        <v>19414</v>
      </c>
      <c r="D599" s="9">
        <v>162970240</v>
      </c>
      <c r="E599" s="57">
        <v>1200</v>
      </c>
      <c r="F599" s="10" t="s">
        <v>196</v>
      </c>
      <c r="G599" s="94">
        <v>0</v>
      </c>
      <c r="H599" s="70">
        <f t="shared" si="8"/>
        <v>0</v>
      </c>
      <c r="I599" s="11">
        <v>46070</v>
      </c>
      <c r="J599" s="11">
        <v>46066</v>
      </c>
      <c r="K599" s="13"/>
    </row>
    <row r="600" spans="1:11" ht="18" x14ac:dyDescent="0.4">
      <c r="A600" s="93" t="s">
        <v>475</v>
      </c>
      <c r="B600" s="7" t="s">
        <v>552</v>
      </c>
      <c r="C600" s="8">
        <v>19414</v>
      </c>
      <c r="D600" s="9">
        <v>552599580</v>
      </c>
      <c r="E600" s="57">
        <v>800</v>
      </c>
      <c r="F600" s="18" t="s">
        <v>566</v>
      </c>
      <c r="G600" s="94">
        <v>0</v>
      </c>
      <c r="H600" s="70">
        <f t="shared" si="8"/>
        <v>0</v>
      </c>
      <c r="I600" s="11">
        <v>46070</v>
      </c>
      <c r="J600" s="11">
        <v>46066</v>
      </c>
      <c r="K600" s="13"/>
    </row>
    <row r="601" spans="1:11" ht="18" x14ac:dyDescent="0.4">
      <c r="A601" s="93" t="s">
        <v>475</v>
      </c>
      <c r="B601" s="7" t="s">
        <v>552</v>
      </c>
      <c r="C601" s="8">
        <v>19414</v>
      </c>
      <c r="D601" s="9">
        <v>552599570</v>
      </c>
      <c r="E601" s="57">
        <v>1400</v>
      </c>
      <c r="F601" s="18" t="s">
        <v>566</v>
      </c>
      <c r="G601" s="94">
        <v>0</v>
      </c>
      <c r="H601" s="70">
        <f t="shared" si="8"/>
        <v>0</v>
      </c>
      <c r="I601" s="11">
        <v>46070</v>
      </c>
      <c r="J601" s="11">
        <v>46066</v>
      </c>
      <c r="K601" s="13"/>
    </row>
    <row r="602" spans="1:11" ht="18" x14ac:dyDescent="0.4">
      <c r="A602" s="93" t="s">
        <v>475</v>
      </c>
      <c r="B602" s="7" t="s">
        <v>567</v>
      </c>
      <c r="C602" s="8">
        <v>19271</v>
      </c>
      <c r="D602" s="9">
        <v>75810590</v>
      </c>
      <c r="E602" s="57">
        <v>900</v>
      </c>
      <c r="F602" s="18" t="s">
        <v>568</v>
      </c>
      <c r="G602" s="94">
        <v>0</v>
      </c>
      <c r="H602" s="70">
        <f t="shared" si="8"/>
        <v>0</v>
      </c>
      <c r="I602" s="11">
        <v>46070</v>
      </c>
      <c r="J602" s="11">
        <v>46066</v>
      </c>
      <c r="K602" s="13"/>
    </row>
    <row r="603" spans="1:11" ht="18" x14ac:dyDescent="0.4">
      <c r="A603" s="93" t="s">
        <v>475</v>
      </c>
      <c r="B603" s="7" t="s">
        <v>567</v>
      </c>
      <c r="C603" s="8">
        <v>19271</v>
      </c>
      <c r="D603" s="9">
        <v>465162750</v>
      </c>
      <c r="E603" s="57">
        <v>1620</v>
      </c>
      <c r="F603" s="18" t="s">
        <v>569</v>
      </c>
      <c r="G603" s="94">
        <v>1620</v>
      </c>
      <c r="H603" s="70">
        <f t="shared" si="8"/>
        <v>1</v>
      </c>
      <c r="I603" s="11">
        <v>46070</v>
      </c>
      <c r="J603" s="11">
        <v>46066</v>
      </c>
      <c r="K603" s="106" t="s">
        <v>733</v>
      </c>
    </row>
    <row r="604" spans="1:11" ht="18" x14ac:dyDescent="0.4">
      <c r="A604" s="93" t="s">
        <v>475</v>
      </c>
      <c r="B604" s="7" t="s">
        <v>567</v>
      </c>
      <c r="C604" s="8">
        <v>19271</v>
      </c>
      <c r="D604" s="9">
        <v>468147230</v>
      </c>
      <c r="E604" s="57">
        <v>1600</v>
      </c>
      <c r="F604" s="18" t="s">
        <v>570</v>
      </c>
      <c r="G604" s="94">
        <v>4800</v>
      </c>
      <c r="H604" s="70">
        <f t="shared" si="8"/>
        <v>3</v>
      </c>
      <c r="I604" s="11">
        <v>46070</v>
      </c>
      <c r="J604" s="11">
        <v>46066</v>
      </c>
      <c r="K604" s="106" t="s">
        <v>733</v>
      </c>
    </row>
    <row r="605" spans="1:11" ht="18" x14ac:dyDescent="0.4">
      <c r="A605" s="93" t="s">
        <v>475</v>
      </c>
      <c r="B605" s="7" t="s">
        <v>567</v>
      </c>
      <c r="C605" s="8">
        <v>19271</v>
      </c>
      <c r="D605" s="9">
        <v>552547090</v>
      </c>
      <c r="E605" s="57">
        <v>270</v>
      </c>
      <c r="F605" s="18" t="s">
        <v>571</v>
      </c>
      <c r="G605" s="94">
        <v>0</v>
      </c>
      <c r="H605" s="70">
        <f t="shared" si="8"/>
        <v>0</v>
      </c>
      <c r="I605" s="11">
        <v>46070</v>
      </c>
      <c r="J605" s="11">
        <v>46066</v>
      </c>
      <c r="K605" s="107"/>
    </row>
    <row r="606" spans="1:11" ht="18" x14ac:dyDescent="0.4">
      <c r="A606" s="93" t="s">
        <v>475</v>
      </c>
      <c r="B606" s="7" t="s">
        <v>567</v>
      </c>
      <c r="C606" s="8">
        <v>19271</v>
      </c>
      <c r="D606" s="9">
        <v>552551360</v>
      </c>
      <c r="E606" s="57">
        <v>360</v>
      </c>
      <c r="F606" s="18" t="s">
        <v>572</v>
      </c>
      <c r="G606" s="94">
        <v>0</v>
      </c>
      <c r="H606" s="70">
        <f t="shared" si="8"/>
        <v>0</v>
      </c>
      <c r="I606" s="11">
        <v>46070</v>
      </c>
      <c r="J606" s="11">
        <v>46066</v>
      </c>
      <c r="K606" s="107"/>
    </row>
    <row r="607" spans="1:11" ht="18" x14ac:dyDescent="0.4">
      <c r="A607" s="93" t="s">
        <v>475</v>
      </c>
      <c r="B607" s="7" t="s">
        <v>567</v>
      </c>
      <c r="C607" s="8">
        <v>19271</v>
      </c>
      <c r="D607" s="9">
        <v>735017020</v>
      </c>
      <c r="E607" s="57">
        <v>1440</v>
      </c>
      <c r="F607" s="18" t="s">
        <v>573</v>
      </c>
      <c r="G607" s="94">
        <v>5760</v>
      </c>
      <c r="H607" s="70">
        <f t="shared" si="8"/>
        <v>4</v>
      </c>
      <c r="I607" s="11">
        <v>46070</v>
      </c>
      <c r="J607" s="11">
        <v>46066</v>
      </c>
      <c r="K607" s="106" t="s">
        <v>733</v>
      </c>
    </row>
    <row r="608" spans="1:11" ht="18" x14ac:dyDescent="0.4">
      <c r="A608" s="93" t="s">
        <v>475</v>
      </c>
      <c r="B608" s="7" t="s">
        <v>567</v>
      </c>
      <c r="C608" s="8">
        <v>19271</v>
      </c>
      <c r="D608" s="9">
        <v>552054650</v>
      </c>
      <c r="E608" s="57">
        <v>1440</v>
      </c>
      <c r="F608" s="18" t="s">
        <v>574</v>
      </c>
      <c r="G608" s="94">
        <v>2880</v>
      </c>
      <c r="H608" s="70">
        <f t="shared" ref="H608:H671" si="9">+G608/E608</f>
        <v>2</v>
      </c>
      <c r="I608" s="11">
        <v>46070</v>
      </c>
      <c r="J608" s="11">
        <v>46066</v>
      </c>
      <c r="K608" s="106" t="s">
        <v>733</v>
      </c>
    </row>
    <row r="609" spans="1:11" ht="18" x14ac:dyDescent="0.4">
      <c r="A609" s="93" t="s">
        <v>475</v>
      </c>
      <c r="B609" s="16" t="s">
        <v>567</v>
      </c>
      <c r="C609" s="8">
        <v>19271</v>
      </c>
      <c r="D609" s="9">
        <v>463409620</v>
      </c>
      <c r="E609" s="57">
        <v>360</v>
      </c>
      <c r="F609" s="10" t="s">
        <v>572</v>
      </c>
      <c r="G609" s="94">
        <v>0</v>
      </c>
      <c r="H609" s="70">
        <f t="shared" si="9"/>
        <v>0</v>
      </c>
      <c r="I609" s="11">
        <v>46070</v>
      </c>
      <c r="J609" s="11">
        <v>46066</v>
      </c>
      <c r="K609" s="107"/>
    </row>
    <row r="610" spans="1:11" ht="18" x14ac:dyDescent="0.4">
      <c r="A610" s="93" t="s">
        <v>475</v>
      </c>
      <c r="B610" s="16" t="s">
        <v>567</v>
      </c>
      <c r="C610" s="8">
        <v>19271</v>
      </c>
      <c r="D610" s="9">
        <v>463409610</v>
      </c>
      <c r="E610" s="57">
        <v>360</v>
      </c>
      <c r="F610" s="10" t="s">
        <v>575</v>
      </c>
      <c r="G610" s="94">
        <v>5760</v>
      </c>
      <c r="H610" s="70">
        <f t="shared" si="9"/>
        <v>16</v>
      </c>
      <c r="I610" s="11">
        <v>46070</v>
      </c>
      <c r="J610" s="11">
        <v>46066</v>
      </c>
      <c r="K610" s="106" t="s">
        <v>733</v>
      </c>
    </row>
    <row r="611" spans="1:11" ht="18" x14ac:dyDescent="0.4">
      <c r="A611" s="93" t="s">
        <v>475</v>
      </c>
      <c r="B611" s="16" t="s">
        <v>576</v>
      </c>
      <c r="C611" s="8">
        <v>19807</v>
      </c>
      <c r="D611" s="9">
        <v>552594720</v>
      </c>
      <c r="E611" s="57">
        <v>900</v>
      </c>
      <c r="F611" s="10" t="s">
        <v>577</v>
      </c>
      <c r="G611" s="94">
        <v>0</v>
      </c>
      <c r="H611" s="70">
        <f t="shared" si="9"/>
        <v>0</v>
      </c>
      <c r="I611" s="11">
        <v>46070</v>
      </c>
      <c r="J611" s="11">
        <v>46066</v>
      </c>
      <c r="K611" s="13"/>
    </row>
    <row r="612" spans="1:11" ht="18" x14ac:dyDescent="0.4">
      <c r="A612" s="93" t="s">
        <v>475</v>
      </c>
      <c r="B612" s="16" t="s">
        <v>576</v>
      </c>
      <c r="C612" s="8">
        <v>19807</v>
      </c>
      <c r="D612" s="9">
        <v>463602340</v>
      </c>
      <c r="E612" s="57">
        <v>900</v>
      </c>
      <c r="F612" s="10" t="s">
        <v>578</v>
      </c>
      <c r="G612" s="94">
        <v>0</v>
      </c>
      <c r="H612" s="70">
        <f t="shared" si="9"/>
        <v>0</v>
      </c>
      <c r="I612" s="11">
        <v>46070</v>
      </c>
      <c r="J612" s="11">
        <v>46066</v>
      </c>
      <c r="K612" s="13"/>
    </row>
    <row r="613" spans="1:11" ht="18" x14ac:dyDescent="0.4">
      <c r="A613" s="93" t="s">
        <v>475</v>
      </c>
      <c r="B613" s="16" t="s">
        <v>576</v>
      </c>
      <c r="C613" s="8">
        <v>19807</v>
      </c>
      <c r="D613" s="9">
        <v>552594730</v>
      </c>
      <c r="E613" s="57">
        <v>900</v>
      </c>
      <c r="F613" s="10" t="s">
        <v>579</v>
      </c>
      <c r="G613" s="94">
        <v>0</v>
      </c>
      <c r="H613" s="70">
        <f t="shared" si="9"/>
        <v>0</v>
      </c>
      <c r="I613" s="11">
        <v>46070</v>
      </c>
      <c r="J613" s="11">
        <v>46066</v>
      </c>
      <c r="K613" s="13"/>
    </row>
    <row r="614" spans="1:11" ht="18" x14ac:dyDescent="0.4">
      <c r="A614" s="93" t="s">
        <v>475</v>
      </c>
      <c r="B614" s="16" t="s">
        <v>576</v>
      </c>
      <c r="C614" s="8">
        <v>19807</v>
      </c>
      <c r="D614" s="9">
        <v>463602350</v>
      </c>
      <c r="E614" s="57">
        <v>900</v>
      </c>
      <c r="F614" s="10" t="s">
        <v>580</v>
      </c>
      <c r="G614" s="94">
        <v>0</v>
      </c>
      <c r="H614" s="70">
        <f t="shared" si="9"/>
        <v>0</v>
      </c>
      <c r="I614" s="11">
        <v>46070</v>
      </c>
      <c r="J614" s="11">
        <v>46066</v>
      </c>
      <c r="K614" s="13"/>
    </row>
    <row r="615" spans="1:11" ht="18" x14ac:dyDescent="0.4">
      <c r="A615" s="93" t="s">
        <v>475</v>
      </c>
      <c r="B615" s="16" t="s">
        <v>372</v>
      </c>
      <c r="C615" s="8">
        <v>27951</v>
      </c>
      <c r="D615" s="9">
        <v>76779780</v>
      </c>
      <c r="E615" s="57">
        <v>300</v>
      </c>
      <c r="F615" s="10" t="s">
        <v>553</v>
      </c>
      <c r="G615" s="94">
        <v>0</v>
      </c>
      <c r="H615" s="70">
        <f t="shared" si="9"/>
        <v>0</v>
      </c>
      <c r="I615" s="11">
        <v>46070</v>
      </c>
      <c r="J615" s="11">
        <v>46066</v>
      </c>
      <c r="K615" s="13"/>
    </row>
    <row r="616" spans="1:11" ht="18" x14ac:dyDescent="0.4">
      <c r="A616" s="93" t="s">
        <v>475</v>
      </c>
      <c r="B616" s="16" t="s">
        <v>372</v>
      </c>
      <c r="C616" s="8">
        <v>27951</v>
      </c>
      <c r="D616" s="9">
        <v>187538210</v>
      </c>
      <c r="E616" s="57">
        <v>180</v>
      </c>
      <c r="F616" s="10" t="s">
        <v>581</v>
      </c>
      <c r="G616" s="94">
        <v>0</v>
      </c>
      <c r="H616" s="70">
        <f t="shared" si="9"/>
        <v>0</v>
      </c>
      <c r="I616" s="11">
        <v>46070</v>
      </c>
      <c r="J616" s="11">
        <v>46066</v>
      </c>
      <c r="K616" s="13"/>
    </row>
    <row r="617" spans="1:11" ht="18" x14ac:dyDescent="0.4">
      <c r="A617" s="93" t="s">
        <v>475</v>
      </c>
      <c r="B617" s="16" t="s">
        <v>372</v>
      </c>
      <c r="C617" s="8">
        <v>27951</v>
      </c>
      <c r="D617" s="9">
        <v>463436280</v>
      </c>
      <c r="E617" s="57">
        <v>600</v>
      </c>
      <c r="F617" s="10" t="s">
        <v>582</v>
      </c>
      <c r="G617" s="94">
        <v>0</v>
      </c>
      <c r="H617" s="70">
        <f t="shared" si="9"/>
        <v>0</v>
      </c>
      <c r="I617" s="11">
        <v>46070</v>
      </c>
      <c r="J617" s="11">
        <v>46066</v>
      </c>
      <c r="K617" s="13"/>
    </row>
    <row r="618" spans="1:11" ht="18" x14ac:dyDescent="0.4">
      <c r="A618" s="93" t="s">
        <v>475</v>
      </c>
      <c r="B618" s="16" t="s">
        <v>377</v>
      </c>
      <c r="C618" s="8">
        <v>36019</v>
      </c>
      <c r="D618" s="9">
        <v>160504340</v>
      </c>
      <c r="E618" s="57">
        <v>400</v>
      </c>
      <c r="F618" s="10" t="s">
        <v>583</v>
      </c>
      <c r="G618" s="94">
        <v>0</v>
      </c>
      <c r="H618" s="70">
        <f t="shared" si="9"/>
        <v>0</v>
      </c>
      <c r="I618" s="11">
        <v>46070</v>
      </c>
      <c r="J618" s="11">
        <v>46066</v>
      </c>
      <c r="K618" s="13"/>
    </row>
    <row r="619" spans="1:11" ht="18" x14ac:dyDescent="0.4">
      <c r="A619" s="93" t="s">
        <v>475</v>
      </c>
      <c r="B619" s="16" t="s">
        <v>377</v>
      </c>
      <c r="C619" s="8">
        <v>36019</v>
      </c>
      <c r="D619" s="9">
        <v>468130270</v>
      </c>
      <c r="E619" s="57">
        <v>1200</v>
      </c>
      <c r="F619" s="10" t="s">
        <v>584</v>
      </c>
      <c r="G619" s="94">
        <v>0</v>
      </c>
      <c r="H619" s="70">
        <f t="shared" si="9"/>
        <v>0</v>
      </c>
      <c r="I619" s="11">
        <v>46070</v>
      </c>
      <c r="J619" s="11">
        <v>46066</v>
      </c>
      <c r="K619" s="13"/>
    </row>
    <row r="620" spans="1:11" ht="18" x14ac:dyDescent="0.4">
      <c r="A620" s="93" t="s">
        <v>475</v>
      </c>
      <c r="B620" s="16" t="s">
        <v>585</v>
      </c>
      <c r="C620" s="8">
        <v>10429</v>
      </c>
      <c r="D620" s="9">
        <v>467670560</v>
      </c>
      <c r="E620" s="57">
        <v>1152</v>
      </c>
      <c r="F620" s="10" t="s">
        <v>586</v>
      </c>
      <c r="G620" s="94">
        <v>0</v>
      </c>
      <c r="H620" s="70">
        <f t="shared" si="9"/>
        <v>0</v>
      </c>
      <c r="I620" s="11">
        <v>46070</v>
      </c>
      <c r="J620" s="11">
        <v>46066</v>
      </c>
      <c r="K620" s="13"/>
    </row>
    <row r="621" spans="1:11" ht="18" x14ac:dyDescent="0.4">
      <c r="A621" s="93" t="s">
        <v>475</v>
      </c>
      <c r="B621" s="16" t="s">
        <v>585</v>
      </c>
      <c r="C621" s="8">
        <v>10429</v>
      </c>
      <c r="D621" s="9">
        <v>467689270</v>
      </c>
      <c r="E621" s="57">
        <v>1440</v>
      </c>
      <c r="F621" s="10" t="s">
        <v>587</v>
      </c>
      <c r="G621" s="94">
        <v>0</v>
      </c>
      <c r="H621" s="70">
        <f t="shared" si="9"/>
        <v>0</v>
      </c>
      <c r="I621" s="11">
        <v>46070</v>
      </c>
      <c r="J621" s="11">
        <v>46066</v>
      </c>
      <c r="K621" s="13"/>
    </row>
    <row r="622" spans="1:11" ht="18" x14ac:dyDescent="0.4">
      <c r="A622" s="93" t="s">
        <v>475</v>
      </c>
      <c r="B622" s="16" t="s">
        <v>585</v>
      </c>
      <c r="C622" s="8">
        <v>10429</v>
      </c>
      <c r="D622" s="9">
        <v>467761970</v>
      </c>
      <c r="E622" s="57">
        <v>1200</v>
      </c>
      <c r="F622" s="10" t="s">
        <v>588</v>
      </c>
      <c r="G622" s="94">
        <v>0</v>
      </c>
      <c r="H622" s="70">
        <f t="shared" si="9"/>
        <v>0</v>
      </c>
      <c r="I622" s="11">
        <v>46070</v>
      </c>
      <c r="J622" s="11">
        <v>46066</v>
      </c>
      <c r="K622" s="13"/>
    </row>
    <row r="623" spans="1:11" ht="18" x14ac:dyDescent="0.4">
      <c r="A623" s="93" t="s">
        <v>475</v>
      </c>
      <c r="B623" s="16" t="s">
        <v>585</v>
      </c>
      <c r="C623" s="8">
        <v>10429</v>
      </c>
      <c r="D623" s="9">
        <v>467761990</v>
      </c>
      <c r="E623" s="57">
        <v>864</v>
      </c>
      <c r="F623" s="10" t="s">
        <v>589</v>
      </c>
      <c r="G623" s="94">
        <v>0</v>
      </c>
      <c r="H623" s="70">
        <f t="shared" si="9"/>
        <v>0</v>
      </c>
      <c r="I623" s="11">
        <v>46070</v>
      </c>
      <c r="J623" s="11">
        <v>46066</v>
      </c>
      <c r="K623" s="13"/>
    </row>
    <row r="624" spans="1:11" ht="18" x14ac:dyDescent="0.4">
      <c r="A624" s="93" t="s">
        <v>475</v>
      </c>
      <c r="B624" s="16" t="s">
        <v>585</v>
      </c>
      <c r="C624" s="8">
        <v>10429</v>
      </c>
      <c r="D624" s="9">
        <v>552597100</v>
      </c>
      <c r="E624" s="57">
        <v>1152</v>
      </c>
      <c r="F624" s="10" t="s">
        <v>590</v>
      </c>
      <c r="G624" s="94">
        <v>0</v>
      </c>
      <c r="H624" s="70">
        <f t="shared" si="9"/>
        <v>0</v>
      </c>
      <c r="I624" s="11">
        <v>46070</v>
      </c>
      <c r="J624" s="11">
        <v>46066</v>
      </c>
      <c r="K624" s="13"/>
    </row>
    <row r="625" spans="1:11" ht="18" x14ac:dyDescent="0.4">
      <c r="A625" s="102" t="s">
        <v>475</v>
      </c>
      <c r="B625" s="103" t="s">
        <v>591</v>
      </c>
      <c r="C625" s="102">
        <v>43749</v>
      </c>
      <c r="D625" s="104">
        <v>400047600</v>
      </c>
      <c r="E625" s="102">
        <v>480</v>
      </c>
      <c r="F625" s="105" t="s">
        <v>592</v>
      </c>
      <c r="G625" s="94">
        <v>0</v>
      </c>
      <c r="H625" s="70">
        <f t="shared" si="9"/>
        <v>0</v>
      </c>
      <c r="I625" s="11">
        <v>46070</v>
      </c>
      <c r="J625" s="11">
        <v>46066</v>
      </c>
      <c r="K625" s="13"/>
    </row>
    <row r="626" spans="1:11" ht="18" x14ac:dyDescent="0.4">
      <c r="A626" s="102" t="s">
        <v>475</v>
      </c>
      <c r="B626" s="103" t="s">
        <v>591</v>
      </c>
      <c r="C626" s="102">
        <v>43749</v>
      </c>
      <c r="D626" s="104">
        <v>400048200</v>
      </c>
      <c r="E626" s="102">
        <v>780</v>
      </c>
      <c r="F626" s="105" t="s">
        <v>593</v>
      </c>
      <c r="G626" s="94">
        <v>0</v>
      </c>
      <c r="H626" s="70">
        <f t="shared" si="9"/>
        <v>0</v>
      </c>
      <c r="I626" s="11">
        <v>46070</v>
      </c>
      <c r="J626" s="11">
        <v>46066</v>
      </c>
      <c r="K626" s="13"/>
    </row>
    <row r="627" spans="1:11" ht="18" x14ac:dyDescent="0.4">
      <c r="A627" s="102" t="s">
        <v>475</v>
      </c>
      <c r="B627" s="103" t="s">
        <v>594</v>
      </c>
      <c r="C627" s="102">
        <v>31107</v>
      </c>
      <c r="D627" s="104">
        <v>552600330</v>
      </c>
      <c r="E627" s="102">
        <v>2700</v>
      </c>
      <c r="F627" s="105" t="s">
        <v>595</v>
      </c>
      <c r="G627" s="94">
        <v>0</v>
      </c>
      <c r="H627" s="70">
        <f t="shared" si="9"/>
        <v>0</v>
      </c>
      <c r="I627" s="11">
        <v>46070</v>
      </c>
      <c r="J627" s="11">
        <v>46066</v>
      </c>
      <c r="K627" s="13"/>
    </row>
    <row r="628" spans="1:11" ht="18" x14ac:dyDescent="0.4">
      <c r="A628" s="102" t="s">
        <v>475</v>
      </c>
      <c r="B628" s="103" t="s">
        <v>596</v>
      </c>
      <c r="C628" s="102">
        <v>33301</v>
      </c>
      <c r="D628" s="104">
        <v>552294200</v>
      </c>
      <c r="E628" s="102">
        <v>240</v>
      </c>
      <c r="F628" s="105" t="s">
        <v>597</v>
      </c>
      <c r="G628" s="94">
        <v>0</v>
      </c>
      <c r="H628" s="70">
        <f t="shared" si="9"/>
        <v>0</v>
      </c>
      <c r="I628" s="11">
        <v>46070</v>
      </c>
      <c r="J628" s="11">
        <v>46066</v>
      </c>
      <c r="K628" s="13"/>
    </row>
    <row r="629" spans="1:11" ht="18" x14ac:dyDescent="0.4">
      <c r="A629" s="102" t="s">
        <v>475</v>
      </c>
      <c r="B629" s="103" t="s">
        <v>596</v>
      </c>
      <c r="C629" s="102">
        <v>33301</v>
      </c>
      <c r="D629" s="104">
        <v>552340160</v>
      </c>
      <c r="E629" s="102">
        <v>240</v>
      </c>
      <c r="F629" s="105" t="s">
        <v>598</v>
      </c>
      <c r="G629" s="94">
        <v>0</v>
      </c>
      <c r="H629" s="70">
        <f t="shared" si="9"/>
        <v>0</v>
      </c>
      <c r="I629" s="11">
        <v>46070</v>
      </c>
      <c r="J629" s="11">
        <v>46066</v>
      </c>
      <c r="K629" s="13"/>
    </row>
    <row r="630" spans="1:11" ht="18" x14ac:dyDescent="0.4">
      <c r="A630" s="93" t="s">
        <v>475</v>
      </c>
      <c r="B630" s="16" t="s">
        <v>414</v>
      </c>
      <c r="C630" s="8">
        <v>21570</v>
      </c>
      <c r="D630" s="9">
        <v>552826500</v>
      </c>
      <c r="E630" s="57">
        <v>900</v>
      </c>
      <c r="F630" s="10" t="s">
        <v>599</v>
      </c>
      <c r="G630" s="94">
        <v>0</v>
      </c>
      <c r="H630" s="70">
        <f t="shared" si="9"/>
        <v>0</v>
      </c>
      <c r="I630" s="11">
        <v>46070</v>
      </c>
      <c r="J630" s="11">
        <v>46066</v>
      </c>
      <c r="K630" s="13"/>
    </row>
    <row r="631" spans="1:11" ht="18" x14ac:dyDescent="0.4">
      <c r="A631" s="93" t="s">
        <v>475</v>
      </c>
      <c r="B631" s="16" t="s">
        <v>414</v>
      </c>
      <c r="C631" s="8">
        <v>21570</v>
      </c>
      <c r="D631" s="9">
        <v>552826470</v>
      </c>
      <c r="E631" s="57">
        <v>1500</v>
      </c>
      <c r="F631" s="10" t="s">
        <v>600</v>
      </c>
      <c r="G631" s="94">
        <v>7500</v>
      </c>
      <c r="H631" s="70">
        <f t="shared" si="9"/>
        <v>5</v>
      </c>
      <c r="I631" s="11">
        <v>46070</v>
      </c>
      <c r="J631" s="11">
        <v>46066</v>
      </c>
      <c r="K631" s="13" t="s">
        <v>734</v>
      </c>
    </row>
    <row r="632" spans="1:11" ht="18" x14ac:dyDescent="0.4">
      <c r="A632" s="93" t="s">
        <v>475</v>
      </c>
      <c r="B632" s="16" t="s">
        <v>414</v>
      </c>
      <c r="C632" s="8">
        <v>21570</v>
      </c>
      <c r="D632" s="9">
        <v>552826490</v>
      </c>
      <c r="E632" s="57">
        <v>200</v>
      </c>
      <c r="F632" s="10" t="s">
        <v>601</v>
      </c>
      <c r="G632" s="94">
        <v>3800</v>
      </c>
      <c r="H632" s="70">
        <f t="shared" si="9"/>
        <v>19</v>
      </c>
      <c r="I632" s="11">
        <v>46070</v>
      </c>
      <c r="J632" s="11">
        <v>46066</v>
      </c>
      <c r="K632" s="13" t="s">
        <v>734</v>
      </c>
    </row>
    <row r="633" spans="1:11" ht="18" x14ac:dyDescent="0.4">
      <c r="A633" s="93" t="s">
        <v>475</v>
      </c>
      <c r="B633" s="16" t="s">
        <v>414</v>
      </c>
      <c r="C633" s="8">
        <v>21570</v>
      </c>
      <c r="D633" s="9">
        <v>552826480</v>
      </c>
      <c r="E633" s="57">
        <v>200</v>
      </c>
      <c r="F633" s="10" t="s">
        <v>602</v>
      </c>
      <c r="G633" s="94">
        <v>3200</v>
      </c>
      <c r="H633" s="70">
        <f t="shared" si="9"/>
        <v>16</v>
      </c>
      <c r="I633" s="11">
        <v>46070</v>
      </c>
      <c r="J633" s="11">
        <v>46066</v>
      </c>
      <c r="K633" s="13" t="s">
        <v>734</v>
      </c>
    </row>
    <row r="634" spans="1:11" ht="18" x14ac:dyDescent="0.4">
      <c r="A634" s="93" t="s">
        <v>475</v>
      </c>
      <c r="B634" s="16" t="s">
        <v>439</v>
      </c>
      <c r="C634" s="8">
        <v>40840</v>
      </c>
      <c r="D634" s="9">
        <v>187521210</v>
      </c>
      <c r="E634" s="57">
        <v>900</v>
      </c>
      <c r="F634" s="95" t="s">
        <v>312</v>
      </c>
      <c r="G634" s="94">
        <v>0</v>
      </c>
      <c r="H634" s="70">
        <f t="shared" si="9"/>
        <v>0</v>
      </c>
      <c r="I634" s="11">
        <v>46070</v>
      </c>
      <c r="J634" s="11">
        <v>46066</v>
      </c>
      <c r="K634" s="13"/>
    </row>
    <row r="635" spans="1:11" ht="18" x14ac:dyDescent="0.4">
      <c r="A635" s="93" t="s">
        <v>475</v>
      </c>
      <c r="B635" s="16" t="s">
        <v>439</v>
      </c>
      <c r="C635" s="8">
        <v>40840</v>
      </c>
      <c r="D635" s="9">
        <v>187543240</v>
      </c>
      <c r="E635" s="57">
        <v>400</v>
      </c>
      <c r="F635" s="95" t="s">
        <v>565</v>
      </c>
      <c r="G635" s="94">
        <v>0</v>
      </c>
      <c r="H635" s="70">
        <f t="shared" si="9"/>
        <v>0</v>
      </c>
      <c r="I635" s="11">
        <v>46070</v>
      </c>
      <c r="J635" s="11">
        <v>46066</v>
      </c>
      <c r="K635" s="13"/>
    </row>
    <row r="636" spans="1:11" ht="18" x14ac:dyDescent="0.4">
      <c r="A636" s="93" t="s">
        <v>475</v>
      </c>
      <c r="B636" s="16" t="s">
        <v>439</v>
      </c>
      <c r="C636" s="8">
        <v>40840</v>
      </c>
      <c r="D636" s="9">
        <v>187532210</v>
      </c>
      <c r="E636" s="57">
        <v>350</v>
      </c>
      <c r="F636" s="95" t="s">
        <v>603</v>
      </c>
      <c r="G636" s="94">
        <v>0</v>
      </c>
      <c r="H636" s="70">
        <f t="shared" si="9"/>
        <v>0</v>
      </c>
      <c r="I636" s="11">
        <v>46070</v>
      </c>
      <c r="J636" s="11">
        <v>46066</v>
      </c>
      <c r="K636" s="13"/>
    </row>
    <row r="637" spans="1:11" ht="18" x14ac:dyDescent="0.4">
      <c r="A637" s="93" t="s">
        <v>475</v>
      </c>
      <c r="B637" s="16" t="s">
        <v>439</v>
      </c>
      <c r="C637" s="8">
        <v>40840</v>
      </c>
      <c r="D637" s="9">
        <v>109026210</v>
      </c>
      <c r="E637" s="57">
        <v>1500</v>
      </c>
      <c r="F637" s="95" t="s">
        <v>604</v>
      </c>
      <c r="G637" s="94">
        <v>0</v>
      </c>
      <c r="H637" s="70">
        <f t="shared" si="9"/>
        <v>0</v>
      </c>
      <c r="I637" s="11">
        <v>46070</v>
      </c>
      <c r="J637" s="11">
        <v>46066</v>
      </c>
      <c r="K637" s="13"/>
    </row>
    <row r="638" spans="1:11" ht="18" x14ac:dyDescent="0.4">
      <c r="A638" s="93" t="s">
        <v>475</v>
      </c>
      <c r="B638" s="16" t="s">
        <v>439</v>
      </c>
      <c r="C638" s="8">
        <v>40840</v>
      </c>
      <c r="D638" s="9">
        <v>162860210</v>
      </c>
      <c r="E638" s="57">
        <v>1750</v>
      </c>
      <c r="F638" s="95" t="s">
        <v>605</v>
      </c>
      <c r="G638" s="94">
        <v>0</v>
      </c>
      <c r="H638" s="70">
        <f t="shared" si="9"/>
        <v>0</v>
      </c>
      <c r="I638" s="11">
        <v>46070</v>
      </c>
      <c r="J638" s="11">
        <v>46066</v>
      </c>
      <c r="K638" s="13"/>
    </row>
    <row r="639" spans="1:11" ht="18" x14ac:dyDescent="0.4">
      <c r="A639" s="93" t="s">
        <v>475</v>
      </c>
      <c r="B639" s="16" t="s">
        <v>606</v>
      </c>
      <c r="C639" s="8">
        <v>23480</v>
      </c>
      <c r="D639" s="9">
        <v>43283640</v>
      </c>
      <c r="E639" s="57">
        <v>2000</v>
      </c>
      <c r="F639" s="10" t="s">
        <v>607</v>
      </c>
      <c r="G639" s="94">
        <v>0</v>
      </c>
      <c r="H639" s="70">
        <f t="shared" si="9"/>
        <v>0</v>
      </c>
      <c r="I639" s="11">
        <v>46070</v>
      </c>
      <c r="J639" s="11">
        <v>46066</v>
      </c>
      <c r="K639" s="13"/>
    </row>
    <row r="640" spans="1:11" ht="18" x14ac:dyDescent="0.4">
      <c r="A640" s="93" t="s">
        <v>475</v>
      </c>
      <c r="B640" s="16" t="s">
        <v>606</v>
      </c>
      <c r="C640" s="8">
        <v>23480</v>
      </c>
      <c r="D640" s="9">
        <v>75395980</v>
      </c>
      <c r="E640" s="57">
        <v>4000</v>
      </c>
      <c r="F640" s="10" t="s">
        <v>608</v>
      </c>
      <c r="G640" s="94">
        <v>0</v>
      </c>
      <c r="H640" s="70">
        <f t="shared" si="9"/>
        <v>0</v>
      </c>
      <c r="I640" s="11">
        <v>46070</v>
      </c>
      <c r="J640" s="11">
        <v>46066</v>
      </c>
      <c r="K640" s="13"/>
    </row>
    <row r="641" spans="1:11" ht="18" x14ac:dyDescent="0.4">
      <c r="A641" s="93" t="s">
        <v>475</v>
      </c>
      <c r="B641" s="7" t="s">
        <v>606</v>
      </c>
      <c r="C641" s="8">
        <v>23480</v>
      </c>
      <c r="D641" s="9">
        <v>144557800</v>
      </c>
      <c r="E641" s="57">
        <v>1000</v>
      </c>
      <c r="F641" s="10" t="s">
        <v>609</v>
      </c>
      <c r="G641" s="94">
        <v>0</v>
      </c>
      <c r="H641" s="70">
        <f t="shared" si="9"/>
        <v>0</v>
      </c>
      <c r="I641" s="11">
        <v>46070</v>
      </c>
      <c r="J641" s="11">
        <v>46066</v>
      </c>
      <c r="K641" s="13"/>
    </row>
    <row r="642" spans="1:11" ht="18" x14ac:dyDescent="0.4">
      <c r="A642" s="93" t="s">
        <v>475</v>
      </c>
      <c r="B642" s="16" t="s">
        <v>606</v>
      </c>
      <c r="C642" s="8">
        <v>23480</v>
      </c>
      <c r="D642" s="9">
        <v>500080480</v>
      </c>
      <c r="E642" s="57">
        <v>3000</v>
      </c>
      <c r="F642" s="10" t="s">
        <v>610</v>
      </c>
      <c r="G642" s="94">
        <v>0</v>
      </c>
      <c r="H642" s="70">
        <f t="shared" si="9"/>
        <v>0</v>
      </c>
      <c r="I642" s="11">
        <v>46070</v>
      </c>
      <c r="J642" s="11">
        <v>46066</v>
      </c>
      <c r="K642" s="13"/>
    </row>
    <row r="643" spans="1:11" ht="18" x14ac:dyDescent="0.4">
      <c r="A643" s="93" t="s">
        <v>475</v>
      </c>
      <c r="B643" s="16" t="s">
        <v>611</v>
      </c>
      <c r="C643" s="8">
        <v>42998</v>
      </c>
      <c r="D643" s="9">
        <v>463545200</v>
      </c>
      <c r="E643" s="57">
        <v>600</v>
      </c>
      <c r="F643" s="10" t="s">
        <v>612</v>
      </c>
      <c r="G643" s="94">
        <v>0</v>
      </c>
      <c r="H643" s="70">
        <f t="shared" si="9"/>
        <v>0</v>
      </c>
      <c r="I643" s="11">
        <v>46070</v>
      </c>
      <c r="J643" s="11">
        <v>46066</v>
      </c>
      <c r="K643" s="13"/>
    </row>
    <row r="644" spans="1:11" ht="18" x14ac:dyDescent="0.4">
      <c r="A644" s="93" t="s">
        <v>475</v>
      </c>
      <c r="B644" s="16" t="s">
        <v>473</v>
      </c>
      <c r="C644" s="8">
        <v>31775</v>
      </c>
      <c r="D644" s="9">
        <v>552597070</v>
      </c>
      <c r="E644" s="57">
        <v>900</v>
      </c>
      <c r="F644" s="10" t="s">
        <v>613</v>
      </c>
      <c r="G644" s="94">
        <v>0</v>
      </c>
      <c r="H644" s="70">
        <f t="shared" si="9"/>
        <v>0</v>
      </c>
      <c r="I644" s="11">
        <v>46070</v>
      </c>
      <c r="J644" s="11">
        <v>46066</v>
      </c>
      <c r="K644" s="13"/>
    </row>
    <row r="645" spans="1:11" ht="18" x14ac:dyDescent="0.4">
      <c r="A645" s="102" t="s">
        <v>475</v>
      </c>
      <c r="B645" s="103" t="s">
        <v>614</v>
      </c>
      <c r="C645" s="102">
        <v>10627</v>
      </c>
      <c r="D645" s="104">
        <v>77132900</v>
      </c>
      <c r="E645" s="102">
        <v>2500</v>
      </c>
      <c r="F645" s="105" t="s">
        <v>615</v>
      </c>
      <c r="G645" s="94">
        <v>0</v>
      </c>
      <c r="H645" s="70">
        <f t="shared" si="9"/>
        <v>0</v>
      </c>
      <c r="I645" s="11">
        <v>46070</v>
      </c>
      <c r="J645" s="11">
        <v>46066</v>
      </c>
      <c r="K645" s="13"/>
    </row>
    <row r="646" spans="1:11" ht="19.5" x14ac:dyDescent="0.55000000000000004">
      <c r="A646" s="93" t="s">
        <v>475</v>
      </c>
      <c r="B646" s="16" t="s">
        <v>616</v>
      </c>
      <c r="C646" s="8">
        <v>50050</v>
      </c>
      <c r="D646" s="9">
        <v>552807940</v>
      </c>
      <c r="E646" s="57">
        <v>360</v>
      </c>
      <c r="F646" s="10" t="s">
        <v>617</v>
      </c>
      <c r="G646" s="94">
        <v>0</v>
      </c>
      <c r="H646" s="70">
        <f t="shared" si="9"/>
        <v>0</v>
      </c>
      <c r="I646" s="11">
        <v>46070</v>
      </c>
      <c r="J646" s="11">
        <v>46066</v>
      </c>
      <c r="K646" s="58"/>
    </row>
    <row r="647" spans="1:11" ht="19.5" x14ac:dyDescent="0.55000000000000004">
      <c r="A647" s="93" t="s">
        <v>475</v>
      </c>
      <c r="B647" s="16" t="s">
        <v>616</v>
      </c>
      <c r="C647" s="8">
        <v>50050</v>
      </c>
      <c r="D647" s="9">
        <v>552807950</v>
      </c>
      <c r="E647" s="57">
        <v>360</v>
      </c>
      <c r="F647" s="10" t="s">
        <v>618</v>
      </c>
      <c r="G647" s="94">
        <v>0</v>
      </c>
      <c r="H647" s="70">
        <f t="shared" si="9"/>
        <v>0</v>
      </c>
      <c r="I647" s="11">
        <v>46070</v>
      </c>
      <c r="J647" s="11">
        <v>46066</v>
      </c>
      <c r="K647" s="58"/>
    </row>
    <row r="648" spans="1:11" ht="19.5" x14ac:dyDescent="0.55000000000000004">
      <c r="A648" s="93" t="s">
        <v>475</v>
      </c>
      <c r="B648" s="16" t="s">
        <v>616</v>
      </c>
      <c r="C648" s="8">
        <v>50050</v>
      </c>
      <c r="D648" s="9">
        <v>552810000</v>
      </c>
      <c r="E648" s="57">
        <v>450</v>
      </c>
      <c r="F648" s="10" t="s">
        <v>619</v>
      </c>
      <c r="G648" s="94">
        <v>3600</v>
      </c>
      <c r="H648" s="70">
        <f t="shared" si="9"/>
        <v>8</v>
      </c>
      <c r="I648" s="100">
        <v>46070</v>
      </c>
      <c r="J648" s="11">
        <v>46066</v>
      </c>
      <c r="K648" s="101" t="s">
        <v>720</v>
      </c>
    </row>
    <row r="649" spans="1:11" ht="19.5" x14ac:dyDescent="0.55000000000000004">
      <c r="A649" s="93" t="s">
        <v>475</v>
      </c>
      <c r="B649" s="16" t="s">
        <v>616</v>
      </c>
      <c r="C649" s="8">
        <v>50050</v>
      </c>
      <c r="D649" s="9">
        <v>552807960</v>
      </c>
      <c r="E649" s="57">
        <v>180</v>
      </c>
      <c r="F649" s="10" t="s">
        <v>620</v>
      </c>
      <c r="G649" s="94">
        <v>0</v>
      </c>
      <c r="H649" s="70">
        <f t="shared" si="9"/>
        <v>0</v>
      </c>
      <c r="I649" s="11">
        <v>46070</v>
      </c>
      <c r="J649" s="11">
        <v>46066</v>
      </c>
      <c r="K649" s="58"/>
    </row>
    <row r="650" spans="1:11" ht="19.5" x14ac:dyDescent="0.55000000000000004">
      <c r="A650" s="93" t="s">
        <v>475</v>
      </c>
      <c r="B650" s="16" t="s">
        <v>616</v>
      </c>
      <c r="C650" s="8">
        <v>50050</v>
      </c>
      <c r="D650" s="9">
        <v>552512680</v>
      </c>
      <c r="E650" s="57">
        <v>1800</v>
      </c>
      <c r="F650" s="10" t="s">
        <v>621</v>
      </c>
      <c r="G650" s="94">
        <v>3600</v>
      </c>
      <c r="H650" s="70">
        <f t="shared" si="9"/>
        <v>2</v>
      </c>
      <c r="I650" s="100">
        <v>46070</v>
      </c>
      <c r="J650" s="11">
        <v>46066</v>
      </c>
      <c r="K650" s="101" t="s">
        <v>720</v>
      </c>
    </row>
    <row r="651" spans="1:11" ht="19.5" x14ac:dyDescent="0.55000000000000004">
      <c r="A651" s="93" t="s">
        <v>475</v>
      </c>
      <c r="B651" s="16" t="s">
        <v>616</v>
      </c>
      <c r="C651" s="8">
        <v>50050</v>
      </c>
      <c r="D651" s="9">
        <v>552500530</v>
      </c>
      <c r="E651" s="57">
        <v>2400</v>
      </c>
      <c r="F651" s="10" t="s">
        <v>621</v>
      </c>
      <c r="G651" s="94">
        <v>0</v>
      </c>
      <c r="H651" s="70">
        <f t="shared" si="9"/>
        <v>0</v>
      </c>
      <c r="I651" s="11">
        <v>46070</v>
      </c>
      <c r="J651" s="11">
        <v>46066</v>
      </c>
      <c r="K651" s="58"/>
    </row>
    <row r="652" spans="1:11" ht="19.5" x14ac:dyDescent="0.55000000000000004">
      <c r="A652" s="93" t="s">
        <v>475</v>
      </c>
      <c r="B652" s="16" t="s">
        <v>616</v>
      </c>
      <c r="C652" s="8">
        <v>50050</v>
      </c>
      <c r="D652" s="9">
        <v>552807970</v>
      </c>
      <c r="E652" s="57">
        <v>180</v>
      </c>
      <c r="F652" s="10" t="s">
        <v>622</v>
      </c>
      <c r="G652" s="94">
        <v>3600</v>
      </c>
      <c r="H652" s="70">
        <f t="shared" si="9"/>
        <v>20</v>
      </c>
      <c r="I652" s="100">
        <v>46070</v>
      </c>
      <c r="J652" s="11">
        <v>46066</v>
      </c>
      <c r="K652" s="101" t="s">
        <v>720</v>
      </c>
    </row>
    <row r="653" spans="1:11" ht="19.5" x14ac:dyDescent="0.55000000000000004">
      <c r="A653" s="93" t="s">
        <v>475</v>
      </c>
      <c r="B653" s="16" t="s">
        <v>286</v>
      </c>
      <c r="C653" s="8">
        <v>51625</v>
      </c>
      <c r="D653" s="9">
        <v>463458000</v>
      </c>
      <c r="E653" s="57">
        <v>1800</v>
      </c>
      <c r="F653" s="10" t="s">
        <v>623</v>
      </c>
      <c r="G653" s="94">
        <v>0</v>
      </c>
      <c r="H653" s="70">
        <f t="shared" si="9"/>
        <v>0</v>
      </c>
      <c r="I653" s="11">
        <v>46070</v>
      </c>
      <c r="J653" s="11">
        <v>46066</v>
      </c>
      <c r="K653" s="58"/>
    </row>
    <row r="654" spans="1:11" ht="19.5" x14ac:dyDescent="0.55000000000000004">
      <c r="A654" s="93" t="s">
        <v>475</v>
      </c>
      <c r="B654" s="16" t="s">
        <v>286</v>
      </c>
      <c r="C654" s="8">
        <v>51625</v>
      </c>
      <c r="D654" s="9">
        <v>463457980</v>
      </c>
      <c r="E654" s="57">
        <v>1600</v>
      </c>
      <c r="F654" s="10" t="s">
        <v>624</v>
      </c>
      <c r="G654" s="94">
        <v>0</v>
      </c>
      <c r="H654" s="70">
        <f t="shared" si="9"/>
        <v>0</v>
      </c>
      <c r="I654" s="11">
        <v>46070</v>
      </c>
      <c r="J654" s="11">
        <v>46066</v>
      </c>
      <c r="K654" s="58"/>
    </row>
    <row r="655" spans="1:11" ht="19.5" x14ac:dyDescent="0.55000000000000004">
      <c r="A655" s="93" t="s">
        <v>475</v>
      </c>
      <c r="B655" s="16" t="s">
        <v>286</v>
      </c>
      <c r="C655" s="8">
        <v>51625</v>
      </c>
      <c r="D655" s="9">
        <v>463457990</v>
      </c>
      <c r="E655" s="57">
        <v>1920</v>
      </c>
      <c r="F655" s="10" t="s">
        <v>625</v>
      </c>
      <c r="G655" s="94">
        <v>0</v>
      </c>
      <c r="H655" s="70">
        <f t="shared" si="9"/>
        <v>0</v>
      </c>
      <c r="I655" s="11">
        <v>46070</v>
      </c>
      <c r="J655" s="11">
        <v>46066</v>
      </c>
      <c r="K655" s="58"/>
    </row>
    <row r="656" spans="1:11" ht="18" x14ac:dyDescent="0.4">
      <c r="A656" s="102" t="s">
        <v>475</v>
      </c>
      <c r="B656" s="103" t="s">
        <v>626</v>
      </c>
      <c r="C656" s="102">
        <v>13093</v>
      </c>
      <c r="D656" s="104">
        <v>552679890</v>
      </c>
      <c r="E656" s="102">
        <v>150</v>
      </c>
      <c r="F656" s="105" t="s">
        <v>627</v>
      </c>
      <c r="G656" s="94">
        <v>0</v>
      </c>
      <c r="H656" s="70">
        <f t="shared" si="9"/>
        <v>0</v>
      </c>
      <c r="I656" s="11">
        <v>46070</v>
      </c>
      <c r="J656" s="11">
        <v>46066</v>
      </c>
      <c r="K656" s="13"/>
    </row>
    <row r="657" spans="1:11" ht="18" x14ac:dyDescent="0.4">
      <c r="A657" s="93" t="s">
        <v>475</v>
      </c>
      <c r="B657" s="16" t="s">
        <v>628</v>
      </c>
      <c r="C657" s="60">
        <v>30467</v>
      </c>
      <c r="D657" s="61">
        <v>552757120</v>
      </c>
      <c r="E657" s="60">
        <v>300</v>
      </c>
      <c r="F657" s="96" t="s">
        <v>629</v>
      </c>
      <c r="G657" s="94">
        <v>0</v>
      </c>
      <c r="H657" s="70">
        <f t="shared" si="9"/>
        <v>0</v>
      </c>
      <c r="I657" s="11">
        <v>46070</v>
      </c>
      <c r="J657" s="11">
        <v>46066</v>
      </c>
      <c r="K657" s="13"/>
    </row>
    <row r="658" spans="1:11" ht="18" x14ac:dyDescent="0.4">
      <c r="A658" s="93" t="s">
        <v>475</v>
      </c>
      <c r="B658" s="16" t="s">
        <v>628</v>
      </c>
      <c r="C658" s="60">
        <v>30467</v>
      </c>
      <c r="D658" s="61">
        <v>77894039</v>
      </c>
      <c r="E658" s="60">
        <v>2880</v>
      </c>
      <c r="F658" s="96" t="s">
        <v>510</v>
      </c>
      <c r="G658" s="94">
        <v>0</v>
      </c>
      <c r="H658" s="70">
        <f t="shared" si="9"/>
        <v>0</v>
      </c>
      <c r="I658" s="11">
        <v>46070</v>
      </c>
      <c r="J658" s="11">
        <v>46066</v>
      </c>
      <c r="K658" s="13"/>
    </row>
    <row r="659" spans="1:11" ht="18" x14ac:dyDescent="0.4">
      <c r="A659" s="93" t="s">
        <v>475</v>
      </c>
      <c r="B659" s="16" t="s">
        <v>628</v>
      </c>
      <c r="C659" s="60">
        <v>30467</v>
      </c>
      <c r="D659" s="61">
        <v>463458088</v>
      </c>
      <c r="E659" s="60">
        <v>1440</v>
      </c>
      <c r="F659" s="96" t="s">
        <v>630</v>
      </c>
      <c r="G659" s="94">
        <v>0</v>
      </c>
      <c r="H659" s="70">
        <f t="shared" si="9"/>
        <v>0</v>
      </c>
      <c r="I659" s="11">
        <v>46070</v>
      </c>
      <c r="J659" s="11">
        <v>46066</v>
      </c>
      <c r="K659" s="13"/>
    </row>
    <row r="660" spans="1:11" ht="18" x14ac:dyDescent="0.4">
      <c r="A660" s="93" t="s">
        <v>475</v>
      </c>
      <c r="B660" s="16" t="s">
        <v>631</v>
      </c>
      <c r="C660" s="8">
        <v>60644</v>
      </c>
      <c r="D660" s="9">
        <v>75742790</v>
      </c>
      <c r="E660" s="57">
        <v>400</v>
      </c>
      <c r="F660" s="10" t="s">
        <v>632</v>
      </c>
      <c r="G660" s="94">
        <v>0</v>
      </c>
      <c r="H660" s="70">
        <f t="shared" si="9"/>
        <v>0</v>
      </c>
      <c r="I660" s="11">
        <v>46070</v>
      </c>
      <c r="J660" s="11">
        <v>46066</v>
      </c>
      <c r="K660" s="13"/>
    </row>
    <row r="661" spans="1:11" ht="18" x14ac:dyDescent="0.4">
      <c r="A661" s="93" t="s">
        <v>475</v>
      </c>
      <c r="B661" s="16" t="s">
        <v>631</v>
      </c>
      <c r="C661" s="8">
        <v>60644</v>
      </c>
      <c r="D661" s="9">
        <v>464600430</v>
      </c>
      <c r="E661" s="57">
        <v>72</v>
      </c>
      <c r="F661" s="10" t="s">
        <v>633</v>
      </c>
      <c r="G661" s="94">
        <v>0</v>
      </c>
      <c r="H661" s="70">
        <f t="shared" si="9"/>
        <v>0</v>
      </c>
      <c r="I661" s="11">
        <v>46070</v>
      </c>
      <c r="J661" s="11">
        <v>46066</v>
      </c>
      <c r="K661" s="13"/>
    </row>
    <row r="662" spans="1:11" ht="19.5" x14ac:dyDescent="0.55000000000000004">
      <c r="A662" s="93" t="s">
        <v>475</v>
      </c>
      <c r="B662" s="16" t="s">
        <v>634</v>
      </c>
      <c r="C662" s="8">
        <v>63192</v>
      </c>
      <c r="D662" s="9">
        <v>552044480</v>
      </c>
      <c r="E662" s="57">
        <v>45</v>
      </c>
      <c r="F662" s="10" t="s">
        <v>635</v>
      </c>
      <c r="G662" s="94">
        <v>0</v>
      </c>
      <c r="H662" s="70">
        <f t="shared" si="9"/>
        <v>0</v>
      </c>
      <c r="I662" s="11">
        <v>46070</v>
      </c>
      <c r="J662" s="11">
        <v>46066</v>
      </c>
      <c r="K662" s="59"/>
    </row>
    <row r="663" spans="1:11" ht="19.5" x14ac:dyDescent="0.55000000000000004">
      <c r="A663" s="93" t="s">
        <v>475</v>
      </c>
      <c r="B663" s="16" t="s">
        <v>634</v>
      </c>
      <c r="C663" s="8">
        <v>63192</v>
      </c>
      <c r="D663" s="9">
        <v>552044490</v>
      </c>
      <c r="E663" s="57">
        <v>45</v>
      </c>
      <c r="F663" s="10" t="s">
        <v>635</v>
      </c>
      <c r="G663" s="94">
        <v>0</v>
      </c>
      <c r="H663" s="70">
        <f t="shared" si="9"/>
        <v>0</v>
      </c>
      <c r="I663" s="11">
        <v>46070</v>
      </c>
      <c r="J663" s="11">
        <v>46066</v>
      </c>
      <c r="K663" s="59"/>
    </row>
    <row r="664" spans="1:11" ht="18" x14ac:dyDescent="0.4">
      <c r="A664" s="93" t="s">
        <v>475</v>
      </c>
      <c r="B664" s="16" t="s">
        <v>637</v>
      </c>
      <c r="C664" s="8">
        <v>64641</v>
      </c>
      <c r="D664" s="9">
        <v>143253110</v>
      </c>
      <c r="E664" s="57">
        <v>350</v>
      </c>
      <c r="F664" s="10" t="s">
        <v>638</v>
      </c>
      <c r="G664" s="94">
        <v>0</v>
      </c>
      <c r="H664" s="70">
        <f t="shared" si="9"/>
        <v>0</v>
      </c>
      <c r="I664" s="11">
        <v>46070</v>
      </c>
      <c r="J664" s="11">
        <v>46066</v>
      </c>
      <c r="K664" s="13"/>
    </row>
    <row r="665" spans="1:11" ht="18" x14ac:dyDescent="0.4">
      <c r="A665" s="93" t="s">
        <v>475</v>
      </c>
      <c r="B665" s="16" t="s">
        <v>639</v>
      </c>
      <c r="C665" s="8">
        <v>29928</v>
      </c>
      <c r="D665" s="9">
        <v>400048200</v>
      </c>
      <c r="E665" s="57">
        <v>480</v>
      </c>
      <c r="F665" s="10" t="s">
        <v>593</v>
      </c>
      <c r="G665" s="94">
        <v>0</v>
      </c>
      <c r="H665" s="70">
        <f t="shared" si="9"/>
        <v>0</v>
      </c>
      <c r="I665" s="11">
        <v>46070</v>
      </c>
      <c r="J665" s="11">
        <v>46066</v>
      </c>
      <c r="K665" s="13"/>
    </row>
    <row r="666" spans="1:11" ht="18" x14ac:dyDescent="0.4">
      <c r="A666" s="102" t="s">
        <v>475</v>
      </c>
      <c r="B666" s="103" t="s">
        <v>640</v>
      </c>
      <c r="C666" s="102">
        <v>68265</v>
      </c>
      <c r="D666" s="104">
        <v>463415970</v>
      </c>
      <c r="E666" s="102">
        <v>360</v>
      </c>
      <c r="F666" s="105" t="s">
        <v>641</v>
      </c>
      <c r="G666" s="94">
        <v>0</v>
      </c>
      <c r="H666" s="70">
        <f t="shared" si="9"/>
        <v>0</v>
      </c>
      <c r="I666" s="11">
        <v>46070</v>
      </c>
      <c r="J666" s="11">
        <v>46066</v>
      </c>
      <c r="K666" s="13"/>
    </row>
    <row r="667" spans="1:11" ht="18" x14ac:dyDescent="0.4">
      <c r="A667" s="102" t="s">
        <v>475</v>
      </c>
      <c r="B667" s="103" t="s">
        <v>640</v>
      </c>
      <c r="C667" s="102">
        <v>68265</v>
      </c>
      <c r="D667" s="104">
        <v>551914710</v>
      </c>
      <c r="E667" s="102">
        <v>360</v>
      </c>
      <c r="F667" s="105" t="s">
        <v>642</v>
      </c>
      <c r="G667" s="94">
        <v>0</v>
      </c>
      <c r="H667" s="70">
        <f t="shared" si="9"/>
        <v>0</v>
      </c>
      <c r="I667" s="11">
        <v>46070</v>
      </c>
      <c r="J667" s="11">
        <v>46066</v>
      </c>
      <c r="K667" s="13"/>
    </row>
    <row r="668" spans="1:11" ht="18" x14ac:dyDescent="0.4">
      <c r="A668" s="102" t="s">
        <v>475</v>
      </c>
      <c r="B668" s="103" t="s">
        <v>640</v>
      </c>
      <c r="C668" s="102">
        <v>68265</v>
      </c>
      <c r="D668" s="104">
        <v>552444220</v>
      </c>
      <c r="E668" s="102">
        <v>180</v>
      </c>
      <c r="F668" s="105" t="s">
        <v>641</v>
      </c>
      <c r="G668" s="94">
        <v>0</v>
      </c>
      <c r="H668" s="70">
        <f t="shared" si="9"/>
        <v>0</v>
      </c>
      <c r="I668" s="11">
        <v>46070</v>
      </c>
      <c r="J668" s="11">
        <v>46066</v>
      </c>
      <c r="K668" s="13"/>
    </row>
    <row r="669" spans="1:11" ht="18" x14ac:dyDescent="0.4">
      <c r="A669" s="102" t="s">
        <v>475</v>
      </c>
      <c r="B669" s="103" t="s">
        <v>640</v>
      </c>
      <c r="C669" s="102">
        <v>68265</v>
      </c>
      <c r="D669" s="104">
        <v>552701450</v>
      </c>
      <c r="E669" s="102">
        <v>360</v>
      </c>
      <c r="F669" s="105" t="s">
        <v>643</v>
      </c>
      <c r="G669" s="94">
        <v>0</v>
      </c>
      <c r="H669" s="70">
        <f t="shared" si="9"/>
        <v>0</v>
      </c>
      <c r="I669" s="11">
        <v>46070</v>
      </c>
      <c r="J669" s="11">
        <v>46066</v>
      </c>
      <c r="K669" s="13"/>
    </row>
    <row r="670" spans="1:11" ht="18" x14ac:dyDescent="0.4">
      <c r="A670" s="93" t="s">
        <v>475</v>
      </c>
      <c r="B670" s="16" t="s">
        <v>644</v>
      </c>
      <c r="C670" s="8">
        <v>68265</v>
      </c>
      <c r="D670" s="9">
        <v>59999700</v>
      </c>
      <c r="E670" s="57">
        <v>102</v>
      </c>
      <c r="F670" s="10" t="s">
        <v>645</v>
      </c>
      <c r="G670" s="94">
        <v>0</v>
      </c>
      <c r="H670" s="70">
        <f t="shared" si="9"/>
        <v>0</v>
      </c>
      <c r="I670" s="11">
        <v>46070</v>
      </c>
      <c r="J670" s="11">
        <v>46066</v>
      </c>
      <c r="K670" s="13"/>
    </row>
    <row r="671" spans="1:11" ht="18" x14ac:dyDescent="0.4">
      <c r="A671" s="93" t="s">
        <v>475</v>
      </c>
      <c r="B671" s="16" t="s">
        <v>644</v>
      </c>
      <c r="C671" s="8">
        <v>68265</v>
      </c>
      <c r="D671" s="9">
        <v>75645190</v>
      </c>
      <c r="E671" s="57">
        <v>126</v>
      </c>
      <c r="F671" s="10" t="s">
        <v>646</v>
      </c>
      <c r="G671" s="94">
        <v>0</v>
      </c>
      <c r="H671" s="70">
        <f t="shared" si="9"/>
        <v>0</v>
      </c>
      <c r="I671" s="11">
        <v>46070</v>
      </c>
      <c r="J671" s="11">
        <v>46066</v>
      </c>
      <c r="K671" s="13"/>
    </row>
    <row r="672" spans="1:11" ht="18" x14ac:dyDescent="0.4">
      <c r="A672" s="93" t="s">
        <v>475</v>
      </c>
      <c r="B672" s="16" t="s">
        <v>644</v>
      </c>
      <c r="C672" s="8">
        <v>68265</v>
      </c>
      <c r="D672" s="9">
        <v>463602640</v>
      </c>
      <c r="E672" s="57">
        <v>144</v>
      </c>
      <c r="F672" s="10" t="s">
        <v>647</v>
      </c>
      <c r="G672" s="94">
        <v>0</v>
      </c>
      <c r="H672" s="70">
        <f t="shared" ref="H672:H720" si="10">+G672/E672</f>
        <v>0</v>
      </c>
      <c r="I672" s="11">
        <v>46070</v>
      </c>
      <c r="J672" s="11">
        <v>46066</v>
      </c>
      <c r="K672" s="13"/>
    </row>
    <row r="673" spans="1:11" ht="18" x14ac:dyDescent="0.4">
      <c r="A673" s="93" t="s">
        <v>475</v>
      </c>
      <c r="B673" s="16" t="s">
        <v>644</v>
      </c>
      <c r="C673" s="8">
        <v>68265</v>
      </c>
      <c r="D673" s="9">
        <v>75756860</v>
      </c>
      <c r="E673" s="57">
        <v>120</v>
      </c>
      <c r="F673" s="10" t="s">
        <v>648</v>
      </c>
      <c r="G673" s="94">
        <v>0</v>
      </c>
      <c r="H673" s="70">
        <f t="shared" si="10"/>
        <v>0</v>
      </c>
      <c r="I673" s="11">
        <v>46070</v>
      </c>
      <c r="J673" s="11">
        <v>46066</v>
      </c>
      <c r="K673" s="13"/>
    </row>
    <row r="674" spans="1:11" ht="18" x14ac:dyDescent="0.4">
      <c r="A674" s="93" t="s">
        <v>475</v>
      </c>
      <c r="B674" s="16" t="s">
        <v>644</v>
      </c>
      <c r="C674" s="8">
        <v>68265</v>
      </c>
      <c r="D674" s="9">
        <v>75756870</v>
      </c>
      <c r="E674" s="57">
        <v>204</v>
      </c>
      <c r="F674" s="10" t="s">
        <v>649</v>
      </c>
      <c r="G674" s="94">
        <v>0</v>
      </c>
      <c r="H674" s="70">
        <f t="shared" si="10"/>
        <v>0</v>
      </c>
      <c r="I674" s="11">
        <v>46070</v>
      </c>
      <c r="J674" s="11">
        <v>46066</v>
      </c>
      <c r="K674" s="13"/>
    </row>
    <row r="675" spans="1:11" ht="18" x14ac:dyDescent="0.4">
      <c r="A675" s="93" t="s">
        <v>475</v>
      </c>
      <c r="B675" s="16" t="s">
        <v>644</v>
      </c>
      <c r="C675" s="8">
        <v>68265</v>
      </c>
      <c r="D675" s="9">
        <v>465364600</v>
      </c>
      <c r="E675" s="57">
        <v>90</v>
      </c>
      <c r="F675" s="10" t="s">
        <v>650</v>
      </c>
      <c r="G675" s="94">
        <v>0</v>
      </c>
      <c r="H675" s="70">
        <f t="shared" si="10"/>
        <v>0</v>
      </c>
      <c r="I675" s="11">
        <v>46070</v>
      </c>
      <c r="J675" s="11">
        <v>46066</v>
      </c>
      <c r="K675" s="13"/>
    </row>
    <row r="676" spans="1:11" ht="18" x14ac:dyDescent="0.4">
      <c r="A676" s="93" t="s">
        <v>475</v>
      </c>
      <c r="B676" s="16" t="s">
        <v>644</v>
      </c>
      <c r="C676" s="8">
        <v>68265</v>
      </c>
      <c r="D676" s="9">
        <v>463457970</v>
      </c>
      <c r="E676" s="57">
        <v>2000</v>
      </c>
      <c r="F676" s="10" t="s">
        <v>651</v>
      </c>
      <c r="G676" s="94">
        <v>0</v>
      </c>
      <c r="H676" s="70">
        <f t="shared" si="10"/>
        <v>0</v>
      </c>
      <c r="I676" s="11">
        <v>46070</v>
      </c>
      <c r="J676" s="11">
        <v>46066</v>
      </c>
      <c r="K676" s="13"/>
    </row>
    <row r="677" spans="1:11" ht="18" x14ac:dyDescent="0.4">
      <c r="A677" s="93" t="s">
        <v>475</v>
      </c>
      <c r="B677" s="16" t="s">
        <v>644</v>
      </c>
      <c r="C677" s="8">
        <v>68265</v>
      </c>
      <c r="D677" s="9">
        <v>467761980</v>
      </c>
      <c r="E677" s="57">
        <v>96</v>
      </c>
      <c r="F677" s="10" t="s">
        <v>652</v>
      </c>
      <c r="G677" s="94">
        <v>0</v>
      </c>
      <c r="H677" s="70">
        <f t="shared" si="10"/>
        <v>0</v>
      </c>
      <c r="I677" s="11">
        <v>46070</v>
      </c>
      <c r="J677" s="11">
        <v>46066</v>
      </c>
      <c r="K677" s="13"/>
    </row>
    <row r="678" spans="1:11" ht="18" x14ac:dyDescent="0.4">
      <c r="A678" s="93" t="s">
        <v>475</v>
      </c>
      <c r="B678" s="16" t="s">
        <v>644</v>
      </c>
      <c r="C678" s="8">
        <v>68265</v>
      </c>
      <c r="D678" s="9">
        <v>467984770</v>
      </c>
      <c r="E678" s="57">
        <v>216</v>
      </c>
      <c r="F678" s="10" t="s">
        <v>653</v>
      </c>
      <c r="G678" s="94">
        <v>0</v>
      </c>
      <c r="H678" s="70">
        <f t="shared" si="10"/>
        <v>0</v>
      </c>
      <c r="I678" s="11">
        <v>46070</v>
      </c>
      <c r="J678" s="11">
        <v>46066</v>
      </c>
      <c r="K678" s="13"/>
    </row>
    <row r="679" spans="1:11" ht="18" x14ac:dyDescent="0.4">
      <c r="A679" s="93" t="s">
        <v>475</v>
      </c>
      <c r="B679" s="16" t="s">
        <v>644</v>
      </c>
      <c r="C679" s="8">
        <v>68265</v>
      </c>
      <c r="D679" s="9">
        <v>552180370</v>
      </c>
      <c r="E679" s="57">
        <v>390</v>
      </c>
      <c r="F679" s="10" t="s">
        <v>654</v>
      </c>
      <c r="G679" s="94">
        <v>0</v>
      </c>
      <c r="H679" s="70">
        <f t="shared" si="10"/>
        <v>0</v>
      </c>
      <c r="I679" s="11">
        <v>46070</v>
      </c>
      <c r="J679" s="11">
        <v>46066</v>
      </c>
      <c r="K679" s="13"/>
    </row>
    <row r="680" spans="1:11" ht="18" x14ac:dyDescent="0.4">
      <c r="A680" s="93" t="s">
        <v>475</v>
      </c>
      <c r="B680" s="16" t="s">
        <v>644</v>
      </c>
      <c r="C680" s="8">
        <v>68265</v>
      </c>
      <c r="D680" s="9">
        <v>463559990</v>
      </c>
      <c r="E680" s="57">
        <v>102</v>
      </c>
      <c r="F680" s="10" t="s">
        <v>655</v>
      </c>
      <c r="G680" s="94">
        <v>0</v>
      </c>
      <c r="H680" s="70">
        <f t="shared" si="10"/>
        <v>0</v>
      </c>
      <c r="I680" s="11">
        <v>46070</v>
      </c>
      <c r="J680" s="11">
        <v>46066</v>
      </c>
      <c r="K680" s="13"/>
    </row>
    <row r="681" spans="1:11" ht="18" x14ac:dyDescent="0.4">
      <c r="A681" s="93" t="s">
        <v>475</v>
      </c>
      <c r="B681" s="16" t="s">
        <v>656</v>
      </c>
      <c r="C681" s="8">
        <v>70930</v>
      </c>
      <c r="D681" s="9">
        <v>75095320</v>
      </c>
      <c r="E681" s="57">
        <v>600</v>
      </c>
      <c r="F681" s="10" t="s">
        <v>657</v>
      </c>
      <c r="G681" s="94">
        <v>0</v>
      </c>
      <c r="H681" s="70">
        <f t="shared" si="10"/>
        <v>0</v>
      </c>
      <c r="I681" s="11">
        <v>46070</v>
      </c>
      <c r="J681" s="11">
        <v>46066</v>
      </c>
      <c r="K681" s="13"/>
    </row>
    <row r="682" spans="1:11" ht="18" x14ac:dyDescent="0.4">
      <c r="A682" s="93" t="s">
        <v>475</v>
      </c>
      <c r="B682" s="16" t="s">
        <v>656</v>
      </c>
      <c r="C682" s="8">
        <v>70930</v>
      </c>
      <c r="D682" s="9">
        <v>75095330</v>
      </c>
      <c r="E682" s="57">
        <v>840</v>
      </c>
      <c r="F682" s="10" t="s">
        <v>658</v>
      </c>
      <c r="G682" s="94">
        <v>0</v>
      </c>
      <c r="H682" s="70">
        <f t="shared" si="10"/>
        <v>0</v>
      </c>
      <c r="I682" s="11">
        <v>46070</v>
      </c>
      <c r="J682" s="11">
        <v>46066</v>
      </c>
      <c r="K682" s="13"/>
    </row>
    <row r="683" spans="1:11" ht="18" x14ac:dyDescent="0.4">
      <c r="A683" s="93" t="s">
        <v>475</v>
      </c>
      <c r="B683" s="16" t="s">
        <v>656</v>
      </c>
      <c r="C683" s="8">
        <v>70930</v>
      </c>
      <c r="D683" s="9">
        <v>464752630</v>
      </c>
      <c r="E683" s="57">
        <v>3456</v>
      </c>
      <c r="F683" s="10" t="s">
        <v>659</v>
      </c>
      <c r="G683" s="94">
        <v>0</v>
      </c>
      <c r="H683" s="70">
        <f t="shared" si="10"/>
        <v>0</v>
      </c>
      <c r="I683" s="11">
        <v>46070</v>
      </c>
      <c r="J683" s="11">
        <v>46066</v>
      </c>
      <c r="K683" s="13"/>
    </row>
    <row r="684" spans="1:11" ht="18" x14ac:dyDescent="0.4">
      <c r="A684" s="93" t="s">
        <v>475</v>
      </c>
      <c r="B684" s="16" t="s">
        <v>656</v>
      </c>
      <c r="C684" s="8">
        <v>70930</v>
      </c>
      <c r="D684" s="9">
        <v>464133490</v>
      </c>
      <c r="E684" s="57">
        <v>1152</v>
      </c>
      <c r="F684" s="10" t="s">
        <v>660</v>
      </c>
      <c r="G684" s="94">
        <v>0</v>
      </c>
      <c r="H684" s="70">
        <f t="shared" si="10"/>
        <v>0</v>
      </c>
      <c r="I684" s="11">
        <v>46070</v>
      </c>
      <c r="J684" s="11">
        <v>46066</v>
      </c>
      <c r="K684" s="13"/>
    </row>
    <row r="685" spans="1:11" ht="18" x14ac:dyDescent="0.4">
      <c r="A685" s="93" t="s">
        <v>475</v>
      </c>
      <c r="B685" s="7" t="s">
        <v>656</v>
      </c>
      <c r="C685" s="8">
        <v>70930</v>
      </c>
      <c r="D685" s="9">
        <v>552261480</v>
      </c>
      <c r="E685" s="57">
        <v>1426</v>
      </c>
      <c r="F685" s="10" t="s">
        <v>661</v>
      </c>
      <c r="G685" s="94">
        <v>0</v>
      </c>
      <c r="H685" s="70">
        <f t="shared" si="10"/>
        <v>0</v>
      </c>
      <c r="I685" s="11">
        <v>46070</v>
      </c>
      <c r="J685" s="11">
        <v>46066</v>
      </c>
      <c r="K685" s="13"/>
    </row>
    <row r="686" spans="1:11" ht="18" x14ac:dyDescent="0.4">
      <c r="A686" s="93" t="s">
        <v>475</v>
      </c>
      <c r="B686" s="7" t="s">
        <v>656</v>
      </c>
      <c r="C686" s="8">
        <v>70930</v>
      </c>
      <c r="D686" s="9">
        <v>552261490</v>
      </c>
      <c r="E686" s="57">
        <v>1200</v>
      </c>
      <c r="F686" s="10" t="s">
        <v>662</v>
      </c>
      <c r="G686" s="94">
        <v>0</v>
      </c>
      <c r="H686" s="70">
        <f t="shared" si="10"/>
        <v>0</v>
      </c>
      <c r="I686" s="11">
        <v>46070</v>
      </c>
      <c r="J686" s="11">
        <v>46066</v>
      </c>
      <c r="K686" s="13"/>
    </row>
    <row r="687" spans="1:11" ht="18" x14ac:dyDescent="0.4">
      <c r="A687" s="93" t="s">
        <v>475</v>
      </c>
      <c r="B687" s="7" t="s">
        <v>663</v>
      </c>
      <c r="C687" s="8">
        <v>14872</v>
      </c>
      <c r="D687" s="9">
        <v>77131980</v>
      </c>
      <c r="E687" s="57">
        <v>1000</v>
      </c>
      <c r="F687" s="10" t="s">
        <v>664</v>
      </c>
      <c r="G687" s="94">
        <v>0</v>
      </c>
      <c r="H687" s="70">
        <f t="shared" si="10"/>
        <v>0</v>
      </c>
      <c r="I687" s="11">
        <v>46070</v>
      </c>
      <c r="J687" s="11">
        <v>46066</v>
      </c>
      <c r="K687" s="13"/>
    </row>
    <row r="688" spans="1:11" ht="18" x14ac:dyDescent="0.4">
      <c r="A688" s="93" t="s">
        <v>475</v>
      </c>
      <c r="B688" s="7" t="s">
        <v>663</v>
      </c>
      <c r="C688" s="8">
        <v>14872</v>
      </c>
      <c r="D688" s="9">
        <v>552759150</v>
      </c>
      <c r="E688" s="57">
        <v>1000</v>
      </c>
      <c r="F688" s="10" t="s">
        <v>664</v>
      </c>
      <c r="G688" s="94">
        <v>0</v>
      </c>
      <c r="H688" s="70">
        <f t="shared" si="10"/>
        <v>0</v>
      </c>
      <c r="I688" s="11">
        <v>46070</v>
      </c>
      <c r="J688" s="11">
        <v>46066</v>
      </c>
      <c r="K688" s="13"/>
    </row>
    <row r="689" spans="1:11" ht="18" x14ac:dyDescent="0.4">
      <c r="A689" s="93" t="s">
        <v>475</v>
      </c>
      <c r="B689" s="7" t="s">
        <v>663</v>
      </c>
      <c r="C689" s="8">
        <v>14872</v>
      </c>
      <c r="D689" s="9">
        <v>77289810</v>
      </c>
      <c r="E689" s="57">
        <v>400</v>
      </c>
      <c r="F689" s="10" t="s">
        <v>665</v>
      </c>
      <c r="G689" s="94">
        <v>0</v>
      </c>
      <c r="H689" s="70">
        <f t="shared" si="10"/>
        <v>0</v>
      </c>
      <c r="I689" s="11">
        <v>46070</v>
      </c>
      <c r="J689" s="11">
        <v>46066</v>
      </c>
      <c r="K689" s="13"/>
    </row>
    <row r="690" spans="1:11" ht="18" x14ac:dyDescent="0.4">
      <c r="A690" s="93" t="s">
        <v>475</v>
      </c>
      <c r="B690" s="7" t="s">
        <v>663</v>
      </c>
      <c r="C690" s="8">
        <v>14872</v>
      </c>
      <c r="D690" s="9">
        <v>77289820</v>
      </c>
      <c r="E690" s="57">
        <v>400</v>
      </c>
      <c r="F690" s="10" t="s">
        <v>666</v>
      </c>
      <c r="G690" s="94">
        <v>0</v>
      </c>
      <c r="H690" s="70">
        <f t="shared" si="10"/>
        <v>0</v>
      </c>
      <c r="I690" s="11">
        <v>46070</v>
      </c>
      <c r="J690" s="11">
        <v>46066</v>
      </c>
      <c r="K690" s="13"/>
    </row>
    <row r="691" spans="1:11" ht="18" x14ac:dyDescent="0.4">
      <c r="A691" s="93" t="s">
        <v>475</v>
      </c>
      <c r="B691" s="7" t="s">
        <v>663</v>
      </c>
      <c r="C691" s="8">
        <v>14872</v>
      </c>
      <c r="D691" s="9">
        <v>77289830</v>
      </c>
      <c r="E691" s="57">
        <v>400</v>
      </c>
      <c r="F691" s="10" t="s">
        <v>667</v>
      </c>
      <c r="G691" s="94">
        <v>0</v>
      </c>
      <c r="H691" s="70">
        <f t="shared" si="10"/>
        <v>0</v>
      </c>
      <c r="I691" s="11">
        <v>46070</v>
      </c>
      <c r="J691" s="11">
        <v>46066</v>
      </c>
      <c r="K691" s="13"/>
    </row>
    <row r="692" spans="1:11" ht="18" x14ac:dyDescent="0.4">
      <c r="A692" s="93" t="s">
        <v>475</v>
      </c>
      <c r="B692" s="7" t="s">
        <v>663</v>
      </c>
      <c r="C692" s="8">
        <v>14872</v>
      </c>
      <c r="D692" s="9">
        <v>77289840</v>
      </c>
      <c r="E692" s="57">
        <v>200</v>
      </c>
      <c r="F692" s="10" t="s">
        <v>668</v>
      </c>
      <c r="G692" s="94">
        <v>0</v>
      </c>
      <c r="H692" s="70">
        <f t="shared" si="10"/>
        <v>0</v>
      </c>
      <c r="I692" s="11">
        <v>46070</v>
      </c>
      <c r="J692" s="11">
        <v>46066</v>
      </c>
      <c r="K692" s="13"/>
    </row>
    <row r="693" spans="1:11" ht="18" x14ac:dyDescent="0.4">
      <c r="A693" s="93" t="s">
        <v>475</v>
      </c>
      <c r="B693" s="7" t="s">
        <v>663</v>
      </c>
      <c r="C693" s="8">
        <v>14872</v>
      </c>
      <c r="D693" s="9">
        <v>77289850</v>
      </c>
      <c r="E693" s="57">
        <v>200</v>
      </c>
      <c r="F693" s="10" t="s">
        <v>669</v>
      </c>
      <c r="G693" s="94">
        <v>0</v>
      </c>
      <c r="H693" s="70">
        <f t="shared" si="10"/>
        <v>0</v>
      </c>
      <c r="I693" s="11">
        <v>46070</v>
      </c>
      <c r="J693" s="11">
        <v>46066</v>
      </c>
      <c r="K693" s="13"/>
    </row>
    <row r="694" spans="1:11" ht="18" x14ac:dyDescent="0.4">
      <c r="A694" s="93" t="s">
        <v>475</v>
      </c>
      <c r="B694" s="7" t="s">
        <v>663</v>
      </c>
      <c r="C694" s="8">
        <v>14872</v>
      </c>
      <c r="D694" s="9">
        <v>77289860</v>
      </c>
      <c r="E694" s="57">
        <v>150</v>
      </c>
      <c r="F694" s="10" t="s">
        <v>670</v>
      </c>
      <c r="G694" s="94">
        <v>0</v>
      </c>
      <c r="H694" s="70">
        <f t="shared" si="10"/>
        <v>0</v>
      </c>
      <c r="I694" s="11">
        <v>46070</v>
      </c>
      <c r="J694" s="11">
        <v>46066</v>
      </c>
      <c r="K694" s="13"/>
    </row>
    <row r="695" spans="1:11" ht="18" x14ac:dyDescent="0.4">
      <c r="A695" s="93" t="s">
        <v>475</v>
      </c>
      <c r="B695" s="7" t="s">
        <v>663</v>
      </c>
      <c r="C695" s="8">
        <v>14872</v>
      </c>
      <c r="D695" s="9">
        <v>77289870</v>
      </c>
      <c r="E695" s="57">
        <v>400</v>
      </c>
      <c r="F695" s="10" t="s">
        <v>671</v>
      </c>
      <c r="G695" s="94">
        <v>0</v>
      </c>
      <c r="H695" s="70">
        <f t="shared" si="10"/>
        <v>0</v>
      </c>
      <c r="I695" s="11">
        <v>46070</v>
      </c>
      <c r="J695" s="11">
        <v>46066</v>
      </c>
      <c r="K695" s="13"/>
    </row>
    <row r="696" spans="1:11" ht="18" x14ac:dyDescent="0.4">
      <c r="A696" s="93" t="s">
        <v>475</v>
      </c>
      <c r="B696" s="7" t="s">
        <v>663</v>
      </c>
      <c r="C696" s="8">
        <v>14872</v>
      </c>
      <c r="D696" s="9">
        <v>77894040</v>
      </c>
      <c r="E696" s="57">
        <v>200</v>
      </c>
      <c r="F696" s="10" t="s">
        <v>672</v>
      </c>
      <c r="G696" s="94">
        <v>0</v>
      </c>
      <c r="H696" s="70">
        <f t="shared" si="10"/>
        <v>0</v>
      </c>
      <c r="I696" s="11">
        <v>46070</v>
      </c>
      <c r="J696" s="11">
        <v>46066</v>
      </c>
      <c r="K696" s="13"/>
    </row>
    <row r="697" spans="1:11" ht="18" x14ac:dyDescent="0.4">
      <c r="A697" s="93" t="s">
        <v>475</v>
      </c>
      <c r="B697" s="7" t="s">
        <v>663</v>
      </c>
      <c r="C697" s="8">
        <v>14872</v>
      </c>
      <c r="D697" s="9">
        <v>77894530</v>
      </c>
      <c r="E697" s="57">
        <v>400</v>
      </c>
      <c r="F697" s="10" t="s">
        <v>673</v>
      </c>
      <c r="G697" s="94">
        <v>0</v>
      </c>
      <c r="H697" s="70">
        <f t="shared" si="10"/>
        <v>0</v>
      </c>
      <c r="I697" s="11">
        <v>46070</v>
      </c>
      <c r="J697" s="11">
        <v>46066</v>
      </c>
      <c r="K697" s="13"/>
    </row>
    <row r="698" spans="1:11" ht="18" x14ac:dyDescent="0.4">
      <c r="A698" s="93" t="s">
        <v>475</v>
      </c>
      <c r="B698" s="7" t="s">
        <v>663</v>
      </c>
      <c r="C698" s="8">
        <v>14872</v>
      </c>
      <c r="D698" s="9">
        <v>77894540</v>
      </c>
      <c r="E698" s="57">
        <v>480</v>
      </c>
      <c r="F698" s="10" t="s">
        <v>674</v>
      </c>
      <c r="G698" s="94">
        <v>0</v>
      </c>
      <c r="H698" s="70">
        <f t="shared" si="10"/>
        <v>0</v>
      </c>
      <c r="I698" s="11">
        <v>46070</v>
      </c>
      <c r="J698" s="11">
        <v>46066</v>
      </c>
      <c r="K698" s="13"/>
    </row>
    <row r="699" spans="1:11" ht="18" x14ac:dyDescent="0.4">
      <c r="A699" s="93" t="s">
        <v>475</v>
      </c>
      <c r="B699" s="7" t="s">
        <v>663</v>
      </c>
      <c r="C699" s="8">
        <v>14872</v>
      </c>
      <c r="D699" s="9">
        <v>77894550</v>
      </c>
      <c r="E699" s="57">
        <v>400</v>
      </c>
      <c r="F699" s="10" t="s">
        <v>675</v>
      </c>
      <c r="G699" s="94">
        <v>0</v>
      </c>
      <c r="H699" s="70">
        <f t="shared" si="10"/>
        <v>0</v>
      </c>
      <c r="I699" s="11">
        <v>46070</v>
      </c>
      <c r="J699" s="11">
        <v>46066</v>
      </c>
      <c r="K699" s="13"/>
    </row>
    <row r="700" spans="1:11" ht="18" x14ac:dyDescent="0.4">
      <c r="A700" s="93" t="s">
        <v>475</v>
      </c>
      <c r="B700" s="7" t="s">
        <v>663</v>
      </c>
      <c r="C700" s="8">
        <v>14872</v>
      </c>
      <c r="D700" s="9">
        <v>77894560</v>
      </c>
      <c r="E700" s="57">
        <v>400</v>
      </c>
      <c r="F700" s="10" t="s">
        <v>676</v>
      </c>
      <c r="G700" s="94">
        <v>0</v>
      </c>
      <c r="H700" s="70">
        <f t="shared" si="10"/>
        <v>0</v>
      </c>
      <c r="I700" s="11">
        <v>46070</v>
      </c>
      <c r="J700" s="11">
        <v>46066</v>
      </c>
      <c r="K700" s="13"/>
    </row>
    <row r="701" spans="1:11" ht="18" x14ac:dyDescent="0.4">
      <c r="A701" s="93" t="s">
        <v>475</v>
      </c>
      <c r="B701" s="7" t="s">
        <v>663</v>
      </c>
      <c r="C701" s="8">
        <v>14872</v>
      </c>
      <c r="D701" s="9">
        <v>77894570</v>
      </c>
      <c r="E701" s="57">
        <v>400</v>
      </c>
      <c r="F701" s="10" t="s">
        <v>677</v>
      </c>
      <c r="G701" s="94">
        <v>0</v>
      </c>
      <c r="H701" s="70">
        <f t="shared" si="10"/>
        <v>0</v>
      </c>
      <c r="I701" s="11">
        <v>46070</v>
      </c>
      <c r="J701" s="11">
        <v>46066</v>
      </c>
      <c r="K701" s="13"/>
    </row>
    <row r="702" spans="1:11" ht="18" x14ac:dyDescent="0.4">
      <c r="A702" s="93" t="s">
        <v>475</v>
      </c>
      <c r="B702" s="7" t="s">
        <v>663</v>
      </c>
      <c r="C702" s="8">
        <v>14872</v>
      </c>
      <c r="D702" s="9">
        <v>102980600</v>
      </c>
      <c r="E702" s="57">
        <v>2000</v>
      </c>
      <c r="F702" s="10" t="s">
        <v>678</v>
      </c>
      <c r="G702" s="94">
        <v>0</v>
      </c>
      <c r="H702" s="70">
        <f t="shared" si="10"/>
        <v>0</v>
      </c>
      <c r="I702" s="11">
        <v>46070</v>
      </c>
      <c r="J702" s="11">
        <v>46066</v>
      </c>
      <c r="K702" s="13"/>
    </row>
    <row r="703" spans="1:11" ht="18" x14ac:dyDescent="0.4">
      <c r="A703" s="93" t="s">
        <v>475</v>
      </c>
      <c r="B703" s="16" t="s">
        <v>663</v>
      </c>
      <c r="C703" s="8">
        <v>14872</v>
      </c>
      <c r="D703" s="9">
        <v>126444210</v>
      </c>
      <c r="E703" s="57">
        <v>450</v>
      </c>
      <c r="F703" s="10" t="s">
        <v>679</v>
      </c>
      <c r="G703" s="94">
        <v>0</v>
      </c>
      <c r="H703" s="70">
        <f t="shared" si="10"/>
        <v>0</v>
      </c>
      <c r="I703" s="11">
        <v>46070</v>
      </c>
      <c r="J703" s="11">
        <v>46066</v>
      </c>
      <c r="K703" s="13"/>
    </row>
    <row r="704" spans="1:11" ht="18" x14ac:dyDescent="0.4">
      <c r="A704" s="93" t="s">
        <v>475</v>
      </c>
      <c r="B704" s="16" t="s">
        <v>663</v>
      </c>
      <c r="C704" s="8">
        <v>14872</v>
      </c>
      <c r="D704" s="9">
        <v>552738480</v>
      </c>
      <c r="E704" s="57">
        <v>300</v>
      </c>
      <c r="F704" s="10" t="s">
        <v>680</v>
      </c>
      <c r="G704" s="94">
        <v>0</v>
      </c>
      <c r="H704" s="70">
        <f t="shared" si="10"/>
        <v>0</v>
      </c>
      <c r="I704" s="11">
        <v>46070</v>
      </c>
      <c r="J704" s="11">
        <v>46066</v>
      </c>
      <c r="K704" s="13"/>
    </row>
    <row r="705" spans="1:11" ht="18" x14ac:dyDescent="0.4">
      <c r="A705" s="102" t="s">
        <v>475</v>
      </c>
      <c r="B705" s="103" t="s">
        <v>681</v>
      </c>
      <c r="C705" s="102">
        <v>61950</v>
      </c>
      <c r="D705" s="104">
        <v>551942240</v>
      </c>
      <c r="E705" s="102">
        <v>100</v>
      </c>
      <c r="F705" s="105" t="s">
        <v>682</v>
      </c>
      <c r="G705" s="94">
        <v>0</v>
      </c>
      <c r="H705" s="70">
        <f t="shared" si="10"/>
        <v>0</v>
      </c>
      <c r="I705" s="11">
        <v>46070</v>
      </c>
      <c r="J705" s="11">
        <v>46066</v>
      </c>
      <c r="K705" s="13"/>
    </row>
    <row r="706" spans="1:11" ht="18" x14ac:dyDescent="0.4">
      <c r="A706" s="102" t="s">
        <v>475</v>
      </c>
      <c r="B706" s="103" t="s">
        <v>681</v>
      </c>
      <c r="C706" s="102">
        <v>61950</v>
      </c>
      <c r="D706" s="104">
        <v>552110600</v>
      </c>
      <c r="E706" s="102">
        <v>100</v>
      </c>
      <c r="F706" s="105" t="s">
        <v>682</v>
      </c>
      <c r="G706" s="94">
        <v>0</v>
      </c>
      <c r="H706" s="70">
        <f t="shared" si="10"/>
        <v>0</v>
      </c>
      <c r="I706" s="11">
        <v>46070</v>
      </c>
      <c r="J706" s="11">
        <v>46066</v>
      </c>
      <c r="K706" s="13"/>
    </row>
    <row r="707" spans="1:11" ht="18" x14ac:dyDescent="0.4">
      <c r="A707" s="102" t="s">
        <v>475</v>
      </c>
      <c r="B707" s="103" t="s">
        <v>683</v>
      </c>
      <c r="C707" s="102">
        <v>43317</v>
      </c>
      <c r="D707" s="104">
        <v>76047570</v>
      </c>
      <c r="E707" s="102">
        <v>684</v>
      </c>
      <c r="F707" s="105" t="s">
        <v>612</v>
      </c>
      <c r="G707" s="94">
        <v>0</v>
      </c>
      <c r="H707" s="70">
        <f t="shared" si="10"/>
        <v>0</v>
      </c>
      <c r="I707" s="11">
        <v>46070</v>
      </c>
      <c r="J707" s="11">
        <v>46066</v>
      </c>
      <c r="K707" s="13"/>
    </row>
    <row r="708" spans="1:11" ht="18" x14ac:dyDescent="0.4">
      <c r="A708" s="102" t="s">
        <v>475</v>
      </c>
      <c r="B708" s="102" t="s">
        <v>684</v>
      </c>
      <c r="C708" s="102">
        <v>41341</v>
      </c>
      <c r="D708" s="104">
        <v>75530320</v>
      </c>
      <c r="E708" s="102">
        <v>2500</v>
      </c>
      <c r="F708" s="105" t="s">
        <v>685</v>
      </c>
      <c r="G708" s="94">
        <v>0</v>
      </c>
      <c r="H708" s="70">
        <f t="shared" si="10"/>
        <v>0</v>
      </c>
      <c r="I708" s="11">
        <v>46070</v>
      </c>
      <c r="J708" s="11">
        <v>46066</v>
      </c>
      <c r="K708" s="13"/>
    </row>
    <row r="709" spans="1:11" ht="18" x14ac:dyDescent="0.4">
      <c r="A709" s="102" t="s">
        <v>475</v>
      </c>
      <c r="B709" s="102" t="s">
        <v>684</v>
      </c>
      <c r="C709" s="102">
        <v>41341</v>
      </c>
      <c r="D709" s="104">
        <v>464384590</v>
      </c>
      <c r="E709" s="102">
        <v>1200</v>
      </c>
      <c r="F709" s="105" t="s">
        <v>686</v>
      </c>
      <c r="G709" s="94">
        <v>0</v>
      </c>
      <c r="H709" s="70">
        <f t="shared" si="10"/>
        <v>0</v>
      </c>
      <c r="I709" s="11">
        <v>46070</v>
      </c>
      <c r="J709" s="11">
        <v>46066</v>
      </c>
      <c r="K709" s="8"/>
    </row>
    <row r="710" spans="1:11" ht="18" x14ac:dyDescent="0.4">
      <c r="A710" s="102" t="s">
        <v>475</v>
      </c>
      <c r="B710" s="102" t="s">
        <v>684</v>
      </c>
      <c r="C710" s="102">
        <v>41341</v>
      </c>
      <c r="D710" s="104">
        <v>552153790</v>
      </c>
      <c r="E710" s="102">
        <v>150</v>
      </c>
      <c r="F710" s="105" t="s">
        <v>687</v>
      </c>
      <c r="G710" s="94">
        <v>0</v>
      </c>
      <c r="H710" s="70">
        <f t="shared" si="10"/>
        <v>0</v>
      </c>
      <c r="I710" s="36">
        <v>46070</v>
      </c>
      <c r="J710" s="36">
        <v>46066</v>
      </c>
      <c r="K710" s="8"/>
    </row>
    <row r="711" spans="1:11" ht="18" x14ac:dyDescent="0.4">
      <c r="A711" s="27" t="s">
        <v>475</v>
      </c>
      <c r="B711" s="28" t="s">
        <v>200</v>
      </c>
      <c r="C711" s="28">
        <v>1073</v>
      </c>
      <c r="D711" s="29">
        <v>552795241</v>
      </c>
      <c r="E711" s="68">
        <v>28</v>
      </c>
      <c r="F711" s="30" t="s">
        <v>688</v>
      </c>
      <c r="G711" s="9">
        <v>0</v>
      </c>
      <c r="H711" s="70">
        <f t="shared" si="10"/>
        <v>0</v>
      </c>
      <c r="I711" s="11">
        <v>46070</v>
      </c>
      <c r="J711" s="11">
        <v>46066</v>
      </c>
      <c r="K711" s="31"/>
    </row>
    <row r="712" spans="1:11" ht="18" x14ac:dyDescent="0.4">
      <c r="A712" s="7" t="s">
        <v>475</v>
      </c>
      <c r="B712" s="7" t="s">
        <v>200</v>
      </c>
      <c r="C712" s="7">
        <v>1073</v>
      </c>
      <c r="D712" s="9">
        <v>552649671</v>
      </c>
      <c r="E712" s="57">
        <v>48</v>
      </c>
      <c r="F712" s="19" t="s">
        <v>689</v>
      </c>
      <c r="G712" s="9">
        <v>0</v>
      </c>
      <c r="H712" s="70">
        <f t="shared" si="10"/>
        <v>0</v>
      </c>
      <c r="I712" s="11">
        <v>46070</v>
      </c>
      <c r="J712" s="11">
        <v>46066</v>
      </c>
      <c r="K712" s="13"/>
    </row>
    <row r="713" spans="1:11" ht="18" x14ac:dyDescent="0.4">
      <c r="A713" s="7" t="s">
        <v>475</v>
      </c>
      <c r="B713" s="7" t="s">
        <v>200</v>
      </c>
      <c r="C713" s="7">
        <v>1073</v>
      </c>
      <c r="D713" s="9">
        <v>463516451</v>
      </c>
      <c r="E713" s="57">
        <v>28</v>
      </c>
      <c r="F713" s="96" t="s">
        <v>690</v>
      </c>
      <c r="G713" s="9">
        <v>0</v>
      </c>
      <c r="H713" s="70">
        <f t="shared" si="10"/>
        <v>0</v>
      </c>
      <c r="I713" s="11">
        <v>46070</v>
      </c>
      <c r="J713" s="11">
        <v>46066</v>
      </c>
      <c r="K713" s="13"/>
    </row>
    <row r="714" spans="1:11" ht="18" x14ac:dyDescent="0.4">
      <c r="A714" s="7" t="s">
        <v>475</v>
      </c>
      <c r="B714" s="7" t="s">
        <v>200</v>
      </c>
      <c r="C714" s="7">
        <v>1073</v>
      </c>
      <c r="D714" s="9">
        <v>552649651</v>
      </c>
      <c r="E714" s="57">
        <v>24</v>
      </c>
      <c r="F714" s="19" t="s">
        <v>691</v>
      </c>
      <c r="G714" s="9">
        <v>0</v>
      </c>
      <c r="H714" s="70">
        <f t="shared" si="10"/>
        <v>0</v>
      </c>
      <c r="I714" s="11">
        <v>46070</v>
      </c>
      <c r="J714" s="11">
        <v>46066</v>
      </c>
      <c r="K714" s="8"/>
    </row>
    <row r="715" spans="1:11" ht="18" x14ac:dyDescent="0.4">
      <c r="A715" s="7" t="s">
        <v>475</v>
      </c>
      <c r="B715" s="7" t="s">
        <v>200</v>
      </c>
      <c r="C715" s="7">
        <v>1073</v>
      </c>
      <c r="D715" s="9">
        <v>463471951</v>
      </c>
      <c r="E715" s="57">
        <v>48</v>
      </c>
      <c r="F715" s="19" t="s">
        <v>692</v>
      </c>
      <c r="G715" s="9">
        <v>0</v>
      </c>
      <c r="H715" s="70">
        <f t="shared" si="10"/>
        <v>0</v>
      </c>
      <c r="I715" s="11">
        <v>46070</v>
      </c>
      <c r="J715" s="11">
        <v>46066</v>
      </c>
      <c r="K715" s="8"/>
    </row>
    <row r="716" spans="1:11" ht="18" x14ac:dyDescent="0.4">
      <c r="A716" s="7" t="s">
        <v>475</v>
      </c>
      <c r="B716" s="7" t="s">
        <v>452</v>
      </c>
      <c r="C716" s="7">
        <v>56589</v>
      </c>
      <c r="D716" s="9">
        <v>976510460</v>
      </c>
      <c r="E716" s="57">
        <v>30</v>
      </c>
      <c r="F716" s="19" t="s">
        <v>693</v>
      </c>
      <c r="G716" s="9">
        <v>0</v>
      </c>
      <c r="H716" s="70">
        <f t="shared" si="10"/>
        <v>0</v>
      </c>
      <c r="I716" s="11">
        <v>46070</v>
      </c>
      <c r="J716" s="11">
        <v>46066</v>
      </c>
      <c r="K716" s="8"/>
    </row>
    <row r="717" spans="1:11" ht="18" x14ac:dyDescent="0.4">
      <c r="A717" s="7" t="s">
        <v>475</v>
      </c>
      <c r="B717" s="7" t="s">
        <v>452</v>
      </c>
      <c r="C717" s="7">
        <v>56589</v>
      </c>
      <c r="D717" s="9">
        <v>976510450</v>
      </c>
      <c r="E717" s="57">
        <v>50</v>
      </c>
      <c r="F717" s="19" t="s">
        <v>694</v>
      </c>
      <c r="G717" s="9">
        <v>0</v>
      </c>
      <c r="H717" s="70">
        <f t="shared" si="10"/>
        <v>0</v>
      </c>
      <c r="I717" s="11">
        <v>46070</v>
      </c>
      <c r="J717" s="11">
        <v>46066</v>
      </c>
      <c r="K717" s="8"/>
    </row>
    <row r="718" spans="1:11" ht="18" x14ac:dyDescent="0.4">
      <c r="A718" s="7" t="s">
        <v>475</v>
      </c>
      <c r="B718" s="7" t="s">
        <v>452</v>
      </c>
      <c r="C718" s="7">
        <v>56589</v>
      </c>
      <c r="D718" s="9">
        <v>463528128</v>
      </c>
      <c r="E718" s="57">
        <v>50</v>
      </c>
      <c r="F718" s="96" t="s">
        <v>695</v>
      </c>
      <c r="G718" s="9">
        <v>0</v>
      </c>
      <c r="H718" s="70">
        <f t="shared" si="10"/>
        <v>0</v>
      </c>
      <c r="I718" s="11">
        <v>46070</v>
      </c>
      <c r="J718" s="11">
        <v>46066</v>
      </c>
      <c r="K718" s="8"/>
    </row>
    <row r="719" spans="1:11" ht="18" x14ac:dyDescent="0.4">
      <c r="A719" s="7" t="s">
        <v>475</v>
      </c>
      <c r="B719" s="7" t="s">
        <v>452</v>
      </c>
      <c r="C719" s="7">
        <v>56589</v>
      </c>
      <c r="D719" s="9">
        <v>552553318</v>
      </c>
      <c r="E719" s="57">
        <v>30</v>
      </c>
      <c r="F719" s="19" t="s">
        <v>688</v>
      </c>
      <c r="G719" s="9">
        <v>0</v>
      </c>
      <c r="H719" s="70">
        <f t="shared" si="10"/>
        <v>0</v>
      </c>
      <c r="I719" s="11">
        <v>46070</v>
      </c>
      <c r="J719" s="11">
        <v>46066</v>
      </c>
      <c r="K719" s="8"/>
    </row>
    <row r="720" spans="1:11" ht="18" x14ac:dyDescent="0.4">
      <c r="A720" s="7" t="s">
        <v>475</v>
      </c>
      <c r="B720" s="7" t="s">
        <v>452</v>
      </c>
      <c r="C720" s="7">
        <v>56589</v>
      </c>
      <c r="D720" s="9">
        <v>463530718</v>
      </c>
      <c r="E720" s="57">
        <v>30</v>
      </c>
      <c r="F720" s="96" t="s">
        <v>696</v>
      </c>
      <c r="G720" s="9">
        <v>0</v>
      </c>
      <c r="H720" s="70">
        <f t="shared" si="10"/>
        <v>0</v>
      </c>
      <c r="I720" s="11">
        <v>46070</v>
      </c>
      <c r="J720" s="11">
        <v>46066</v>
      </c>
      <c r="K720" s="8"/>
    </row>
    <row r="721" spans="1:11" ht="18" x14ac:dyDescent="0.4">
      <c r="A721" s="20"/>
      <c r="B721" s="16"/>
      <c r="C721" s="16"/>
      <c r="D721" s="9"/>
      <c r="E721" s="63"/>
      <c r="F721" s="16"/>
      <c r="G721" s="16"/>
      <c r="H721" s="16"/>
      <c r="I721" s="11"/>
      <c r="J721" s="16"/>
      <c r="K721" s="21"/>
    </row>
    <row r="722" spans="1:11" ht="18" x14ac:dyDescent="0.4">
      <c r="A722" s="20"/>
      <c r="B722" s="16"/>
      <c r="C722" s="16"/>
      <c r="D722" s="9"/>
      <c r="E722" s="63"/>
      <c r="F722" s="16"/>
      <c r="G722" s="16"/>
      <c r="H722" s="16"/>
      <c r="I722" s="16"/>
      <c r="J722" s="16"/>
      <c r="K722" s="21"/>
    </row>
    <row r="723" spans="1:11" ht="18" x14ac:dyDescent="0.4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1" ht="18" x14ac:dyDescent="0.4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1" ht="18" x14ac:dyDescent="0.4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1" ht="18" x14ac:dyDescent="0.4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1" ht="18" x14ac:dyDescent="0.4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1" ht="18" x14ac:dyDescent="0.4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1" ht="18" x14ac:dyDescent="0.4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1" ht="18" x14ac:dyDescent="0.4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1" ht="18" x14ac:dyDescent="0.4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1" ht="18" x14ac:dyDescent="0.4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1" ht="18" x14ac:dyDescent="0.4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1" ht="18" x14ac:dyDescent="0.4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1" ht="18" x14ac:dyDescent="0.4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1" ht="18" x14ac:dyDescent="0.4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 x14ac:dyDescent="0.4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 x14ac:dyDescent="0.4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 x14ac:dyDescent="0.4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 x14ac:dyDescent="0.4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 x14ac:dyDescent="0.4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 x14ac:dyDescent="0.4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 x14ac:dyDescent="0.4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 x14ac:dyDescent="0.4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 x14ac:dyDescent="0.4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 x14ac:dyDescent="0.4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 x14ac:dyDescent="0.4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 x14ac:dyDescent="0.4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 x14ac:dyDescent="0.4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 x14ac:dyDescent="0.4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 x14ac:dyDescent="0.4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 x14ac:dyDescent="0.4">
      <c r="A752" s="20"/>
      <c r="B752" s="16"/>
      <c r="C752" s="16"/>
      <c r="D752" s="9"/>
      <c r="E752" s="63"/>
      <c r="F752" s="16"/>
      <c r="G752" s="16"/>
      <c r="H752" s="16"/>
      <c r="I752" s="16"/>
      <c r="J752" s="16"/>
      <c r="K752" s="21"/>
    </row>
    <row r="753" spans="1:11" ht="18" x14ac:dyDescent="0.4">
      <c r="A753" s="20"/>
      <c r="B753" s="16"/>
      <c r="C753" s="16"/>
      <c r="D753" s="9"/>
      <c r="E753" s="63"/>
      <c r="F753" s="16"/>
      <c r="G753" s="16"/>
      <c r="H753" s="16"/>
      <c r="I753" s="16"/>
      <c r="J753" s="16"/>
      <c r="K753" s="21"/>
    </row>
    <row r="754" spans="1:11" ht="18" x14ac:dyDescent="0.4">
      <c r="A754" s="20"/>
      <c r="B754" s="16"/>
      <c r="C754" s="16"/>
      <c r="D754" s="9"/>
      <c r="E754" s="63"/>
      <c r="F754" s="16"/>
      <c r="G754" s="16"/>
      <c r="H754" s="16"/>
      <c r="I754" s="16"/>
      <c r="J754" s="16"/>
      <c r="K754" s="21"/>
    </row>
    <row r="755" spans="1:11" ht="18" x14ac:dyDescent="0.4">
      <c r="A755" s="20"/>
      <c r="B755" s="16"/>
      <c r="C755" s="16"/>
      <c r="D755" s="9"/>
      <c r="E755" s="63"/>
      <c r="F755" s="16"/>
      <c r="G755" s="16"/>
      <c r="H755" s="16"/>
      <c r="I755" s="16"/>
      <c r="J755" s="16"/>
      <c r="K755" s="21"/>
    </row>
    <row r="756" spans="1:11" ht="18" x14ac:dyDescent="0.4">
      <c r="A756" s="20"/>
      <c r="B756" s="16"/>
      <c r="C756" s="16"/>
      <c r="D756" s="9"/>
      <c r="E756" s="63"/>
      <c r="F756" s="16"/>
      <c r="G756" s="16"/>
      <c r="H756" s="16"/>
      <c r="I756" s="16"/>
      <c r="J756" s="16"/>
      <c r="K756" s="21"/>
    </row>
    <row r="757" spans="1:11" ht="18" x14ac:dyDescent="0.4">
      <c r="A757" s="20"/>
      <c r="B757" s="16"/>
      <c r="C757" s="16"/>
      <c r="D757" s="7"/>
      <c r="E757" s="63"/>
      <c r="F757" s="16"/>
      <c r="G757" s="16"/>
      <c r="H757" s="16"/>
      <c r="I757" s="16"/>
      <c r="J757" s="16"/>
      <c r="K757" s="21"/>
    </row>
    <row r="758" spans="1:11" ht="18" x14ac:dyDescent="0.4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 x14ac:dyDescent="0.4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 x14ac:dyDescent="0.4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 x14ac:dyDescent="0.4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 x14ac:dyDescent="0.4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 x14ac:dyDescent="0.4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 x14ac:dyDescent="0.4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 x14ac:dyDescent="0.4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 x14ac:dyDescent="0.4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 x14ac:dyDescent="0.4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 x14ac:dyDescent="0.4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 x14ac:dyDescent="0.4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 x14ac:dyDescent="0.4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 x14ac:dyDescent="0.4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 x14ac:dyDescent="0.4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 x14ac:dyDescent="0.4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 x14ac:dyDescent="0.4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 x14ac:dyDescent="0.4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 x14ac:dyDescent="0.4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 x14ac:dyDescent="0.4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 x14ac:dyDescent="0.4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 x14ac:dyDescent="0.4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 x14ac:dyDescent="0.4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 x14ac:dyDescent="0.4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 x14ac:dyDescent="0.4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 x14ac:dyDescent="0.4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 x14ac:dyDescent="0.4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 x14ac:dyDescent="0.4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 x14ac:dyDescent="0.4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 x14ac:dyDescent="0.4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 x14ac:dyDescent="0.4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 x14ac:dyDescent="0.4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 x14ac:dyDescent="0.4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 x14ac:dyDescent="0.4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 x14ac:dyDescent="0.4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 x14ac:dyDescent="0.4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 x14ac:dyDescent="0.4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 x14ac:dyDescent="0.4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 x14ac:dyDescent="0.4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 x14ac:dyDescent="0.4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 x14ac:dyDescent="0.4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 x14ac:dyDescent="0.4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 x14ac:dyDescent="0.4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 x14ac:dyDescent="0.4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 x14ac:dyDescent="0.4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 x14ac:dyDescent="0.4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 x14ac:dyDescent="0.4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 x14ac:dyDescent="0.4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 x14ac:dyDescent="0.4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 x14ac:dyDescent="0.4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 x14ac:dyDescent="0.4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 x14ac:dyDescent="0.4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 x14ac:dyDescent="0.4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 x14ac:dyDescent="0.4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 x14ac:dyDescent="0.4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 x14ac:dyDescent="0.4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 x14ac:dyDescent="0.4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 x14ac:dyDescent="0.4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 x14ac:dyDescent="0.4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 x14ac:dyDescent="0.4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 x14ac:dyDescent="0.4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 x14ac:dyDescent="0.4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 x14ac:dyDescent="0.4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 x14ac:dyDescent="0.4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 x14ac:dyDescent="0.4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 x14ac:dyDescent="0.4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 x14ac:dyDescent="0.4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 x14ac:dyDescent="0.4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 x14ac:dyDescent="0.4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 x14ac:dyDescent="0.4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 x14ac:dyDescent="0.4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 x14ac:dyDescent="0.4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 x14ac:dyDescent="0.4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 x14ac:dyDescent="0.4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 x14ac:dyDescent="0.4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 x14ac:dyDescent="0.4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 x14ac:dyDescent="0.4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 x14ac:dyDescent="0.4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 x14ac:dyDescent="0.4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 x14ac:dyDescent="0.4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 x14ac:dyDescent="0.4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 x14ac:dyDescent="0.4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 x14ac:dyDescent="0.4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 x14ac:dyDescent="0.4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 x14ac:dyDescent="0.4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 x14ac:dyDescent="0.4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 x14ac:dyDescent="0.4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 x14ac:dyDescent="0.4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 x14ac:dyDescent="0.4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 x14ac:dyDescent="0.4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 x14ac:dyDescent="0.4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 x14ac:dyDescent="0.4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 x14ac:dyDescent="0.4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 x14ac:dyDescent="0.4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 x14ac:dyDescent="0.4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 x14ac:dyDescent="0.4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 x14ac:dyDescent="0.4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 x14ac:dyDescent="0.4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 x14ac:dyDescent="0.4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 x14ac:dyDescent="0.4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 x14ac:dyDescent="0.4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 x14ac:dyDescent="0.4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 x14ac:dyDescent="0.4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 x14ac:dyDescent="0.4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 x14ac:dyDescent="0.4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 x14ac:dyDescent="0.4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 x14ac:dyDescent="0.4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 x14ac:dyDescent="0.4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 x14ac:dyDescent="0.4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 x14ac:dyDescent="0.4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 x14ac:dyDescent="0.4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 x14ac:dyDescent="0.4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 x14ac:dyDescent="0.4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 x14ac:dyDescent="0.4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 x14ac:dyDescent="0.4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 x14ac:dyDescent="0.4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 x14ac:dyDescent="0.4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 x14ac:dyDescent="0.4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 x14ac:dyDescent="0.4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 x14ac:dyDescent="0.4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 x14ac:dyDescent="0.4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 x14ac:dyDescent="0.4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 x14ac:dyDescent="0.4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 x14ac:dyDescent="0.4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 x14ac:dyDescent="0.4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 x14ac:dyDescent="0.4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 x14ac:dyDescent="0.4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 x14ac:dyDescent="0.4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 x14ac:dyDescent="0.4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 x14ac:dyDescent="0.4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 x14ac:dyDescent="0.4">
      <c r="A888" s="20"/>
      <c r="B888" s="16"/>
      <c r="C888" s="16"/>
      <c r="D888" s="7"/>
      <c r="E888" s="63"/>
      <c r="F888" s="16"/>
      <c r="G888" s="16"/>
      <c r="H888" s="16"/>
      <c r="I888" s="16"/>
      <c r="J888" s="16"/>
      <c r="K888" s="21"/>
    </row>
    <row r="889" spans="1:11" ht="18" x14ac:dyDescent="0.4">
      <c r="A889" s="20"/>
      <c r="B889" s="16"/>
      <c r="C889" s="16"/>
      <c r="D889" s="7"/>
      <c r="E889" s="63"/>
      <c r="F889" s="16"/>
      <c r="G889" s="16"/>
      <c r="H889" s="16"/>
      <c r="I889" s="16"/>
      <c r="J889" s="16"/>
      <c r="K889" s="21"/>
    </row>
    <row r="890" spans="1:11" ht="18" x14ac:dyDescent="0.4">
      <c r="A890" s="20"/>
      <c r="B890" s="16"/>
      <c r="C890" s="16"/>
      <c r="D890" s="7"/>
      <c r="E890" s="63"/>
      <c r="F890" s="16"/>
      <c r="G890" s="16"/>
      <c r="H890" s="16"/>
      <c r="I890" s="16"/>
      <c r="J890" s="16"/>
      <c r="K890" s="21"/>
    </row>
    <row r="891" spans="1:11" ht="18" x14ac:dyDescent="0.4">
      <c r="A891" s="20"/>
      <c r="B891" s="16"/>
      <c r="C891" s="16"/>
      <c r="D891" s="7"/>
      <c r="E891" s="63"/>
      <c r="F891" s="16"/>
      <c r="G891" s="16"/>
      <c r="H891" s="16"/>
      <c r="I891" s="16"/>
      <c r="J891" s="16"/>
      <c r="K891" s="21"/>
    </row>
    <row r="892" spans="1:11" ht="18" x14ac:dyDescent="0.4">
      <c r="A892" s="20"/>
      <c r="B892" s="16"/>
      <c r="C892" s="16"/>
      <c r="D892" s="7"/>
      <c r="E892" s="63"/>
      <c r="F892" s="16"/>
      <c r="G892" s="16"/>
      <c r="H892" s="16"/>
      <c r="I892" s="16"/>
      <c r="J892" s="16"/>
      <c r="K892" s="21"/>
    </row>
    <row r="893" spans="1:11" ht="18" x14ac:dyDescent="0.4">
      <c r="A893" s="20"/>
      <c r="B893" s="16"/>
      <c r="C893" s="16"/>
      <c r="D893" s="16"/>
      <c r="E893" s="63"/>
      <c r="F893" s="16"/>
      <c r="G893" s="16"/>
      <c r="H893" s="16"/>
      <c r="I893" s="16"/>
      <c r="J893" s="16"/>
      <c r="K893" s="21"/>
    </row>
    <row r="894" spans="1:11" ht="18" x14ac:dyDescent="0.4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 x14ac:dyDescent="0.4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 x14ac:dyDescent="0.4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 x14ac:dyDescent="0.4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 x14ac:dyDescent="0.4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 x14ac:dyDescent="0.4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 x14ac:dyDescent="0.4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 x14ac:dyDescent="0.4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 x14ac:dyDescent="0.4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 x14ac:dyDescent="0.4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 x14ac:dyDescent="0.4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 x14ac:dyDescent="0.4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 x14ac:dyDescent="0.4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 x14ac:dyDescent="0.4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 x14ac:dyDescent="0.4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 x14ac:dyDescent="0.4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 x14ac:dyDescent="0.4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 x14ac:dyDescent="0.4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 x14ac:dyDescent="0.4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 x14ac:dyDescent="0.4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 x14ac:dyDescent="0.4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 x14ac:dyDescent="0.4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 x14ac:dyDescent="0.4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 x14ac:dyDescent="0.4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 x14ac:dyDescent="0.4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 x14ac:dyDescent="0.4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 x14ac:dyDescent="0.4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 x14ac:dyDescent="0.4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 x14ac:dyDescent="0.4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 x14ac:dyDescent="0.4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 x14ac:dyDescent="0.4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 x14ac:dyDescent="0.4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 x14ac:dyDescent="0.4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 x14ac:dyDescent="0.4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 x14ac:dyDescent="0.4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 x14ac:dyDescent="0.4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 x14ac:dyDescent="0.4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 x14ac:dyDescent="0.4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 x14ac:dyDescent="0.4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 x14ac:dyDescent="0.4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 x14ac:dyDescent="0.4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 x14ac:dyDescent="0.4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 x14ac:dyDescent="0.4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 x14ac:dyDescent="0.4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 x14ac:dyDescent="0.4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 x14ac:dyDescent="0.4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 x14ac:dyDescent="0.4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 x14ac:dyDescent="0.4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 x14ac:dyDescent="0.4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 x14ac:dyDescent="0.4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 x14ac:dyDescent="0.4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 x14ac:dyDescent="0.4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 x14ac:dyDescent="0.4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 x14ac:dyDescent="0.4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 x14ac:dyDescent="0.4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 x14ac:dyDescent="0.4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 x14ac:dyDescent="0.4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 x14ac:dyDescent="0.4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 x14ac:dyDescent="0.4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 x14ac:dyDescent="0.4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 x14ac:dyDescent="0.4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 x14ac:dyDescent="0.4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 x14ac:dyDescent="0.4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 x14ac:dyDescent="0.4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 x14ac:dyDescent="0.4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 x14ac:dyDescent="0.4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 x14ac:dyDescent="0.4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 x14ac:dyDescent="0.4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 x14ac:dyDescent="0.4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 x14ac:dyDescent="0.4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 x14ac:dyDescent="0.4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 x14ac:dyDescent="0.4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 x14ac:dyDescent="0.4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 x14ac:dyDescent="0.4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 x14ac:dyDescent="0.4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 x14ac:dyDescent="0.4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 x14ac:dyDescent="0.4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 x14ac:dyDescent="0.4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 x14ac:dyDescent="0.4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 x14ac:dyDescent="0.4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 x14ac:dyDescent="0.4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 x14ac:dyDescent="0.4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 x14ac:dyDescent="0.4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 x14ac:dyDescent="0.4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 x14ac:dyDescent="0.4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 x14ac:dyDescent="0.4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 x14ac:dyDescent="0.4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 x14ac:dyDescent="0.4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 x14ac:dyDescent="0.4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 x14ac:dyDescent="0.4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 x14ac:dyDescent="0.4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 x14ac:dyDescent="0.4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 x14ac:dyDescent="0.4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 x14ac:dyDescent="0.4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 x14ac:dyDescent="0.4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 x14ac:dyDescent="0.4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 x14ac:dyDescent="0.4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 x14ac:dyDescent="0.4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 x14ac:dyDescent="0.4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 x14ac:dyDescent="0.4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 x14ac:dyDescent="0.4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 x14ac:dyDescent="0.4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 x14ac:dyDescent="0.4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 x14ac:dyDescent="0.4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 x14ac:dyDescent="0.4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 x14ac:dyDescent="0.4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 x14ac:dyDescent="0.4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 x14ac:dyDescent="0.4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 x14ac:dyDescent="0.4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 x14ac:dyDescent="0.4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 x14ac:dyDescent="0.4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 x14ac:dyDescent="0.4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 x14ac:dyDescent="0.4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 x14ac:dyDescent="0.4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  <row r="1008" spans="1:11" ht="18" x14ac:dyDescent="0.4">
      <c r="A1008" s="20"/>
      <c r="B1008" s="16"/>
      <c r="C1008" s="16"/>
      <c r="D1008" s="16"/>
      <c r="E1008" s="63"/>
      <c r="F1008" s="16"/>
      <c r="G1008" s="16"/>
      <c r="H1008" s="16"/>
      <c r="I1008" s="16"/>
      <c r="J1008" s="16"/>
      <c r="K1008" s="21"/>
    </row>
    <row r="1009" spans="1:11" ht="18" x14ac:dyDescent="0.4">
      <c r="A1009" s="20"/>
      <c r="B1009" s="16"/>
      <c r="C1009" s="16"/>
      <c r="D1009" s="16"/>
      <c r="E1009" s="63"/>
      <c r="F1009" s="16"/>
      <c r="G1009" s="16"/>
      <c r="H1009" s="16"/>
      <c r="I1009" s="16"/>
      <c r="J1009" s="16"/>
      <c r="K1009" s="21"/>
    </row>
    <row r="1010" spans="1:11" ht="18" x14ac:dyDescent="0.4">
      <c r="A1010" s="20"/>
      <c r="B1010" s="16"/>
      <c r="C1010" s="16"/>
      <c r="D1010" s="16"/>
      <c r="E1010" s="63"/>
      <c r="F1010" s="16"/>
      <c r="G1010" s="16"/>
      <c r="H1010" s="16"/>
      <c r="I1010" s="16"/>
      <c r="J1010" s="16"/>
      <c r="K1010" s="21"/>
    </row>
    <row r="1011" spans="1:11" ht="18" x14ac:dyDescent="0.4">
      <c r="A1011" s="20"/>
      <c r="B1011" s="16"/>
      <c r="C1011" s="16"/>
      <c r="D1011" s="16"/>
      <c r="E1011" s="63"/>
      <c r="F1011" s="16"/>
      <c r="G1011" s="16"/>
      <c r="H1011" s="16"/>
      <c r="I1011" s="16"/>
      <c r="J1011" s="16"/>
      <c r="K1011" s="21"/>
    </row>
    <row r="1012" spans="1:11" ht="18" x14ac:dyDescent="0.4">
      <c r="A1012" s="20"/>
      <c r="B1012" s="16"/>
      <c r="C1012" s="16"/>
      <c r="D1012" s="16"/>
      <c r="E1012" s="63"/>
      <c r="F1012" s="16"/>
      <c r="G1012" s="16"/>
      <c r="H1012" s="16"/>
      <c r="I1012" s="16"/>
      <c r="J1012" s="16"/>
      <c r="K1012" s="21"/>
    </row>
  </sheetData>
  <autoFilter ref="A3:N720" xr:uid="{00000000-0001-0000-0000-000000000000}"/>
  <mergeCells count="1">
    <mergeCell ref="A2:J2"/>
  </mergeCells>
  <conditionalFormatting sqref="A4:K175 A176:H191 A192:G571 A572:E573 A574:G720 A721:K1012 G572:G573 I176:K556 H192:H720 K557:K645 I557:J720 K656:K661 K664:K720">
    <cfRule type="expression" dxfId="17" priority="5">
      <formula>RegExMatch(($D4),"Done")</formula>
    </cfRule>
  </conditionalFormatting>
  <conditionalFormatting sqref="D4:D1012">
    <cfRule type="cellIs" dxfId="16" priority="3" operator="equal">
      <formula>"Not started"</formula>
    </cfRule>
    <cfRule type="cellIs" dxfId="15" priority="4" operator="equal">
      <formula>"In progress"</formula>
    </cfRule>
  </conditionalFormatting>
  <conditionalFormatting sqref="F4:F571 F574:F1012">
    <cfRule type="timePeriod" dxfId="14" priority="6" timePeriod="today">
      <formula>FLOOR(F4,1)=TODAY()</formula>
    </cfRule>
    <cfRule type="expression" dxfId="13" priority="7">
      <formula>AND($F4&lt;TODAY(), OR($D4="In progress", $D4="Not started"))</formula>
    </cfRule>
  </conditionalFormatting>
  <conditionalFormatting sqref="G4:G1012">
    <cfRule type="expression" dxfId="12" priority="2">
      <formula>AND(OR($D4="In progress",$D4="Not started" ),OR($G4=TODAY(), $G4=TODAY()+1))</formula>
    </cfRule>
  </conditionalFormatting>
  <conditionalFormatting sqref="H84">
    <cfRule type="expression" dxfId="11" priority="1">
      <formula>AND(OR($D84="In progress",$D84="Not started" ),OR($G84=TODAY(), $G84=TODAY()+1))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24F7F-9432-4BB8-9929-90AA56AECDBC}">
  <sheetPr>
    <tabColor rgb="FFFFFF00"/>
    <outlinePr summaryBelow="0" summaryRight="0"/>
    <pageSetUpPr fitToPage="1"/>
  </sheetPr>
  <dimension ref="A1:N1011"/>
  <sheetViews>
    <sheetView showGridLines="0" zoomScale="85" zoomScaleNormal="85" workbookViewId="0">
      <pane ySplit="3" topLeftCell="A648" activePane="bottomLeft" state="frozen"/>
      <selection activeCell="B1" sqref="B1"/>
      <selection pane="bottomLeft" activeCell="B1" sqref="B1"/>
    </sheetView>
  </sheetViews>
  <sheetFormatPr defaultColWidth="12.54296875" defaultRowHeight="15.75" customHeight="1" x14ac:dyDescent="0.4"/>
  <cols>
    <col min="1" max="1" width="12" style="3" customWidth="1"/>
    <col min="2" max="2" width="49.81640625" style="3" bestFit="1" customWidth="1"/>
    <col min="3" max="3" width="12.54296875" style="3" customWidth="1"/>
    <col min="4" max="4" width="19.453125" style="3" customWidth="1"/>
    <col min="5" max="5" width="12" style="69" customWidth="1"/>
    <col min="6" max="6" width="62" style="3" customWidth="1"/>
    <col min="7" max="7" width="20.7265625" style="3" customWidth="1"/>
    <col min="8" max="11" width="19.26953125" style="3" customWidth="1"/>
    <col min="12" max="13" width="12.81640625" style="3" bestFit="1" customWidth="1"/>
    <col min="14" max="14" width="34" style="3" customWidth="1"/>
    <col min="15" max="16384" width="12.54296875" style="3"/>
  </cols>
  <sheetData>
    <row r="1" spans="1:11" ht="12" customHeight="1" x14ac:dyDescent="0.4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1" ht="53.25" customHeight="1" x14ac:dyDescent="0.4">
      <c r="A2" s="114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4"/>
    </row>
    <row r="3" spans="1:11" ht="36" x14ac:dyDescent="0.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</row>
    <row r="4" spans="1:11" ht="18" x14ac:dyDescent="0.4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f ca="1">J4+1+4+1</f>
        <v>46124</v>
      </c>
      <c r="J4" s="11">
        <f t="shared" ref="J4:J260" ca="1" si="1">TODAY()</f>
        <v>46118</v>
      </c>
      <c r="K4" s="13"/>
    </row>
    <row r="5" spans="1:11" ht="18" x14ac:dyDescent="0.4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f ca="1">I4</f>
        <v>46124</v>
      </c>
      <c r="J5" s="11">
        <f t="shared" ca="1" si="1"/>
        <v>46118</v>
      </c>
      <c r="K5" s="13"/>
    </row>
    <row r="6" spans="1:11" ht="18" x14ac:dyDescent="0.4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f t="shared" ref="I6:I69" ca="1" si="2">I5</f>
        <v>46124</v>
      </c>
      <c r="J6" s="11">
        <f t="shared" ca="1" si="1"/>
        <v>46118</v>
      </c>
      <c r="K6" s="13"/>
    </row>
    <row r="7" spans="1:11" ht="18" x14ac:dyDescent="0.4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f t="shared" ca="1" si="2"/>
        <v>46124</v>
      </c>
      <c r="J7" s="11">
        <f t="shared" ca="1" si="1"/>
        <v>46118</v>
      </c>
      <c r="K7" s="13"/>
    </row>
    <row r="8" spans="1:11" ht="18" x14ac:dyDescent="0.4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f t="shared" ca="1" si="2"/>
        <v>46124</v>
      </c>
      <c r="J8" s="11">
        <f t="shared" ca="1" si="1"/>
        <v>46118</v>
      </c>
      <c r="K8" s="13"/>
    </row>
    <row r="9" spans="1:11" ht="18" x14ac:dyDescent="0.4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f t="shared" ca="1" si="2"/>
        <v>46124</v>
      </c>
      <c r="J9" s="11">
        <f t="shared" ca="1" si="1"/>
        <v>46118</v>
      </c>
      <c r="K9" s="13"/>
    </row>
    <row r="10" spans="1:11" ht="18" x14ac:dyDescent="0.4">
      <c r="A10" s="57" t="s">
        <v>0</v>
      </c>
      <c r="B10" s="57" t="s">
        <v>22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f t="shared" ca="1" si="2"/>
        <v>46124</v>
      </c>
      <c r="J10" s="11">
        <f t="shared" ca="1" si="1"/>
        <v>46118</v>
      </c>
      <c r="K10" s="13"/>
    </row>
    <row r="11" spans="1:11" ht="18" x14ac:dyDescent="0.4">
      <c r="A11" s="57" t="s">
        <v>0</v>
      </c>
      <c r="B11" s="57" t="s">
        <v>22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f t="shared" ca="1" si="2"/>
        <v>46124</v>
      </c>
      <c r="J11" s="11">
        <f t="shared" ca="1" si="1"/>
        <v>46118</v>
      </c>
      <c r="K11" s="13"/>
    </row>
    <row r="12" spans="1:11" ht="18" x14ac:dyDescent="0.4">
      <c r="A12" s="57" t="s">
        <v>0</v>
      </c>
      <c r="B12" s="57" t="s">
        <v>22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f t="shared" ca="1" si="2"/>
        <v>46124</v>
      </c>
      <c r="J12" s="11">
        <f t="shared" ca="1" si="1"/>
        <v>46118</v>
      </c>
      <c r="K12" s="13"/>
    </row>
    <row r="13" spans="1:11" ht="18" x14ac:dyDescent="0.4">
      <c r="A13" s="57" t="s">
        <v>0</v>
      </c>
      <c r="B13" s="57" t="s">
        <v>22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f t="shared" ca="1" si="2"/>
        <v>46124</v>
      </c>
      <c r="J13" s="11">
        <f t="shared" ca="1" si="1"/>
        <v>46118</v>
      </c>
      <c r="K13" s="13"/>
    </row>
    <row r="14" spans="1:11" ht="18" x14ac:dyDescent="0.4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f t="shared" ca="1" si="2"/>
        <v>46124</v>
      </c>
      <c r="J14" s="11">
        <f t="shared" ca="1" si="1"/>
        <v>46118</v>
      </c>
      <c r="K14" s="13"/>
    </row>
    <row r="15" spans="1:11" ht="18" x14ac:dyDescent="0.4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f t="shared" ca="1" si="2"/>
        <v>46124</v>
      </c>
      <c r="J15" s="11">
        <f t="shared" ca="1" si="1"/>
        <v>46118</v>
      </c>
      <c r="K15" s="13"/>
    </row>
    <row r="16" spans="1:11" ht="18" x14ac:dyDescent="0.4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f t="shared" ca="1" si="2"/>
        <v>46124</v>
      </c>
      <c r="J16" s="11">
        <f t="shared" ca="1" si="1"/>
        <v>46118</v>
      </c>
      <c r="K16" s="13"/>
    </row>
    <row r="17" spans="1:11" ht="18" x14ac:dyDescent="0.4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f t="shared" ca="1" si="2"/>
        <v>46124</v>
      </c>
      <c r="J17" s="53">
        <f t="shared" ca="1" si="1"/>
        <v>46118</v>
      </c>
      <c r="K17" s="21"/>
    </row>
    <row r="18" spans="1:11" ht="18" x14ac:dyDescent="0.4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f t="shared" ca="1" si="2"/>
        <v>46124</v>
      </c>
      <c r="J18" s="53">
        <f t="shared" ca="1" si="1"/>
        <v>46118</v>
      </c>
      <c r="K18" s="21"/>
    </row>
    <row r="19" spans="1:11" ht="18" x14ac:dyDescent="0.4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f t="shared" ca="1" si="2"/>
        <v>46124</v>
      </c>
      <c r="J19" s="53">
        <f t="shared" ca="1" si="1"/>
        <v>46118</v>
      </c>
      <c r="K19" s="21"/>
    </row>
    <row r="20" spans="1:11" ht="18" x14ac:dyDescent="0.4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f t="shared" ca="1" si="2"/>
        <v>46124</v>
      </c>
      <c r="J20" s="53">
        <f t="shared" ca="1" si="1"/>
        <v>46118</v>
      </c>
      <c r="K20" s="21"/>
    </row>
    <row r="21" spans="1:11" ht="18" x14ac:dyDescent="0.4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f t="shared" ca="1" si="2"/>
        <v>46124</v>
      </c>
      <c r="J21" s="53">
        <f t="shared" ca="1" si="1"/>
        <v>46118</v>
      </c>
      <c r="K21" s="21"/>
    </row>
    <row r="22" spans="1:11" ht="18" x14ac:dyDescent="0.4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f t="shared" ca="1" si="2"/>
        <v>46124</v>
      </c>
      <c r="J22" s="53">
        <f t="shared" ca="1" si="1"/>
        <v>46118</v>
      </c>
      <c r="K22" s="21"/>
    </row>
    <row r="23" spans="1:11" ht="18" x14ac:dyDescent="0.4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f t="shared" ca="1" si="2"/>
        <v>46124</v>
      </c>
      <c r="J23" s="53">
        <f t="shared" ca="1" si="1"/>
        <v>46118</v>
      </c>
      <c r="K23" s="21"/>
    </row>
    <row r="24" spans="1:11" ht="18" x14ac:dyDescent="0.4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f t="shared" ca="1" si="2"/>
        <v>46124</v>
      </c>
      <c r="J24" s="53">
        <f t="shared" ca="1" si="1"/>
        <v>46118</v>
      </c>
      <c r="K24" s="21"/>
    </row>
    <row r="25" spans="1:11" ht="18" x14ac:dyDescent="0.4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f t="shared" ca="1" si="2"/>
        <v>46124</v>
      </c>
      <c r="J25" s="53">
        <f t="shared" ca="1" si="1"/>
        <v>46118</v>
      </c>
      <c r="K25" s="7"/>
    </row>
    <row r="26" spans="1:11" ht="18" x14ac:dyDescent="0.4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f t="shared" ca="1" si="2"/>
        <v>46124</v>
      </c>
      <c r="J26" s="53">
        <f t="shared" ca="1" si="1"/>
        <v>46118</v>
      </c>
      <c r="K26" s="21"/>
    </row>
    <row r="27" spans="1:11" ht="18" x14ac:dyDescent="0.4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f t="shared" ca="1" si="2"/>
        <v>46124</v>
      </c>
      <c r="J27" s="53">
        <f t="shared" ca="1" si="1"/>
        <v>46118</v>
      </c>
      <c r="K27" s="21"/>
    </row>
    <row r="28" spans="1:11" ht="18" x14ac:dyDescent="0.4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f t="shared" ca="1" si="2"/>
        <v>46124</v>
      </c>
      <c r="J28" s="53">
        <f t="shared" ca="1" si="1"/>
        <v>46118</v>
      </c>
      <c r="K28" s="21"/>
    </row>
    <row r="29" spans="1:11" ht="18" x14ac:dyDescent="0.4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f t="shared" ca="1" si="2"/>
        <v>46124</v>
      </c>
      <c r="J29" s="53">
        <f t="shared" ca="1" si="1"/>
        <v>46118</v>
      </c>
      <c r="K29" s="21"/>
    </row>
    <row r="30" spans="1:11" ht="18" x14ac:dyDescent="0.4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f t="shared" ca="1" si="2"/>
        <v>46124</v>
      </c>
      <c r="J30" s="53">
        <f t="shared" ca="1" si="1"/>
        <v>46118</v>
      </c>
      <c r="K30" s="21"/>
    </row>
    <row r="31" spans="1:11" ht="18" x14ac:dyDescent="0.4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f t="shared" ca="1" si="2"/>
        <v>46124</v>
      </c>
      <c r="J31" s="11">
        <f t="shared" ca="1" si="1"/>
        <v>46118</v>
      </c>
      <c r="K31" s="13"/>
    </row>
    <row r="32" spans="1:11" ht="18" x14ac:dyDescent="0.4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f t="shared" ca="1" si="2"/>
        <v>46124</v>
      </c>
      <c r="J32" s="11">
        <f t="shared" ca="1" si="1"/>
        <v>46118</v>
      </c>
      <c r="K32" s="13"/>
    </row>
    <row r="33" spans="1:11" ht="18" x14ac:dyDescent="0.4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f t="shared" ca="1" si="2"/>
        <v>46124</v>
      </c>
      <c r="J33" s="11">
        <f t="shared" ca="1" si="1"/>
        <v>46118</v>
      </c>
      <c r="K33" s="13"/>
    </row>
    <row r="34" spans="1:11" ht="18" x14ac:dyDescent="0.4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f ca="1">I33</f>
        <v>46124</v>
      </c>
      <c r="J34" s="53">
        <f t="shared" ca="1" si="1"/>
        <v>46118</v>
      </c>
      <c r="K34" s="21"/>
    </row>
    <row r="35" spans="1:11" ht="18" x14ac:dyDescent="0.4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f ca="1">I34</f>
        <v>46124</v>
      </c>
      <c r="J35" s="53">
        <f t="shared" ca="1" si="1"/>
        <v>46118</v>
      </c>
      <c r="K35" s="21"/>
    </row>
    <row r="36" spans="1:11" ht="18" x14ac:dyDescent="0.4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f ca="1">I35</f>
        <v>46124</v>
      </c>
      <c r="J36" s="53">
        <f t="shared" ca="1" si="1"/>
        <v>46118</v>
      </c>
      <c r="K36" s="21"/>
    </row>
    <row r="37" spans="1:11" ht="15.75" customHeight="1" x14ac:dyDescent="0.4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f t="shared" ca="1" si="2"/>
        <v>46124</v>
      </c>
      <c r="J37" s="53">
        <f t="shared" ca="1" si="1"/>
        <v>46118</v>
      </c>
      <c r="K37" s="21"/>
    </row>
    <row r="38" spans="1:11" ht="18" x14ac:dyDescent="0.4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f t="shared" ca="1" si="2"/>
        <v>46124</v>
      </c>
      <c r="J38" s="53">
        <f t="shared" ca="1" si="1"/>
        <v>46118</v>
      </c>
      <c r="K38" s="7"/>
    </row>
    <row r="39" spans="1:11" ht="18" x14ac:dyDescent="0.4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f t="shared" ca="1" si="2"/>
        <v>46124</v>
      </c>
      <c r="J39" s="53">
        <f t="shared" ca="1" si="1"/>
        <v>46118</v>
      </c>
      <c r="K39" s="21"/>
    </row>
    <row r="40" spans="1:11" ht="18" x14ac:dyDescent="0.4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f t="shared" ca="1" si="2"/>
        <v>46124</v>
      </c>
      <c r="J40" s="53">
        <f t="shared" ca="1" si="1"/>
        <v>46118</v>
      </c>
      <c r="K40" s="21"/>
    </row>
    <row r="41" spans="1:11" ht="18" x14ac:dyDescent="0.4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f t="shared" ca="1" si="2"/>
        <v>46124</v>
      </c>
      <c r="J41" s="53">
        <f t="shared" ca="1" si="1"/>
        <v>46118</v>
      </c>
      <c r="K41" s="21"/>
    </row>
    <row r="42" spans="1:11" ht="18" x14ac:dyDescent="0.4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f t="shared" ca="1" si="2"/>
        <v>46124</v>
      </c>
      <c r="J42" s="53">
        <f t="shared" ca="1" si="1"/>
        <v>46118</v>
      </c>
      <c r="K42" s="21"/>
    </row>
    <row r="43" spans="1:11" ht="18" x14ac:dyDescent="0.4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f t="shared" ca="1" si="2"/>
        <v>46124</v>
      </c>
      <c r="J43" s="53">
        <f t="shared" ca="1" si="1"/>
        <v>46118</v>
      </c>
      <c r="K43" s="21"/>
    </row>
    <row r="44" spans="1:11" ht="18" x14ac:dyDescent="0.4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f t="shared" ca="1" si="2"/>
        <v>46124</v>
      </c>
      <c r="J44" s="11">
        <f t="shared" ca="1" si="1"/>
        <v>46118</v>
      </c>
      <c r="K44" s="13"/>
    </row>
    <row r="45" spans="1:11" ht="18" x14ac:dyDescent="0.4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f t="shared" ca="1" si="2"/>
        <v>46124</v>
      </c>
      <c r="J45" s="11">
        <f t="shared" ca="1" si="1"/>
        <v>46118</v>
      </c>
      <c r="K45" s="13"/>
    </row>
    <row r="46" spans="1:11" ht="18" x14ac:dyDescent="0.4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f t="shared" ca="1" si="2"/>
        <v>46124</v>
      </c>
      <c r="J46" s="11">
        <f t="shared" ca="1" si="1"/>
        <v>46118</v>
      </c>
      <c r="K46" s="13"/>
    </row>
    <row r="47" spans="1:11" ht="18" x14ac:dyDescent="0.4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f t="shared" ca="1" si="2"/>
        <v>46124</v>
      </c>
      <c r="J47" s="11">
        <f t="shared" ca="1" si="1"/>
        <v>46118</v>
      </c>
      <c r="K47" s="13"/>
    </row>
    <row r="48" spans="1:11" ht="18" x14ac:dyDescent="0.4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f t="shared" ca="1" si="2"/>
        <v>46124</v>
      </c>
      <c r="J48" s="53">
        <f t="shared" ca="1" si="1"/>
        <v>46118</v>
      </c>
      <c r="K48" s="54"/>
    </row>
    <row r="49" spans="1:11" ht="18" x14ac:dyDescent="0.4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f t="shared" ca="1" si="2"/>
        <v>46124</v>
      </c>
      <c r="J49" s="53">
        <f t="shared" ca="1" si="1"/>
        <v>46118</v>
      </c>
      <c r="K49" s="21"/>
    </row>
    <row r="50" spans="1:11" ht="18" x14ac:dyDescent="0.4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f t="shared" ca="1" si="2"/>
        <v>46124</v>
      </c>
      <c r="J50" s="53">
        <f t="shared" ca="1" si="1"/>
        <v>46118</v>
      </c>
      <c r="K50" s="21"/>
    </row>
    <row r="51" spans="1:11" ht="18" x14ac:dyDescent="0.4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f t="shared" ca="1" si="2"/>
        <v>46124</v>
      </c>
      <c r="J51" s="53">
        <f t="shared" ca="1" si="1"/>
        <v>46118</v>
      </c>
      <c r="K51" s="7"/>
    </row>
    <row r="52" spans="1:11" ht="18" x14ac:dyDescent="0.4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f t="shared" ca="1" si="2"/>
        <v>46124</v>
      </c>
      <c r="J52" s="11">
        <f t="shared" ca="1" si="1"/>
        <v>46118</v>
      </c>
      <c r="K52" s="13"/>
    </row>
    <row r="53" spans="1:11" ht="18" x14ac:dyDescent="0.4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f t="shared" ca="1" si="2"/>
        <v>46124</v>
      </c>
      <c r="J53" s="11">
        <f t="shared" ca="1" si="1"/>
        <v>46118</v>
      </c>
      <c r="K53" s="13"/>
    </row>
    <row r="54" spans="1:11" ht="18" x14ac:dyDescent="0.4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f t="shared" ca="1" si="2"/>
        <v>46124</v>
      </c>
      <c r="J54" s="11">
        <f t="shared" ca="1" si="1"/>
        <v>46118</v>
      </c>
      <c r="K54" s="13"/>
    </row>
    <row r="55" spans="1:11" ht="18" x14ac:dyDescent="0.4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f t="shared" ca="1" si="2"/>
        <v>46124</v>
      </c>
      <c r="J55" s="11">
        <f t="shared" ca="1" si="1"/>
        <v>46118</v>
      </c>
      <c r="K55" s="13"/>
    </row>
    <row r="56" spans="1:11" ht="18" x14ac:dyDescent="0.4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f t="shared" ca="1" si="2"/>
        <v>46124</v>
      </c>
      <c r="J56" s="11">
        <f t="shared" ca="1" si="1"/>
        <v>46118</v>
      </c>
      <c r="K56" s="13"/>
    </row>
    <row r="57" spans="1:11" ht="18" x14ac:dyDescent="0.4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f t="shared" ca="1" si="2"/>
        <v>46124</v>
      </c>
      <c r="J57" s="53">
        <f t="shared" ca="1" si="1"/>
        <v>46118</v>
      </c>
      <c r="K57" s="21"/>
    </row>
    <row r="58" spans="1:11" ht="18" x14ac:dyDescent="0.4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f t="shared" ca="1" si="2"/>
        <v>46124</v>
      </c>
      <c r="J58" s="53">
        <f t="shared" ca="1" si="1"/>
        <v>46118</v>
      </c>
      <c r="K58" s="21"/>
    </row>
    <row r="59" spans="1:11" ht="18" x14ac:dyDescent="0.4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f t="shared" ca="1" si="2"/>
        <v>46124</v>
      </c>
      <c r="J59" s="53">
        <f t="shared" ca="1" si="1"/>
        <v>46118</v>
      </c>
      <c r="K59" s="7"/>
    </row>
    <row r="60" spans="1:11" ht="18" x14ac:dyDescent="0.4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f t="shared" ca="1" si="2"/>
        <v>46124</v>
      </c>
      <c r="J60" s="11">
        <f t="shared" ca="1" si="1"/>
        <v>46118</v>
      </c>
      <c r="K60" s="13"/>
    </row>
    <row r="61" spans="1:11" ht="18" x14ac:dyDescent="0.4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f t="shared" ca="1" si="2"/>
        <v>46124</v>
      </c>
      <c r="J61" s="11">
        <f t="shared" ca="1" si="1"/>
        <v>46118</v>
      </c>
      <c r="K61" s="13"/>
    </row>
    <row r="62" spans="1:11" ht="18" x14ac:dyDescent="0.4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f t="shared" ca="1" si="2"/>
        <v>46124</v>
      </c>
      <c r="J62" s="11">
        <f t="shared" ca="1" si="1"/>
        <v>46118</v>
      </c>
      <c r="K62" s="13"/>
    </row>
    <row r="63" spans="1:11" ht="18" x14ac:dyDescent="0.4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f t="shared" ca="1" si="2"/>
        <v>46124</v>
      </c>
      <c r="J63" s="53">
        <f t="shared" ca="1" si="1"/>
        <v>46118</v>
      </c>
      <c r="K63" s="21"/>
    </row>
    <row r="64" spans="1:11" ht="18" x14ac:dyDescent="0.4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f t="shared" ca="1" si="2"/>
        <v>46124</v>
      </c>
      <c r="J64" s="53">
        <f t="shared" ca="1" si="1"/>
        <v>46118</v>
      </c>
      <c r="K64" s="21"/>
    </row>
    <row r="65" spans="1:11" ht="18" x14ac:dyDescent="0.4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f t="shared" ca="1" si="2"/>
        <v>46124</v>
      </c>
      <c r="J65" s="53">
        <f t="shared" ca="1" si="1"/>
        <v>46118</v>
      </c>
      <c r="K65" s="21"/>
    </row>
    <row r="66" spans="1:11" ht="18" x14ac:dyDescent="0.4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f t="shared" ca="1" si="2"/>
        <v>46124</v>
      </c>
      <c r="J66" s="53">
        <f t="shared" ca="1" si="1"/>
        <v>46118</v>
      </c>
      <c r="K66" s="21"/>
    </row>
    <row r="67" spans="1:11" ht="18" x14ac:dyDescent="0.4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f t="shared" ca="1" si="2"/>
        <v>46124</v>
      </c>
      <c r="J67" s="11">
        <f t="shared" ca="1" si="1"/>
        <v>46118</v>
      </c>
      <c r="K67" s="13"/>
    </row>
    <row r="68" spans="1:11" ht="18" x14ac:dyDescent="0.4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1" si="3">+G68/E68</f>
        <v>0</v>
      </c>
      <c r="I68" s="53">
        <f t="shared" ca="1" si="2"/>
        <v>46124</v>
      </c>
      <c r="J68" s="53">
        <f t="shared" ca="1" si="1"/>
        <v>46118</v>
      </c>
      <c r="K68" s="21"/>
    </row>
    <row r="69" spans="1:11" ht="18" x14ac:dyDescent="0.4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3"/>
        <v>0</v>
      </c>
      <c r="I69" s="53">
        <f t="shared" ca="1" si="2"/>
        <v>46124</v>
      </c>
      <c r="J69" s="53">
        <f t="shared" ca="1" si="1"/>
        <v>46118</v>
      </c>
      <c r="K69" s="21"/>
    </row>
    <row r="70" spans="1:11" ht="18" x14ac:dyDescent="0.4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3"/>
        <v>0</v>
      </c>
      <c r="I70" s="53">
        <f t="shared" ref="I70:I103" ca="1" si="4">I69</f>
        <v>46124</v>
      </c>
      <c r="J70" s="53">
        <f t="shared" ca="1" si="1"/>
        <v>46118</v>
      </c>
      <c r="K70" s="21"/>
    </row>
    <row r="71" spans="1:11" ht="18" x14ac:dyDescent="0.4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3"/>
        <v>0</v>
      </c>
      <c r="I71" s="53">
        <f t="shared" ca="1" si="4"/>
        <v>46124</v>
      </c>
      <c r="J71" s="53">
        <f t="shared" ca="1" si="1"/>
        <v>46118</v>
      </c>
      <c r="K71" s="21"/>
    </row>
    <row r="72" spans="1:11" ht="18" x14ac:dyDescent="0.4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3"/>
        <v>0</v>
      </c>
      <c r="I72" s="53">
        <f t="shared" ca="1" si="4"/>
        <v>46124</v>
      </c>
      <c r="J72" s="53">
        <f t="shared" ca="1" si="1"/>
        <v>46118</v>
      </c>
      <c r="K72" s="21"/>
    </row>
    <row r="73" spans="1:11" ht="18" x14ac:dyDescent="0.4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3"/>
        <v>0</v>
      </c>
      <c r="I73" s="53">
        <f t="shared" ca="1" si="4"/>
        <v>46124</v>
      </c>
      <c r="J73" s="53">
        <f t="shared" ca="1" si="1"/>
        <v>46118</v>
      </c>
      <c r="K73" s="21"/>
    </row>
    <row r="74" spans="1:11" ht="18" x14ac:dyDescent="0.4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3"/>
        <v>0</v>
      </c>
      <c r="I74" s="53">
        <f t="shared" ca="1" si="4"/>
        <v>46124</v>
      </c>
      <c r="J74" s="53">
        <f t="shared" ca="1" si="1"/>
        <v>46118</v>
      </c>
      <c r="K74" s="21"/>
    </row>
    <row r="75" spans="1:11" ht="18" x14ac:dyDescent="0.4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3"/>
        <v>0</v>
      </c>
      <c r="I75" s="53">
        <f t="shared" ca="1" si="4"/>
        <v>46124</v>
      </c>
      <c r="J75" s="53">
        <f t="shared" ca="1" si="1"/>
        <v>46118</v>
      </c>
      <c r="K75" s="21"/>
    </row>
    <row r="76" spans="1:11" ht="18" x14ac:dyDescent="0.4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3"/>
        <v>0</v>
      </c>
      <c r="I76" s="53">
        <f t="shared" ca="1" si="4"/>
        <v>46124</v>
      </c>
      <c r="J76" s="53">
        <f t="shared" ca="1" si="1"/>
        <v>46118</v>
      </c>
      <c r="K76" s="21"/>
    </row>
    <row r="77" spans="1:11" ht="18" x14ac:dyDescent="0.4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0</v>
      </c>
      <c r="H77" s="70">
        <f t="shared" si="3"/>
        <v>0</v>
      </c>
      <c r="I77" s="53">
        <f t="shared" ca="1" si="4"/>
        <v>46124</v>
      </c>
      <c r="J77" s="53">
        <f t="shared" ca="1" si="1"/>
        <v>46118</v>
      </c>
      <c r="K77" s="21"/>
    </row>
    <row r="78" spans="1:11" ht="18" x14ac:dyDescent="0.4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3"/>
        <v>0</v>
      </c>
      <c r="I78" s="53">
        <f t="shared" ca="1" si="4"/>
        <v>46124</v>
      </c>
      <c r="J78" s="53">
        <f t="shared" ca="1" si="1"/>
        <v>46118</v>
      </c>
      <c r="K78" s="21"/>
    </row>
    <row r="79" spans="1:11" ht="18" x14ac:dyDescent="0.4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3"/>
        <v>0</v>
      </c>
      <c r="I79" s="53">
        <f t="shared" ca="1" si="4"/>
        <v>46124</v>
      </c>
      <c r="J79" s="53">
        <f t="shared" ca="1" si="1"/>
        <v>46118</v>
      </c>
      <c r="K79" s="21"/>
    </row>
    <row r="80" spans="1:11" ht="18" x14ac:dyDescent="0.4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3"/>
        <v>0</v>
      </c>
      <c r="I80" s="53">
        <f t="shared" ca="1" si="4"/>
        <v>46124</v>
      </c>
      <c r="J80" s="53">
        <f t="shared" ca="1" si="1"/>
        <v>46118</v>
      </c>
      <c r="K80" s="21"/>
    </row>
    <row r="81" spans="1:11" ht="18" x14ac:dyDescent="0.4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3"/>
        <v>0</v>
      </c>
      <c r="I81" s="53">
        <f t="shared" ca="1" si="4"/>
        <v>46124</v>
      </c>
      <c r="J81" s="53">
        <f t="shared" ca="1" si="1"/>
        <v>46118</v>
      </c>
      <c r="K81" s="21"/>
    </row>
    <row r="82" spans="1:11" ht="18" x14ac:dyDescent="0.4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3"/>
        <v>0</v>
      </c>
      <c r="I82" s="53">
        <f t="shared" ca="1" si="4"/>
        <v>46124</v>
      </c>
      <c r="J82" s="53">
        <f t="shared" ca="1" si="1"/>
        <v>46118</v>
      </c>
      <c r="K82" s="21"/>
    </row>
    <row r="83" spans="1:11" ht="18" x14ac:dyDescent="0.4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3"/>
        <v>0</v>
      </c>
      <c r="I83" s="53">
        <f t="shared" ca="1" si="4"/>
        <v>46124</v>
      </c>
      <c r="J83" s="53">
        <f t="shared" ca="1" si="1"/>
        <v>46118</v>
      </c>
      <c r="K83" s="21"/>
    </row>
    <row r="84" spans="1:11" ht="18" x14ac:dyDescent="0.4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3"/>
        <v>0</v>
      </c>
      <c r="I84" s="55">
        <f t="shared" ca="1" si="4"/>
        <v>46124</v>
      </c>
      <c r="J84" s="55">
        <f t="shared" ca="1" si="1"/>
        <v>46118</v>
      </c>
      <c r="K84" s="56"/>
    </row>
    <row r="85" spans="1:11" ht="18" x14ac:dyDescent="0.4">
      <c r="A85" s="7" t="s">
        <v>98</v>
      </c>
      <c r="B85" s="85" t="s">
        <v>99</v>
      </c>
      <c r="C85" s="8">
        <v>1097</v>
      </c>
      <c r="D85" s="9">
        <v>463606330</v>
      </c>
      <c r="E85" s="57">
        <v>32</v>
      </c>
      <c r="F85" s="10" t="s">
        <v>698</v>
      </c>
      <c r="G85" s="88">
        <v>0</v>
      </c>
      <c r="H85" s="70">
        <f t="shared" si="3"/>
        <v>0</v>
      </c>
      <c r="I85" s="11">
        <f t="shared" ca="1" si="4"/>
        <v>46124</v>
      </c>
      <c r="J85" s="11">
        <f t="shared" ca="1" si="1"/>
        <v>46118</v>
      </c>
      <c r="K85" s="13"/>
    </row>
    <row r="86" spans="1:11" ht="18" x14ac:dyDescent="0.4">
      <c r="A86" s="7" t="s">
        <v>98</v>
      </c>
      <c r="B86" s="86" t="s">
        <v>99</v>
      </c>
      <c r="C86" s="8">
        <v>1097</v>
      </c>
      <c r="D86" s="9">
        <v>463606290</v>
      </c>
      <c r="E86" s="57">
        <v>32</v>
      </c>
      <c r="F86" s="10" t="s">
        <v>698</v>
      </c>
      <c r="G86" s="88">
        <v>0</v>
      </c>
      <c r="H86" s="70">
        <f t="shared" si="3"/>
        <v>0</v>
      </c>
      <c r="I86" s="11">
        <f t="shared" ca="1" si="4"/>
        <v>46124</v>
      </c>
      <c r="J86" s="11">
        <f t="shared" ca="1" si="1"/>
        <v>46118</v>
      </c>
      <c r="K86" s="13"/>
    </row>
    <row r="87" spans="1:11" ht="18" x14ac:dyDescent="0.4">
      <c r="A87" s="7" t="s">
        <v>98</v>
      </c>
      <c r="B87" s="86" t="s">
        <v>99</v>
      </c>
      <c r="C87" s="8">
        <v>1097</v>
      </c>
      <c r="D87" s="9">
        <v>463563840</v>
      </c>
      <c r="E87" s="57">
        <v>24</v>
      </c>
      <c r="F87" s="10" t="s">
        <v>699</v>
      </c>
      <c r="G87" s="88">
        <v>0</v>
      </c>
      <c r="H87" s="70">
        <f t="shared" si="3"/>
        <v>0</v>
      </c>
      <c r="I87" s="11">
        <f t="shared" ca="1" si="4"/>
        <v>46124</v>
      </c>
      <c r="J87" s="11">
        <f t="shared" ca="1" si="1"/>
        <v>46118</v>
      </c>
      <c r="K87" s="13"/>
    </row>
    <row r="88" spans="1:11" ht="18" x14ac:dyDescent="0.4">
      <c r="A88" s="7" t="s">
        <v>98</v>
      </c>
      <c r="B88" s="85" t="s">
        <v>99</v>
      </c>
      <c r="C88" s="8">
        <v>1097</v>
      </c>
      <c r="D88" s="9">
        <v>463504300</v>
      </c>
      <c r="E88" s="57">
        <v>24</v>
      </c>
      <c r="F88" s="10" t="s">
        <v>699</v>
      </c>
      <c r="G88" s="88">
        <v>0</v>
      </c>
      <c r="H88" s="70">
        <f t="shared" si="3"/>
        <v>0</v>
      </c>
      <c r="I88" s="11">
        <f t="shared" ca="1" si="4"/>
        <v>46124</v>
      </c>
      <c r="J88" s="11">
        <f t="shared" ca="1" si="1"/>
        <v>46118</v>
      </c>
      <c r="K88" s="13"/>
    </row>
    <row r="89" spans="1:11" ht="18" x14ac:dyDescent="0.4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700</v>
      </c>
      <c r="G89" s="88">
        <v>0</v>
      </c>
      <c r="H89" s="70">
        <f t="shared" si="3"/>
        <v>0</v>
      </c>
      <c r="I89" s="11">
        <f t="shared" ca="1" si="4"/>
        <v>46124</v>
      </c>
      <c r="J89" s="11">
        <f t="shared" ca="1" si="1"/>
        <v>46118</v>
      </c>
      <c r="K89" s="13"/>
    </row>
    <row r="90" spans="1:11" ht="18" x14ac:dyDescent="0.4">
      <c r="A90" s="7" t="s">
        <v>98</v>
      </c>
      <c r="B90" s="85" t="s">
        <v>99</v>
      </c>
      <c r="C90" s="8">
        <v>1097</v>
      </c>
      <c r="D90" s="9">
        <v>463571360</v>
      </c>
      <c r="E90" s="57">
        <v>24</v>
      </c>
      <c r="F90" s="10" t="s">
        <v>700</v>
      </c>
      <c r="G90" s="88">
        <v>0</v>
      </c>
      <c r="H90" s="70">
        <f t="shared" si="3"/>
        <v>0</v>
      </c>
      <c r="I90" s="11">
        <f t="shared" ca="1" si="4"/>
        <v>46124</v>
      </c>
      <c r="J90" s="11">
        <f t="shared" ca="1" si="1"/>
        <v>46118</v>
      </c>
      <c r="K90" s="13"/>
    </row>
    <row r="91" spans="1:11" ht="18" x14ac:dyDescent="0.4">
      <c r="A91" s="7" t="s">
        <v>98</v>
      </c>
      <c r="B91" s="85" t="s">
        <v>99</v>
      </c>
      <c r="C91" s="8">
        <v>1097</v>
      </c>
      <c r="D91" s="9">
        <v>463602320</v>
      </c>
      <c r="E91" s="57">
        <v>24</v>
      </c>
      <c r="F91" s="10" t="s">
        <v>701</v>
      </c>
      <c r="G91" s="88">
        <v>0</v>
      </c>
      <c r="H91" s="70">
        <f t="shared" si="3"/>
        <v>0</v>
      </c>
      <c r="I91" s="11">
        <f t="shared" ca="1" si="4"/>
        <v>46124</v>
      </c>
      <c r="J91" s="11">
        <f t="shared" ca="1" si="1"/>
        <v>46118</v>
      </c>
      <c r="K91" s="13"/>
    </row>
    <row r="92" spans="1:11" ht="18" x14ac:dyDescent="0.4">
      <c r="A92" s="7" t="s">
        <v>98</v>
      </c>
      <c r="B92" s="85" t="s">
        <v>99</v>
      </c>
      <c r="C92" s="8">
        <v>1097</v>
      </c>
      <c r="D92" s="9">
        <v>463559530</v>
      </c>
      <c r="E92" s="57">
        <v>500</v>
      </c>
      <c r="F92" s="10" t="s">
        <v>702</v>
      </c>
      <c r="G92" s="88">
        <v>0</v>
      </c>
      <c r="H92" s="70">
        <f t="shared" si="3"/>
        <v>0</v>
      </c>
      <c r="I92" s="11">
        <f t="shared" ca="1" si="4"/>
        <v>46124</v>
      </c>
      <c r="J92" s="11">
        <f t="shared" ca="1" si="1"/>
        <v>46118</v>
      </c>
      <c r="K92" s="13"/>
    </row>
    <row r="93" spans="1:11" ht="18" x14ac:dyDescent="0.4">
      <c r="A93" s="7" t="s">
        <v>98</v>
      </c>
      <c r="B93" s="85" t="s">
        <v>108</v>
      </c>
      <c r="C93" s="8">
        <v>37866</v>
      </c>
      <c r="D93" s="9">
        <v>463535560</v>
      </c>
      <c r="E93" s="57">
        <v>800</v>
      </c>
      <c r="F93" s="10" t="s">
        <v>109</v>
      </c>
      <c r="G93" s="88">
        <v>0</v>
      </c>
      <c r="H93" s="70">
        <f t="shared" si="3"/>
        <v>0</v>
      </c>
      <c r="I93" s="11">
        <f t="shared" ca="1" si="4"/>
        <v>46124</v>
      </c>
      <c r="J93" s="11">
        <f t="shared" ca="1" si="1"/>
        <v>46118</v>
      </c>
      <c r="K93" s="13"/>
    </row>
    <row r="94" spans="1:11" ht="18" x14ac:dyDescent="0.4">
      <c r="A94" s="7" t="s">
        <v>98</v>
      </c>
      <c r="B94" s="85" t="s">
        <v>108</v>
      </c>
      <c r="C94" s="8">
        <v>37866</v>
      </c>
      <c r="D94" s="9">
        <v>463518180</v>
      </c>
      <c r="E94" s="57">
        <v>60</v>
      </c>
      <c r="F94" s="10" t="s">
        <v>110</v>
      </c>
      <c r="G94" s="88">
        <v>0</v>
      </c>
      <c r="H94" s="70">
        <f t="shared" si="3"/>
        <v>0</v>
      </c>
      <c r="I94" s="11">
        <f t="shared" ca="1" si="4"/>
        <v>46124</v>
      </c>
      <c r="J94" s="11">
        <f t="shared" ca="1" si="1"/>
        <v>46118</v>
      </c>
      <c r="K94" s="13"/>
    </row>
    <row r="95" spans="1:11" ht="18" x14ac:dyDescent="0.4">
      <c r="A95" s="7" t="s">
        <v>98</v>
      </c>
      <c r="B95" s="85" t="s">
        <v>108</v>
      </c>
      <c r="C95" s="8">
        <v>37866</v>
      </c>
      <c r="D95" s="9">
        <v>463480050</v>
      </c>
      <c r="E95" s="57">
        <v>800</v>
      </c>
      <c r="F95" s="10" t="s">
        <v>111</v>
      </c>
      <c r="G95" s="88">
        <v>0</v>
      </c>
      <c r="H95" s="70">
        <f t="shared" si="3"/>
        <v>0</v>
      </c>
      <c r="I95" s="11">
        <f t="shared" ca="1" si="4"/>
        <v>46124</v>
      </c>
      <c r="J95" s="11">
        <f t="shared" ca="1" si="1"/>
        <v>46118</v>
      </c>
      <c r="K95" s="13"/>
    </row>
    <row r="96" spans="1:11" ht="18" x14ac:dyDescent="0.4">
      <c r="A96" s="7" t="s">
        <v>98</v>
      </c>
      <c r="B96" s="85" t="s">
        <v>108</v>
      </c>
      <c r="C96" s="8">
        <v>37866</v>
      </c>
      <c r="D96" s="9">
        <v>463479660</v>
      </c>
      <c r="E96" s="57">
        <v>60</v>
      </c>
      <c r="F96" s="10" t="s">
        <v>110</v>
      </c>
      <c r="G96" s="88">
        <v>0</v>
      </c>
      <c r="H96" s="70">
        <f t="shared" si="3"/>
        <v>0</v>
      </c>
      <c r="I96" s="11">
        <f t="shared" ca="1" si="4"/>
        <v>46124</v>
      </c>
      <c r="J96" s="11">
        <f t="shared" ca="1" si="1"/>
        <v>46118</v>
      </c>
      <c r="K96" s="13"/>
    </row>
    <row r="97" spans="1:11" ht="18" x14ac:dyDescent="0.4">
      <c r="A97" s="7" t="s">
        <v>98</v>
      </c>
      <c r="B97" s="85" t="s">
        <v>108</v>
      </c>
      <c r="C97" s="8">
        <v>37866</v>
      </c>
      <c r="D97" s="9">
        <v>463542820</v>
      </c>
      <c r="E97" s="57">
        <v>60</v>
      </c>
      <c r="F97" s="10" t="s">
        <v>112</v>
      </c>
      <c r="G97" s="88">
        <v>0</v>
      </c>
      <c r="H97" s="70">
        <f t="shared" si="3"/>
        <v>0</v>
      </c>
      <c r="I97" s="11">
        <f t="shared" ca="1" si="4"/>
        <v>46124</v>
      </c>
      <c r="J97" s="11">
        <f t="shared" ca="1" si="1"/>
        <v>46118</v>
      </c>
      <c r="K97" s="13"/>
    </row>
    <row r="98" spans="1:11" ht="18" x14ac:dyDescent="0.4">
      <c r="A98" s="7" t="s">
        <v>98</v>
      </c>
      <c r="B98" s="85" t="s">
        <v>108</v>
      </c>
      <c r="C98" s="8">
        <v>37866</v>
      </c>
      <c r="D98" s="9">
        <v>463465610</v>
      </c>
      <c r="E98" s="57">
        <v>800</v>
      </c>
      <c r="F98" s="10" t="s">
        <v>113</v>
      </c>
      <c r="G98" s="88">
        <v>0</v>
      </c>
      <c r="H98" s="70">
        <f t="shared" si="3"/>
        <v>0</v>
      </c>
      <c r="I98" s="11">
        <f t="shared" ca="1" si="4"/>
        <v>46124</v>
      </c>
      <c r="J98" s="11">
        <f t="shared" ca="1" si="1"/>
        <v>46118</v>
      </c>
      <c r="K98" s="13"/>
    </row>
    <row r="99" spans="1:11" ht="18" x14ac:dyDescent="0.4">
      <c r="A99" s="7" t="s">
        <v>98</v>
      </c>
      <c r="B99" s="85" t="s">
        <v>108</v>
      </c>
      <c r="C99" s="8">
        <v>37866</v>
      </c>
      <c r="D99" s="9">
        <v>463599360</v>
      </c>
      <c r="E99" s="57">
        <v>60</v>
      </c>
      <c r="F99" s="10" t="s">
        <v>115</v>
      </c>
      <c r="G99" s="88">
        <v>0</v>
      </c>
      <c r="H99" s="70">
        <f t="shared" si="3"/>
        <v>0</v>
      </c>
      <c r="I99" s="11">
        <f t="shared" ca="1" si="4"/>
        <v>46124</v>
      </c>
      <c r="J99" s="11">
        <f t="shared" ca="1" si="1"/>
        <v>46118</v>
      </c>
      <c r="K99" s="13"/>
    </row>
    <row r="100" spans="1:11" ht="18" x14ac:dyDescent="0.4">
      <c r="A100" s="7" t="s">
        <v>98</v>
      </c>
      <c r="B100" s="85" t="s">
        <v>108</v>
      </c>
      <c r="C100" s="8">
        <v>37866</v>
      </c>
      <c r="D100" s="9">
        <v>463450640</v>
      </c>
      <c r="E100" s="57">
        <v>60</v>
      </c>
      <c r="F100" s="10" t="s">
        <v>116</v>
      </c>
      <c r="G100" s="88">
        <v>0</v>
      </c>
      <c r="H100" s="70">
        <f t="shared" si="3"/>
        <v>0</v>
      </c>
      <c r="I100" s="11">
        <f t="shared" ca="1" si="4"/>
        <v>46124</v>
      </c>
      <c r="J100" s="11">
        <f t="shared" ca="1" si="1"/>
        <v>46118</v>
      </c>
      <c r="K100" s="13"/>
    </row>
    <row r="101" spans="1:11" ht="18" x14ac:dyDescent="0.4">
      <c r="A101" s="7" t="s">
        <v>98</v>
      </c>
      <c r="B101" s="85" t="s">
        <v>108</v>
      </c>
      <c r="C101" s="8">
        <v>37866</v>
      </c>
      <c r="D101" s="9">
        <v>463497920</v>
      </c>
      <c r="E101" s="57">
        <v>60</v>
      </c>
      <c r="F101" s="10" t="s">
        <v>117</v>
      </c>
      <c r="G101" s="88">
        <v>0</v>
      </c>
      <c r="H101" s="70">
        <f t="shared" si="3"/>
        <v>0</v>
      </c>
      <c r="I101" s="11">
        <f t="shared" ca="1" si="4"/>
        <v>46124</v>
      </c>
      <c r="J101" s="11">
        <f t="shared" ca="1" si="1"/>
        <v>46118</v>
      </c>
      <c r="K101" s="13"/>
    </row>
    <row r="102" spans="1:11" ht="18" x14ac:dyDescent="0.4">
      <c r="A102" s="7" t="s">
        <v>98</v>
      </c>
      <c r="B102" s="85" t="s">
        <v>108</v>
      </c>
      <c r="C102" s="8">
        <v>37866</v>
      </c>
      <c r="D102" s="9">
        <v>463563850</v>
      </c>
      <c r="E102" s="57">
        <v>60</v>
      </c>
      <c r="F102" s="10" t="s">
        <v>117</v>
      </c>
      <c r="G102" s="88">
        <v>0</v>
      </c>
      <c r="H102" s="70">
        <f t="shared" si="3"/>
        <v>0</v>
      </c>
      <c r="I102" s="11">
        <f t="shared" ca="1" si="4"/>
        <v>46124</v>
      </c>
      <c r="J102" s="11">
        <f t="shared" ca="1" si="1"/>
        <v>46118</v>
      </c>
      <c r="K102" s="13"/>
    </row>
    <row r="103" spans="1:11" ht="18" x14ac:dyDescent="0.4">
      <c r="A103" s="7" t="s">
        <v>98</v>
      </c>
      <c r="B103" s="85" t="s">
        <v>108</v>
      </c>
      <c r="C103" s="8">
        <v>37866</v>
      </c>
      <c r="D103" s="9">
        <v>463564120</v>
      </c>
      <c r="E103" s="57">
        <v>60</v>
      </c>
      <c r="F103" s="10" t="s">
        <v>118</v>
      </c>
      <c r="G103" s="88">
        <v>0</v>
      </c>
      <c r="H103" s="70">
        <f t="shared" si="3"/>
        <v>0</v>
      </c>
      <c r="I103" s="11">
        <f t="shared" ca="1" si="4"/>
        <v>46124</v>
      </c>
      <c r="J103" s="11">
        <f t="shared" ca="1" si="1"/>
        <v>46118</v>
      </c>
      <c r="K103" s="13"/>
    </row>
    <row r="104" spans="1:11" ht="18" x14ac:dyDescent="0.4">
      <c r="A104" s="7" t="s">
        <v>98</v>
      </c>
      <c r="B104" s="85" t="s">
        <v>108</v>
      </c>
      <c r="C104" s="8">
        <v>37866</v>
      </c>
      <c r="D104" s="9">
        <v>463577620</v>
      </c>
      <c r="E104" s="57">
        <v>60</v>
      </c>
      <c r="F104" s="10" t="s">
        <v>119</v>
      </c>
      <c r="G104" s="88">
        <v>0</v>
      </c>
      <c r="H104" s="70">
        <f t="shared" si="3"/>
        <v>0</v>
      </c>
      <c r="I104" s="11">
        <f ca="1">I96</f>
        <v>46124</v>
      </c>
      <c r="J104" s="11">
        <f t="shared" ca="1" si="1"/>
        <v>46118</v>
      </c>
      <c r="K104" s="13"/>
    </row>
    <row r="105" spans="1:11" ht="18" x14ac:dyDescent="0.4">
      <c r="A105" s="7" t="s">
        <v>98</v>
      </c>
      <c r="B105" s="85" t="s">
        <v>108</v>
      </c>
      <c r="C105" s="8">
        <v>37866</v>
      </c>
      <c r="D105" s="9">
        <v>463578580</v>
      </c>
      <c r="E105" s="57">
        <v>60</v>
      </c>
      <c r="F105" s="10" t="s">
        <v>120</v>
      </c>
      <c r="G105" s="88">
        <v>0</v>
      </c>
      <c r="H105" s="70">
        <f t="shared" si="3"/>
        <v>0</v>
      </c>
      <c r="I105" s="11">
        <f t="shared" ref="I105:I168" ca="1" si="5">I97</f>
        <v>46124</v>
      </c>
      <c r="J105" s="11">
        <f t="shared" ca="1" si="1"/>
        <v>46118</v>
      </c>
      <c r="K105" s="13"/>
    </row>
    <row r="106" spans="1:11" ht="18" x14ac:dyDescent="0.4">
      <c r="A106" s="7" t="s">
        <v>98</v>
      </c>
      <c r="B106" s="85" t="s">
        <v>108</v>
      </c>
      <c r="C106" s="8">
        <v>37866</v>
      </c>
      <c r="D106" s="9">
        <v>463576540</v>
      </c>
      <c r="E106" s="57">
        <v>60</v>
      </c>
      <c r="F106" s="10" t="s">
        <v>121</v>
      </c>
      <c r="G106" s="88">
        <v>0</v>
      </c>
      <c r="H106" s="70">
        <f t="shared" si="3"/>
        <v>0</v>
      </c>
      <c r="I106" s="11">
        <f t="shared" ca="1" si="5"/>
        <v>46124</v>
      </c>
      <c r="J106" s="11">
        <f t="shared" ca="1" si="1"/>
        <v>46118</v>
      </c>
      <c r="K106" s="13"/>
    </row>
    <row r="107" spans="1:11" ht="18" x14ac:dyDescent="0.4">
      <c r="A107" s="7" t="s">
        <v>98</v>
      </c>
      <c r="B107" s="85" t="s">
        <v>108</v>
      </c>
      <c r="C107" s="8">
        <v>37866</v>
      </c>
      <c r="D107" s="9">
        <v>463571180</v>
      </c>
      <c r="E107" s="57">
        <v>60</v>
      </c>
      <c r="F107" s="10" t="s">
        <v>122</v>
      </c>
      <c r="G107" s="88">
        <v>0</v>
      </c>
      <c r="H107" s="70">
        <f t="shared" si="3"/>
        <v>0</v>
      </c>
      <c r="I107" s="11">
        <f t="shared" ca="1" si="5"/>
        <v>46124</v>
      </c>
      <c r="J107" s="11">
        <f t="shared" ca="1" si="1"/>
        <v>46118</v>
      </c>
      <c r="K107" s="13"/>
    </row>
    <row r="108" spans="1:11" ht="18" x14ac:dyDescent="0.4">
      <c r="A108" s="7" t="s">
        <v>98</v>
      </c>
      <c r="B108" s="85" t="s">
        <v>123</v>
      </c>
      <c r="C108" s="8">
        <v>27951</v>
      </c>
      <c r="D108" s="9">
        <v>463385060</v>
      </c>
      <c r="E108" s="57">
        <v>800</v>
      </c>
      <c r="F108" s="10" t="s">
        <v>124</v>
      </c>
      <c r="G108" s="88">
        <v>0</v>
      </c>
      <c r="H108" s="70">
        <f t="shared" si="3"/>
        <v>0</v>
      </c>
      <c r="I108" s="11">
        <f t="shared" ca="1" si="5"/>
        <v>46124</v>
      </c>
      <c r="J108" s="11">
        <f t="shared" ca="1" si="1"/>
        <v>46118</v>
      </c>
      <c r="K108" s="13"/>
    </row>
    <row r="109" spans="1:11" ht="18" x14ac:dyDescent="0.4">
      <c r="A109" s="7" t="s">
        <v>98</v>
      </c>
      <c r="B109" s="85" t="s">
        <v>123</v>
      </c>
      <c r="C109" s="8">
        <v>27951</v>
      </c>
      <c r="D109" s="9">
        <v>552821660</v>
      </c>
      <c r="E109" s="57">
        <v>600</v>
      </c>
      <c r="F109" s="10" t="s">
        <v>125</v>
      </c>
      <c r="G109" s="88">
        <v>0</v>
      </c>
      <c r="H109" s="70">
        <f t="shared" si="3"/>
        <v>0</v>
      </c>
      <c r="I109" s="11">
        <f t="shared" ca="1" si="5"/>
        <v>46124</v>
      </c>
      <c r="J109" s="11">
        <f t="shared" ca="1" si="1"/>
        <v>46118</v>
      </c>
      <c r="K109" s="13"/>
    </row>
    <row r="110" spans="1:11" ht="18" x14ac:dyDescent="0.4">
      <c r="A110" s="7" t="s">
        <v>98</v>
      </c>
      <c r="B110" s="85" t="s">
        <v>123</v>
      </c>
      <c r="C110" s="8">
        <v>27951</v>
      </c>
      <c r="D110" s="9">
        <v>552822750</v>
      </c>
      <c r="E110" s="57">
        <v>300</v>
      </c>
      <c r="F110" s="10" t="s">
        <v>126</v>
      </c>
      <c r="G110" s="88">
        <v>0</v>
      </c>
      <c r="H110" s="70">
        <f t="shared" si="3"/>
        <v>0</v>
      </c>
      <c r="I110" s="11">
        <f t="shared" ca="1" si="5"/>
        <v>46124</v>
      </c>
      <c r="J110" s="11">
        <f t="shared" ca="1" si="1"/>
        <v>46118</v>
      </c>
      <c r="K110" s="13"/>
    </row>
    <row r="111" spans="1:11" ht="18" x14ac:dyDescent="0.4">
      <c r="A111" s="7" t="s">
        <v>98</v>
      </c>
      <c r="B111" s="85" t="s">
        <v>123</v>
      </c>
      <c r="C111" s="8">
        <v>27951</v>
      </c>
      <c r="D111" s="9">
        <v>552821670</v>
      </c>
      <c r="E111" s="57">
        <v>100</v>
      </c>
      <c r="F111" s="10" t="s">
        <v>127</v>
      </c>
      <c r="G111" s="88">
        <v>0</v>
      </c>
      <c r="H111" s="70">
        <f t="shared" si="3"/>
        <v>0</v>
      </c>
      <c r="I111" s="11">
        <f t="shared" ca="1" si="5"/>
        <v>46124</v>
      </c>
      <c r="J111" s="11">
        <f t="shared" ca="1" si="1"/>
        <v>46118</v>
      </c>
      <c r="K111" s="13"/>
    </row>
    <row r="112" spans="1:11" ht="18" x14ac:dyDescent="0.4">
      <c r="A112" s="7" t="s">
        <v>98</v>
      </c>
      <c r="B112" s="85" t="s">
        <v>123</v>
      </c>
      <c r="C112" s="8">
        <v>27951</v>
      </c>
      <c r="D112" s="9">
        <v>552845970</v>
      </c>
      <c r="E112" s="57">
        <v>600</v>
      </c>
      <c r="F112" s="10" t="s">
        <v>127</v>
      </c>
      <c r="G112" s="88">
        <v>0</v>
      </c>
      <c r="H112" s="70">
        <f t="shared" si="3"/>
        <v>0</v>
      </c>
      <c r="I112" s="11">
        <f t="shared" ca="1" si="5"/>
        <v>46124</v>
      </c>
      <c r="J112" s="11">
        <f t="shared" ca="1" si="1"/>
        <v>46118</v>
      </c>
      <c r="K112" s="13"/>
    </row>
    <row r="113" spans="1:11" ht="18" x14ac:dyDescent="0.4">
      <c r="A113" s="7" t="s">
        <v>98</v>
      </c>
      <c r="B113" s="85" t="s">
        <v>123</v>
      </c>
      <c r="C113" s="8">
        <v>27951</v>
      </c>
      <c r="D113" s="9">
        <v>552798810</v>
      </c>
      <c r="E113" s="57">
        <v>250</v>
      </c>
      <c r="F113" s="10" t="s">
        <v>127</v>
      </c>
      <c r="G113" s="88">
        <v>0</v>
      </c>
      <c r="H113" s="70">
        <f t="shared" si="3"/>
        <v>0</v>
      </c>
      <c r="I113" s="11">
        <f t="shared" ca="1" si="5"/>
        <v>46124</v>
      </c>
      <c r="J113" s="11">
        <f t="shared" ca="1" si="1"/>
        <v>46118</v>
      </c>
      <c r="K113" s="13"/>
    </row>
    <row r="114" spans="1:11" ht="18" x14ac:dyDescent="0.4">
      <c r="A114" s="7" t="s">
        <v>98</v>
      </c>
      <c r="B114" s="85" t="s">
        <v>123</v>
      </c>
      <c r="C114" s="8">
        <v>27951</v>
      </c>
      <c r="D114" s="9">
        <v>552842340</v>
      </c>
      <c r="E114" s="57">
        <v>800</v>
      </c>
      <c r="F114" s="10" t="s">
        <v>127</v>
      </c>
      <c r="G114" s="88">
        <v>0</v>
      </c>
      <c r="H114" s="70">
        <f t="shared" si="3"/>
        <v>0</v>
      </c>
      <c r="I114" s="11">
        <f t="shared" ca="1" si="5"/>
        <v>46124</v>
      </c>
      <c r="J114" s="11">
        <f t="shared" ca="1" si="1"/>
        <v>46118</v>
      </c>
      <c r="K114" s="13"/>
    </row>
    <row r="115" spans="1:11" ht="18" x14ac:dyDescent="0.4">
      <c r="A115" s="7" t="s">
        <v>98</v>
      </c>
      <c r="B115" s="85" t="s">
        <v>123</v>
      </c>
      <c r="C115" s="8">
        <v>27951</v>
      </c>
      <c r="D115" s="9">
        <v>552822630</v>
      </c>
      <c r="E115" s="57">
        <v>600</v>
      </c>
      <c r="F115" s="10" t="s">
        <v>127</v>
      </c>
      <c r="G115" s="88">
        <v>0</v>
      </c>
      <c r="H115" s="70">
        <f t="shared" si="3"/>
        <v>0</v>
      </c>
      <c r="I115" s="11">
        <f t="shared" ca="1" si="5"/>
        <v>46124</v>
      </c>
      <c r="J115" s="11">
        <f t="shared" ca="1" si="1"/>
        <v>46118</v>
      </c>
      <c r="K115" s="13"/>
    </row>
    <row r="116" spans="1:11" ht="18" x14ac:dyDescent="0.4">
      <c r="A116" s="7" t="s">
        <v>98</v>
      </c>
      <c r="B116" s="85" t="s">
        <v>123</v>
      </c>
      <c r="C116" s="8">
        <v>27951</v>
      </c>
      <c r="D116" s="9">
        <v>552799020</v>
      </c>
      <c r="E116" s="57">
        <v>200</v>
      </c>
      <c r="F116" s="10" t="s">
        <v>127</v>
      </c>
      <c r="G116" s="88">
        <v>0</v>
      </c>
      <c r="H116" s="70">
        <f t="shared" si="3"/>
        <v>0</v>
      </c>
      <c r="I116" s="11">
        <f t="shared" ca="1" si="5"/>
        <v>46124</v>
      </c>
      <c r="J116" s="11">
        <f t="shared" ca="1" si="1"/>
        <v>46118</v>
      </c>
      <c r="K116" s="13"/>
    </row>
    <row r="117" spans="1:11" ht="18" x14ac:dyDescent="0.4">
      <c r="A117" s="7" t="s">
        <v>98</v>
      </c>
      <c r="B117" s="85" t="s">
        <v>123</v>
      </c>
      <c r="C117" s="8">
        <v>27951</v>
      </c>
      <c r="D117" s="9">
        <v>463369240</v>
      </c>
      <c r="E117" s="57">
        <v>500</v>
      </c>
      <c r="F117" s="10" t="s">
        <v>127</v>
      </c>
      <c r="G117" s="88">
        <v>0</v>
      </c>
      <c r="H117" s="70">
        <f t="shared" si="3"/>
        <v>0</v>
      </c>
      <c r="I117" s="11">
        <f t="shared" ca="1" si="5"/>
        <v>46124</v>
      </c>
      <c r="J117" s="11">
        <f t="shared" ca="1" si="1"/>
        <v>46118</v>
      </c>
      <c r="K117" s="13"/>
    </row>
    <row r="118" spans="1:11" ht="18" x14ac:dyDescent="0.4">
      <c r="A118" s="7" t="s">
        <v>98</v>
      </c>
      <c r="B118" s="85" t="s">
        <v>123</v>
      </c>
      <c r="C118" s="8">
        <v>27951</v>
      </c>
      <c r="D118" s="9">
        <v>463398780</v>
      </c>
      <c r="E118" s="57">
        <v>400</v>
      </c>
      <c r="F118" s="10" t="s">
        <v>128</v>
      </c>
      <c r="G118" s="88">
        <v>0</v>
      </c>
      <c r="H118" s="70">
        <f t="shared" si="3"/>
        <v>0</v>
      </c>
      <c r="I118" s="11">
        <f t="shared" ca="1" si="5"/>
        <v>46124</v>
      </c>
      <c r="J118" s="11">
        <f t="shared" ca="1" si="1"/>
        <v>46118</v>
      </c>
      <c r="K118" s="13"/>
    </row>
    <row r="119" spans="1:11" ht="18" x14ac:dyDescent="0.4">
      <c r="A119" s="7" t="s">
        <v>98</v>
      </c>
      <c r="B119" s="85" t="s">
        <v>123</v>
      </c>
      <c r="C119" s="8">
        <v>27951</v>
      </c>
      <c r="D119" s="9">
        <v>552822620</v>
      </c>
      <c r="E119" s="57">
        <v>800</v>
      </c>
      <c r="F119" s="10" t="s">
        <v>129</v>
      </c>
      <c r="G119" s="88">
        <v>0</v>
      </c>
      <c r="H119" s="70">
        <f t="shared" si="3"/>
        <v>0</v>
      </c>
      <c r="I119" s="11">
        <f t="shared" ca="1" si="5"/>
        <v>46124</v>
      </c>
      <c r="J119" s="11">
        <f t="shared" ca="1" si="1"/>
        <v>46118</v>
      </c>
      <c r="K119" s="13"/>
    </row>
    <row r="120" spans="1:11" ht="18" x14ac:dyDescent="0.4">
      <c r="A120" s="7" t="s">
        <v>98</v>
      </c>
      <c r="B120" s="85" t="s">
        <v>123</v>
      </c>
      <c r="C120" s="8">
        <v>27951</v>
      </c>
      <c r="D120" s="9">
        <v>463473640</v>
      </c>
      <c r="E120" s="57">
        <v>500</v>
      </c>
      <c r="F120" s="10" t="s">
        <v>130</v>
      </c>
      <c r="G120" s="88">
        <v>0</v>
      </c>
      <c r="H120" s="70">
        <f t="shared" si="3"/>
        <v>0</v>
      </c>
      <c r="I120" s="11">
        <f t="shared" ca="1" si="5"/>
        <v>46124</v>
      </c>
      <c r="J120" s="11">
        <f t="shared" ca="1" si="1"/>
        <v>46118</v>
      </c>
      <c r="K120" s="13"/>
    </row>
    <row r="121" spans="1:11" ht="18" x14ac:dyDescent="0.4">
      <c r="A121" s="7" t="s">
        <v>98</v>
      </c>
      <c r="B121" s="85" t="s">
        <v>123</v>
      </c>
      <c r="C121" s="8">
        <v>27951</v>
      </c>
      <c r="D121" s="9">
        <v>552831540</v>
      </c>
      <c r="E121" s="57">
        <v>400</v>
      </c>
      <c r="F121" s="10" t="s">
        <v>131</v>
      </c>
      <c r="G121" s="88">
        <v>0</v>
      </c>
      <c r="H121" s="70">
        <f t="shared" si="3"/>
        <v>0</v>
      </c>
      <c r="I121" s="11">
        <f t="shared" ca="1" si="5"/>
        <v>46124</v>
      </c>
      <c r="J121" s="11">
        <f t="shared" ca="1" si="1"/>
        <v>46118</v>
      </c>
      <c r="K121" s="13"/>
    </row>
    <row r="122" spans="1:11" ht="18" x14ac:dyDescent="0.4">
      <c r="A122" s="7" t="s">
        <v>98</v>
      </c>
      <c r="B122" s="85" t="s">
        <v>123</v>
      </c>
      <c r="C122" s="8">
        <v>27951</v>
      </c>
      <c r="D122" s="9">
        <v>187517280</v>
      </c>
      <c r="E122" s="57">
        <v>400</v>
      </c>
      <c r="F122" s="10" t="s">
        <v>132</v>
      </c>
      <c r="G122" s="88">
        <v>0</v>
      </c>
      <c r="H122" s="70">
        <f t="shared" si="3"/>
        <v>0</v>
      </c>
      <c r="I122" s="11">
        <f t="shared" ca="1" si="5"/>
        <v>46124</v>
      </c>
      <c r="J122" s="11">
        <f t="shared" ca="1" si="1"/>
        <v>46118</v>
      </c>
      <c r="K122" s="13"/>
    </row>
    <row r="123" spans="1:11" ht="18" x14ac:dyDescent="0.4">
      <c r="A123" s="7" t="s">
        <v>98</v>
      </c>
      <c r="B123" s="85" t="s">
        <v>123</v>
      </c>
      <c r="C123" s="8">
        <v>27951</v>
      </c>
      <c r="D123" s="9">
        <v>552822460</v>
      </c>
      <c r="E123" s="57">
        <v>650</v>
      </c>
      <c r="F123" s="10" t="s">
        <v>133</v>
      </c>
      <c r="G123" s="88">
        <v>0</v>
      </c>
      <c r="H123" s="70">
        <f t="shared" si="3"/>
        <v>0</v>
      </c>
      <c r="I123" s="11">
        <f t="shared" ca="1" si="5"/>
        <v>46124</v>
      </c>
      <c r="J123" s="11">
        <f t="shared" ca="1" si="1"/>
        <v>46118</v>
      </c>
      <c r="K123" s="13"/>
    </row>
    <row r="124" spans="1:11" ht="18" x14ac:dyDescent="0.4">
      <c r="A124" s="7" t="s">
        <v>98</v>
      </c>
      <c r="B124" s="85" t="s">
        <v>123</v>
      </c>
      <c r="C124" s="8">
        <v>27951</v>
      </c>
      <c r="D124" s="9">
        <v>552821610</v>
      </c>
      <c r="E124" s="57">
        <v>150</v>
      </c>
      <c r="F124" s="10" t="s">
        <v>134</v>
      </c>
      <c r="G124" s="88">
        <v>0</v>
      </c>
      <c r="H124" s="70">
        <f t="shared" si="3"/>
        <v>0</v>
      </c>
      <c r="I124" s="11">
        <f t="shared" ca="1" si="5"/>
        <v>46124</v>
      </c>
      <c r="J124" s="11">
        <f t="shared" ca="1" si="1"/>
        <v>46118</v>
      </c>
      <c r="K124" s="13"/>
    </row>
    <row r="125" spans="1:11" ht="18" x14ac:dyDescent="0.4">
      <c r="A125" s="7" t="s">
        <v>98</v>
      </c>
      <c r="B125" s="85" t="s">
        <v>123</v>
      </c>
      <c r="C125" s="8">
        <v>27951</v>
      </c>
      <c r="D125" s="9">
        <v>552842370</v>
      </c>
      <c r="E125" s="57">
        <v>400</v>
      </c>
      <c r="F125" s="10" t="s">
        <v>135</v>
      </c>
      <c r="G125" s="88">
        <v>0</v>
      </c>
      <c r="H125" s="70">
        <f t="shared" si="3"/>
        <v>0</v>
      </c>
      <c r="I125" s="11">
        <f t="shared" ca="1" si="5"/>
        <v>46124</v>
      </c>
      <c r="J125" s="11">
        <f t="shared" ca="1" si="1"/>
        <v>46118</v>
      </c>
      <c r="K125" s="13"/>
    </row>
    <row r="126" spans="1:11" ht="18" x14ac:dyDescent="0.4">
      <c r="A126" s="7" t="s">
        <v>98</v>
      </c>
      <c r="B126" s="86" t="s">
        <v>123</v>
      </c>
      <c r="C126" s="8">
        <v>27951</v>
      </c>
      <c r="D126" s="9">
        <v>552821600</v>
      </c>
      <c r="E126" s="57">
        <v>300</v>
      </c>
      <c r="F126" s="10" t="s">
        <v>136</v>
      </c>
      <c r="G126" s="88">
        <v>0</v>
      </c>
      <c r="H126" s="70">
        <f t="shared" si="3"/>
        <v>0</v>
      </c>
      <c r="I126" s="11">
        <f t="shared" ca="1" si="5"/>
        <v>46124</v>
      </c>
      <c r="J126" s="11">
        <f t="shared" ca="1" si="1"/>
        <v>46118</v>
      </c>
      <c r="K126" s="13"/>
    </row>
    <row r="127" spans="1:11" ht="18" x14ac:dyDescent="0.4">
      <c r="A127" s="7" t="s">
        <v>98</v>
      </c>
      <c r="B127" s="86" t="s">
        <v>137</v>
      </c>
      <c r="C127" s="8">
        <v>36019</v>
      </c>
      <c r="D127" s="9">
        <v>463385060</v>
      </c>
      <c r="E127" s="57">
        <v>800</v>
      </c>
      <c r="F127" s="10" t="s">
        <v>124</v>
      </c>
      <c r="G127" s="88">
        <v>0</v>
      </c>
      <c r="H127" s="70">
        <f t="shared" si="3"/>
        <v>0</v>
      </c>
      <c r="I127" s="11">
        <f t="shared" ca="1" si="5"/>
        <v>46124</v>
      </c>
      <c r="J127" s="11">
        <f t="shared" ca="1" si="1"/>
        <v>46118</v>
      </c>
      <c r="K127" s="13"/>
    </row>
    <row r="128" spans="1:11" ht="18" x14ac:dyDescent="0.4">
      <c r="A128" s="7" t="s">
        <v>98</v>
      </c>
      <c r="B128" s="86" t="s">
        <v>137</v>
      </c>
      <c r="C128" s="8">
        <v>36019</v>
      </c>
      <c r="D128" s="9">
        <v>552821660</v>
      </c>
      <c r="E128" s="57">
        <v>600</v>
      </c>
      <c r="F128" s="10" t="s">
        <v>125</v>
      </c>
      <c r="G128" s="88">
        <v>0</v>
      </c>
      <c r="H128" s="70">
        <f t="shared" si="3"/>
        <v>0</v>
      </c>
      <c r="I128" s="11">
        <f t="shared" ca="1" si="5"/>
        <v>46124</v>
      </c>
      <c r="J128" s="11">
        <f t="shared" ca="1" si="1"/>
        <v>46118</v>
      </c>
      <c r="K128" s="13"/>
    </row>
    <row r="129" spans="1:11" ht="18" x14ac:dyDescent="0.4">
      <c r="A129" s="7" t="s">
        <v>98</v>
      </c>
      <c r="B129" s="86" t="s">
        <v>137</v>
      </c>
      <c r="C129" s="8">
        <v>36019</v>
      </c>
      <c r="D129" s="9">
        <v>552822750</v>
      </c>
      <c r="E129" s="57">
        <v>300</v>
      </c>
      <c r="F129" s="10" t="s">
        <v>126</v>
      </c>
      <c r="G129" s="88">
        <v>0</v>
      </c>
      <c r="H129" s="70">
        <f t="shared" si="3"/>
        <v>0</v>
      </c>
      <c r="I129" s="11">
        <f t="shared" ca="1" si="5"/>
        <v>46124</v>
      </c>
      <c r="J129" s="11">
        <f t="shared" ca="1" si="1"/>
        <v>46118</v>
      </c>
      <c r="K129" s="13"/>
    </row>
    <row r="130" spans="1:11" ht="18" x14ac:dyDescent="0.4">
      <c r="A130" s="7" t="s">
        <v>98</v>
      </c>
      <c r="B130" s="86" t="s">
        <v>137</v>
      </c>
      <c r="C130" s="8">
        <v>36019</v>
      </c>
      <c r="D130" s="9">
        <v>552821670</v>
      </c>
      <c r="E130" s="57">
        <v>100</v>
      </c>
      <c r="F130" s="10" t="s">
        <v>127</v>
      </c>
      <c r="G130" s="88">
        <v>0</v>
      </c>
      <c r="H130" s="70">
        <f t="shared" si="3"/>
        <v>0</v>
      </c>
      <c r="I130" s="11">
        <f t="shared" ca="1" si="5"/>
        <v>46124</v>
      </c>
      <c r="J130" s="11">
        <f t="shared" ca="1" si="1"/>
        <v>46118</v>
      </c>
      <c r="K130" s="13"/>
    </row>
    <row r="131" spans="1:11" ht="18" x14ac:dyDescent="0.4">
      <c r="A131" s="7" t="s">
        <v>98</v>
      </c>
      <c r="B131" s="86" t="s">
        <v>137</v>
      </c>
      <c r="C131" s="8">
        <v>36019</v>
      </c>
      <c r="D131" s="9">
        <v>552845970</v>
      </c>
      <c r="E131" s="57">
        <v>600</v>
      </c>
      <c r="F131" s="10" t="s">
        <v>127</v>
      </c>
      <c r="G131" s="88">
        <v>0</v>
      </c>
      <c r="H131" s="70">
        <f t="shared" si="3"/>
        <v>0</v>
      </c>
      <c r="I131" s="11">
        <f t="shared" ca="1" si="5"/>
        <v>46124</v>
      </c>
      <c r="J131" s="11">
        <f t="shared" ca="1" si="1"/>
        <v>46118</v>
      </c>
      <c r="K131" s="13"/>
    </row>
    <row r="132" spans="1:11" ht="18" x14ac:dyDescent="0.4">
      <c r="A132" s="7" t="s">
        <v>98</v>
      </c>
      <c r="B132" s="86" t="s">
        <v>137</v>
      </c>
      <c r="C132" s="8">
        <v>36019</v>
      </c>
      <c r="D132" s="9">
        <v>552798810</v>
      </c>
      <c r="E132" s="57">
        <v>250</v>
      </c>
      <c r="F132" s="10" t="s">
        <v>127</v>
      </c>
      <c r="G132" s="88">
        <v>0</v>
      </c>
      <c r="H132" s="70">
        <f t="shared" ref="H132:H197" si="6">+G132/E132</f>
        <v>0</v>
      </c>
      <c r="I132" s="11">
        <f t="shared" ca="1" si="5"/>
        <v>46124</v>
      </c>
      <c r="J132" s="11">
        <f t="shared" ca="1" si="1"/>
        <v>46118</v>
      </c>
      <c r="K132" s="13"/>
    </row>
    <row r="133" spans="1:11" ht="18" x14ac:dyDescent="0.4">
      <c r="A133" s="7" t="s">
        <v>98</v>
      </c>
      <c r="B133" s="86" t="s">
        <v>137</v>
      </c>
      <c r="C133" s="8">
        <v>36019</v>
      </c>
      <c r="D133" s="9">
        <v>552842340</v>
      </c>
      <c r="E133" s="57">
        <v>800</v>
      </c>
      <c r="F133" s="10" t="s">
        <v>127</v>
      </c>
      <c r="G133" s="88">
        <v>0</v>
      </c>
      <c r="H133" s="70">
        <f t="shared" si="6"/>
        <v>0</v>
      </c>
      <c r="I133" s="11">
        <f t="shared" ca="1" si="5"/>
        <v>46124</v>
      </c>
      <c r="J133" s="11">
        <f t="shared" ca="1" si="1"/>
        <v>46118</v>
      </c>
      <c r="K133" s="13"/>
    </row>
    <row r="134" spans="1:11" ht="18" x14ac:dyDescent="0.4">
      <c r="A134" s="7" t="s">
        <v>98</v>
      </c>
      <c r="B134" s="86" t="s">
        <v>137</v>
      </c>
      <c r="C134" s="8">
        <v>36019</v>
      </c>
      <c r="D134" s="9">
        <v>552822630</v>
      </c>
      <c r="E134" s="57">
        <v>600</v>
      </c>
      <c r="F134" s="10" t="s">
        <v>127</v>
      </c>
      <c r="G134" s="88">
        <v>0</v>
      </c>
      <c r="H134" s="70">
        <f t="shared" si="6"/>
        <v>0</v>
      </c>
      <c r="I134" s="11">
        <f t="shared" ca="1" si="5"/>
        <v>46124</v>
      </c>
      <c r="J134" s="11">
        <f t="shared" ca="1" si="1"/>
        <v>46118</v>
      </c>
      <c r="K134" s="13"/>
    </row>
    <row r="135" spans="1:11" ht="18" x14ac:dyDescent="0.4">
      <c r="A135" s="7" t="s">
        <v>98</v>
      </c>
      <c r="B135" s="86" t="s">
        <v>137</v>
      </c>
      <c r="C135" s="8">
        <v>36019</v>
      </c>
      <c r="D135" s="9">
        <v>552799020</v>
      </c>
      <c r="E135" s="57">
        <v>200</v>
      </c>
      <c r="F135" s="10" t="s">
        <v>127</v>
      </c>
      <c r="G135" s="88">
        <v>0</v>
      </c>
      <c r="H135" s="70">
        <f t="shared" si="6"/>
        <v>0</v>
      </c>
      <c r="I135" s="11">
        <f t="shared" ca="1" si="5"/>
        <v>46124</v>
      </c>
      <c r="J135" s="11">
        <f t="shared" ca="1" si="1"/>
        <v>46118</v>
      </c>
      <c r="K135" s="13"/>
    </row>
    <row r="136" spans="1:11" ht="18" x14ac:dyDescent="0.4">
      <c r="A136" s="7" t="s">
        <v>98</v>
      </c>
      <c r="B136" s="86" t="s">
        <v>137</v>
      </c>
      <c r="C136" s="8">
        <v>36019</v>
      </c>
      <c r="D136" s="9">
        <v>463369240</v>
      </c>
      <c r="E136" s="57">
        <v>500</v>
      </c>
      <c r="F136" s="10" t="s">
        <v>127</v>
      </c>
      <c r="G136" s="88">
        <v>0</v>
      </c>
      <c r="H136" s="70">
        <f t="shared" si="6"/>
        <v>0</v>
      </c>
      <c r="I136" s="11">
        <f t="shared" ca="1" si="5"/>
        <v>46124</v>
      </c>
      <c r="J136" s="11">
        <f t="shared" ca="1" si="1"/>
        <v>46118</v>
      </c>
      <c r="K136" s="13"/>
    </row>
    <row r="137" spans="1:11" ht="18" x14ac:dyDescent="0.4">
      <c r="A137" s="7" t="s">
        <v>98</v>
      </c>
      <c r="B137" s="86" t="s">
        <v>137</v>
      </c>
      <c r="C137" s="8">
        <v>36019</v>
      </c>
      <c r="D137" s="9">
        <v>463398780</v>
      </c>
      <c r="E137" s="57">
        <v>400</v>
      </c>
      <c r="F137" s="10" t="s">
        <v>128</v>
      </c>
      <c r="G137" s="88">
        <v>0</v>
      </c>
      <c r="H137" s="70">
        <f t="shared" si="6"/>
        <v>0</v>
      </c>
      <c r="I137" s="11">
        <f t="shared" ca="1" si="5"/>
        <v>46124</v>
      </c>
      <c r="J137" s="11">
        <f t="shared" ca="1" si="1"/>
        <v>46118</v>
      </c>
      <c r="K137" s="13"/>
    </row>
    <row r="138" spans="1:11" ht="18" x14ac:dyDescent="0.4">
      <c r="A138" s="7" t="s">
        <v>98</v>
      </c>
      <c r="B138" s="86" t="s">
        <v>137</v>
      </c>
      <c r="C138" s="8">
        <v>36019</v>
      </c>
      <c r="D138" s="9">
        <v>552822620</v>
      </c>
      <c r="E138" s="57">
        <v>800</v>
      </c>
      <c r="F138" s="10" t="s">
        <v>129</v>
      </c>
      <c r="G138" s="88">
        <v>0</v>
      </c>
      <c r="H138" s="70">
        <f t="shared" si="6"/>
        <v>0</v>
      </c>
      <c r="I138" s="11">
        <f t="shared" ca="1" si="5"/>
        <v>46124</v>
      </c>
      <c r="J138" s="11">
        <f t="shared" ca="1" si="1"/>
        <v>46118</v>
      </c>
      <c r="K138" s="13"/>
    </row>
    <row r="139" spans="1:11" ht="18" x14ac:dyDescent="0.4">
      <c r="A139" s="7" t="s">
        <v>98</v>
      </c>
      <c r="B139" s="86" t="s">
        <v>137</v>
      </c>
      <c r="C139" s="8">
        <v>36019</v>
      </c>
      <c r="D139" s="9">
        <v>463473640</v>
      </c>
      <c r="E139" s="57">
        <v>500</v>
      </c>
      <c r="F139" s="10" t="s">
        <v>130</v>
      </c>
      <c r="G139" s="88">
        <v>0</v>
      </c>
      <c r="H139" s="70">
        <f t="shared" si="6"/>
        <v>0</v>
      </c>
      <c r="I139" s="11">
        <f t="shared" ca="1" si="5"/>
        <v>46124</v>
      </c>
      <c r="J139" s="11">
        <f t="shared" ca="1" si="1"/>
        <v>46118</v>
      </c>
      <c r="K139" s="13"/>
    </row>
    <row r="140" spans="1:11" ht="18" x14ac:dyDescent="0.4">
      <c r="A140" s="7" t="s">
        <v>98</v>
      </c>
      <c r="B140" s="86" t="s">
        <v>137</v>
      </c>
      <c r="C140" s="8">
        <v>36019</v>
      </c>
      <c r="D140" s="9">
        <v>552831540</v>
      </c>
      <c r="E140" s="57">
        <v>400</v>
      </c>
      <c r="F140" s="10" t="s">
        <v>131</v>
      </c>
      <c r="G140" s="88">
        <v>0</v>
      </c>
      <c r="H140" s="70">
        <f t="shared" si="6"/>
        <v>0</v>
      </c>
      <c r="I140" s="11">
        <f t="shared" ca="1" si="5"/>
        <v>46124</v>
      </c>
      <c r="J140" s="11">
        <f t="shared" ca="1" si="1"/>
        <v>46118</v>
      </c>
      <c r="K140" s="13"/>
    </row>
    <row r="141" spans="1:11" ht="18" x14ac:dyDescent="0.4">
      <c r="A141" s="7" t="s">
        <v>98</v>
      </c>
      <c r="B141" s="86" t="s">
        <v>137</v>
      </c>
      <c r="C141" s="8">
        <v>36019</v>
      </c>
      <c r="D141" s="9">
        <v>187517280</v>
      </c>
      <c r="E141" s="57">
        <v>400</v>
      </c>
      <c r="F141" s="10" t="s">
        <v>132</v>
      </c>
      <c r="G141" s="88">
        <v>0</v>
      </c>
      <c r="H141" s="70">
        <f t="shared" si="6"/>
        <v>0</v>
      </c>
      <c r="I141" s="11">
        <f t="shared" ca="1" si="5"/>
        <v>46124</v>
      </c>
      <c r="J141" s="11">
        <f t="shared" ca="1" si="1"/>
        <v>46118</v>
      </c>
      <c r="K141" s="13"/>
    </row>
    <row r="142" spans="1:11" ht="18" x14ac:dyDescent="0.4">
      <c r="A142" s="7" t="s">
        <v>98</v>
      </c>
      <c r="B142" s="86" t="s">
        <v>137</v>
      </c>
      <c r="C142" s="8">
        <v>36019</v>
      </c>
      <c r="D142" s="9">
        <v>552822460</v>
      </c>
      <c r="E142" s="57">
        <v>650</v>
      </c>
      <c r="F142" s="10" t="s">
        <v>133</v>
      </c>
      <c r="G142" s="88">
        <v>0</v>
      </c>
      <c r="H142" s="70">
        <f t="shared" si="6"/>
        <v>0</v>
      </c>
      <c r="I142" s="11">
        <f t="shared" ca="1" si="5"/>
        <v>46124</v>
      </c>
      <c r="J142" s="11">
        <f t="shared" ca="1" si="1"/>
        <v>46118</v>
      </c>
      <c r="K142" s="13"/>
    </row>
    <row r="143" spans="1:11" ht="18" x14ac:dyDescent="0.4">
      <c r="A143" s="7" t="s">
        <v>98</v>
      </c>
      <c r="B143" s="86" t="s">
        <v>137</v>
      </c>
      <c r="C143" s="8">
        <v>36019</v>
      </c>
      <c r="D143" s="9">
        <v>552821610</v>
      </c>
      <c r="E143" s="57">
        <v>150</v>
      </c>
      <c r="F143" s="10" t="s">
        <v>134</v>
      </c>
      <c r="G143" s="88">
        <v>0</v>
      </c>
      <c r="H143" s="70">
        <f t="shared" si="6"/>
        <v>0</v>
      </c>
      <c r="I143" s="11">
        <f t="shared" ca="1" si="5"/>
        <v>46124</v>
      </c>
      <c r="J143" s="11">
        <f t="shared" ca="1" si="1"/>
        <v>46118</v>
      </c>
      <c r="K143" s="13"/>
    </row>
    <row r="144" spans="1:11" ht="18" x14ac:dyDescent="0.4">
      <c r="A144" s="7" t="s">
        <v>98</v>
      </c>
      <c r="B144" s="86" t="s">
        <v>137</v>
      </c>
      <c r="C144" s="8">
        <v>36019</v>
      </c>
      <c r="D144" s="9">
        <v>552842370</v>
      </c>
      <c r="E144" s="57">
        <v>400</v>
      </c>
      <c r="F144" s="10" t="s">
        <v>135</v>
      </c>
      <c r="G144" s="88">
        <v>0</v>
      </c>
      <c r="H144" s="70">
        <f t="shared" si="6"/>
        <v>0</v>
      </c>
      <c r="I144" s="11">
        <f t="shared" ca="1" si="5"/>
        <v>46124</v>
      </c>
      <c r="J144" s="11">
        <f t="shared" ca="1" si="1"/>
        <v>46118</v>
      </c>
      <c r="K144" s="13"/>
    </row>
    <row r="145" spans="1:11" ht="18" x14ac:dyDescent="0.4">
      <c r="A145" s="7" t="s">
        <v>98</v>
      </c>
      <c r="B145" s="86" t="s">
        <v>137</v>
      </c>
      <c r="C145" s="8">
        <v>36019</v>
      </c>
      <c r="D145" s="9">
        <v>552821600</v>
      </c>
      <c r="E145" s="57">
        <v>300</v>
      </c>
      <c r="F145" s="10" t="s">
        <v>136</v>
      </c>
      <c r="G145" s="88">
        <v>0</v>
      </c>
      <c r="H145" s="70">
        <f t="shared" si="6"/>
        <v>0</v>
      </c>
      <c r="I145" s="11">
        <f t="shared" ca="1" si="5"/>
        <v>46124</v>
      </c>
      <c r="J145" s="11">
        <f t="shared" ca="1" si="1"/>
        <v>46118</v>
      </c>
      <c r="K145" s="13"/>
    </row>
    <row r="146" spans="1:11" ht="18" x14ac:dyDescent="0.4">
      <c r="A146" s="7" t="s">
        <v>98</v>
      </c>
      <c r="B146" s="86" t="s">
        <v>137</v>
      </c>
      <c r="C146" s="8">
        <v>36019</v>
      </c>
      <c r="D146" s="9">
        <v>463532640</v>
      </c>
      <c r="E146" s="57">
        <v>1100</v>
      </c>
      <c r="F146" s="10" t="s">
        <v>194</v>
      </c>
      <c r="G146" s="88">
        <v>0</v>
      </c>
      <c r="H146" s="70">
        <f t="shared" si="6"/>
        <v>0</v>
      </c>
      <c r="I146" s="11">
        <f t="shared" ca="1" si="5"/>
        <v>46124</v>
      </c>
      <c r="J146" s="11">
        <f t="shared" ca="1" si="1"/>
        <v>46118</v>
      </c>
      <c r="K146" s="13"/>
    </row>
    <row r="147" spans="1:11" ht="18" x14ac:dyDescent="0.4">
      <c r="A147" s="7" t="s">
        <v>98</v>
      </c>
      <c r="B147" s="86" t="s">
        <v>137</v>
      </c>
      <c r="C147" s="8">
        <v>36019</v>
      </c>
      <c r="D147" s="9">
        <v>463532650</v>
      </c>
      <c r="E147" s="57">
        <v>800</v>
      </c>
      <c r="F147" s="10" t="s">
        <v>195</v>
      </c>
      <c r="G147" s="88">
        <v>0</v>
      </c>
      <c r="H147" s="70">
        <f t="shared" si="6"/>
        <v>0</v>
      </c>
      <c r="I147" s="11">
        <f ca="1">I139</f>
        <v>46124</v>
      </c>
      <c r="J147" s="11">
        <f t="shared" ca="1" si="1"/>
        <v>46118</v>
      </c>
      <c r="K147" s="13"/>
    </row>
    <row r="148" spans="1:11" ht="18" x14ac:dyDescent="0.4">
      <c r="A148" s="7" t="s">
        <v>98</v>
      </c>
      <c r="B148" s="86" t="s">
        <v>703</v>
      </c>
      <c r="C148" s="8">
        <v>51658</v>
      </c>
      <c r="D148" s="9">
        <v>463485610</v>
      </c>
      <c r="E148" s="57">
        <v>600</v>
      </c>
      <c r="F148" s="10" t="s">
        <v>404</v>
      </c>
      <c r="G148" s="88">
        <v>0</v>
      </c>
      <c r="H148" s="70">
        <f t="shared" si="6"/>
        <v>0</v>
      </c>
      <c r="I148" s="11">
        <f t="shared" ref="I148:I155" ca="1" si="7">I121</f>
        <v>46124</v>
      </c>
      <c r="J148" s="11">
        <f t="shared" ca="1" si="1"/>
        <v>46118</v>
      </c>
      <c r="K148" s="13"/>
    </row>
    <row r="149" spans="1:11" ht="18" x14ac:dyDescent="0.4">
      <c r="A149" s="7" t="s">
        <v>98</v>
      </c>
      <c r="B149" s="86" t="s">
        <v>703</v>
      </c>
      <c r="C149" s="8">
        <v>51658</v>
      </c>
      <c r="D149" s="9">
        <v>463485620</v>
      </c>
      <c r="E149" s="57">
        <v>600</v>
      </c>
      <c r="F149" s="10" t="s">
        <v>405</v>
      </c>
      <c r="G149" s="88">
        <v>0</v>
      </c>
      <c r="H149" s="70">
        <f t="shared" si="6"/>
        <v>0</v>
      </c>
      <c r="I149" s="11">
        <f t="shared" ca="1" si="7"/>
        <v>46124</v>
      </c>
      <c r="J149" s="11">
        <f t="shared" ca="1" si="1"/>
        <v>46118</v>
      </c>
      <c r="K149" s="13"/>
    </row>
    <row r="150" spans="1:11" ht="18" x14ac:dyDescent="0.4">
      <c r="A150" s="7" t="s">
        <v>98</v>
      </c>
      <c r="B150" s="86" t="s">
        <v>703</v>
      </c>
      <c r="C150" s="8">
        <v>51658</v>
      </c>
      <c r="D150" s="9">
        <v>463485630</v>
      </c>
      <c r="E150" s="57">
        <v>600</v>
      </c>
      <c r="F150" s="10" t="s">
        <v>406</v>
      </c>
      <c r="G150" s="88">
        <v>0</v>
      </c>
      <c r="H150" s="70">
        <f t="shared" si="6"/>
        <v>0</v>
      </c>
      <c r="I150" s="11">
        <f t="shared" ca="1" si="7"/>
        <v>46124</v>
      </c>
      <c r="J150" s="11">
        <f t="shared" ca="1" si="1"/>
        <v>46118</v>
      </c>
      <c r="K150" s="13"/>
    </row>
    <row r="151" spans="1:11" ht="18" x14ac:dyDescent="0.4">
      <c r="A151" s="7" t="s">
        <v>98</v>
      </c>
      <c r="B151" s="86" t="s">
        <v>703</v>
      </c>
      <c r="C151" s="8">
        <v>51658</v>
      </c>
      <c r="D151" s="9">
        <v>463485640</v>
      </c>
      <c r="E151" s="57">
        <v>600</v>
      </c>
      <c r="F151" s="10" t="s">
        <v>704</v>
      </c>
      <c r="G151" s="88">
        <v>0</v>
      </c>
      <c r="H151" s="70">
        <f t="shared" si="6"/>
        <v>0</v>
      </c>
      <c r="I151" s="11">
        <f t="shared" ca="1" si="7"/>
        <v>46124</v>
      </c>
      <c r="J151" s="11">
        <f t="shared" ca="1" si="1"/>
        <v>46118</v>
      </c>
      <c r="K151" s="13"/>
    </row>
    <row r="152" spans="1:11" ht="18" x14ac:dyDescent="0.4">
      <c r="A152" s="7" t="s">
        <v>98</v>
      </c>
      <c r="B152" s="86" t="s">
        <v>703</v>
      </c>
      <c r="C152" s="8">
        <v>51658</v>
      </c>
      <c r="D152" s="9">
        <v>463485650</v>
      </c>
      <c r="E152" s="57">
        <v>600</v>
      </c>
      <c r="F152" s="10" t="s">
        <v>704</v>
      </c>
      <c r="G152" s="88">
        <v>0</v>
      </c>
      <c r="H152" s="70">
        <f t="shared" si="6"/>
        <v>0</v>
      </c>
      <c r="I152" s="11">
        <f t="shared" ca="1" si="7"/>
        <v>46124</v>
      </c>
      <c r="J152" s="11">
        <f t="shared" ca="1" si="1"/>
        <v>46118</v>
      </c>
      <c r="K152" s="13"/>
    </row>
    <row r="153" spans="1:11" ht="18" x14ac:dyDescent="0.4">
      <c r="A153" s="7" t="s">
        <v>98</v>
      </c>
      <c r="B153" s="86" t="s">
        <v>703</v>
      </c>
      <c r="C153" s="8">
        <v>51658</v>
      </c>
      <c r="D153" s="9">
        <v>463485660</v>
      </c>
      <c r="E153" s="57">
        <v>600</v>
      </c>
      <c r="F153" s="10" t="s">
        <v>704</v>
      </c>
      <c r="G153" s="88">
        <v>0</v>
      </c>
      <c r="H153" s="70">
        <f t="shared" si="6"/>
        <v>0</v>
      </c>
      <c r="I153" s="11">
        <f t="shared" ca="1" si="7"/>
        <v>46124</v>
      </c>
      <c r="J153" s="11">
        <f t="shared" ca="1" si="1"/>
        <v>46118</v>
      </c>
      <c r="K153" s="13"/>
    </row>
    <row r="154" spans="1:11" ht="18" x14ac:dyDescent="0.4">
      <c r="A154" s="7" t="s">
        <v>98</v>
      </c>
      <c r="B154" s="86" t="s">
        <v>703</v>
      </c>
      <c r="C154" s="8">
        <v>51658</v>
      </c>
      <c r="D154" s="9">
        <v>463485380</v>
      </c>
      <c r="E154" s="57">
        <v>400</v>
      </c>
      <c r="F154" s="10" t="s">
        <v>144</v>
      </c>
      <c r="G154" s="88">
        <v>0</v>
      </c>
      <c r="H154" s="70">
        <f t="shared" si="6"/>
        <v>0</v>
      </c>
      <c r="I154" s="11">
        <f t="shared" ca="1" si="7"/>
        <v>46124</v>
      </c>
      <c r="J154" s="11">
        <f t="shared" ca="1" si="1"/>
        <v>46118</v>
      </c>
      <c r="K154" s="13"/>
    </row>
    <row r="155" spans="1:11" ht="18" x14ac:dyDescent="0.4">
      <c r="A155" s="7" t="s">
        <v>98</v>
      </c>
      <c r="B155" s="86" t="s">
        <v>703</v>
      </c>
      <c r="C155" s="8">
        <v>51658</v>
      </c>
      <c r="D155" s="9">
        <v>463485390</v>
      </c>
      <c r="E155" s="57">
        <v>400</v>
      </c>
      <c r="F155" s="10" t="s">
        <v>145</v>
      </c>
      <c r="G155" s="88">
        <v>0</v>
      </c>
      <c r="H155" s="70">
        <f t="shared" si="6"/>
        <v>0</v>
      </c>
      <c r="I155" s="11">
        <f t="shared" ca="1" si="7"/>
        <v>46124</v>
      </c>
      <c r="J155" s="11">
        <f t="shared" ca="1" si="1"/>
        <v>46118</v>
      </c>
      <c r="K155" s="13"/>
    </row>
    <row r="156" spans="1:11" ht="18" x14ac:dyDescent="0.4">
      <c r="A156" s="7" t="s">
        <v>98</v>
      </c>
      <c r="B156" s="86" t="s">
        <v>703</v>
      </c>
      <c r="C156" s="8">
        <v>51658</v>
      </c>
      <c r="D156" s="9">
        <v>463485400</v>
      </c>
      <c r="E156" s="57">
        <v>400</v>
      </c>
      <c r="F156" s="10" t="s">
        <v>146</v>
      </c>
      <c r="G156" s="88">
        <v>0</v>
      </c>
      <c r="H156" s="70">
        <f t="shared" si="6"/>
        <v>0</v>
      </c>
      <c r="I156" s="11">
        <f ca="1">I147</f>
        <v>46124</v>
      </c>
      <c r="J156" s="11">
        <f t="shared" ca="1" si="1"/>
        <v>46118</v>
      </c>
      <c r="K156" s="13"/>
    </row>
    <row r="157" spans="1:11" ht="18" x14ac:dyDescent="0.4">
      <c r="A157" s="7" t="s">
        <v>98</v>
      </c>
      <c r="B157" s="86" t="s">
        <v>703</v>
      </c>
      <c r="C157" s="8">
        <v>51658</v>
      </c>
      <c r="D157" s="9">
        <v>463485440</v>
      </c>
      <c r="E157" s="57">
        <v>400</v>
      </c>
      <c r="F157" s="10" t="s">
        <v>147</v>
      </c>
      <c r="G157" s="88">
        <v>0</v>
      </c>
      <c r="H157" s="70">
        <f t="shared" si="6"/>
        <v>0</v>
      </c>
      <c r="I157" s="11">
        <f t="shared" ca="1" si="5"/>
        <v>46124</v>
      </c>
      <c r="J157" s="11">
        <f t="shared" ca="1" si="1"/>
        <v>46118</v>
      </c>
      <c r="K157" s="13"/>
    </row>
    <row r="158" spans="1:11" ht="18" x14ac:dyDescent="0.4">
      <c r="A158" s="7" t="s">
        <v>98</v>
      </c>
      <c r="B158" s="86" t="s">
        <v>703</v>
      </c>
      <c r="C158" s="8">
        <v>51658</v>
      </c>
      <c r="D158" s="9">
        <v>463485450</v>
      </c>
      <c r="E158" s="57">
        <v>400</v>
      </c>
      <c r="F158" s="10" t="s">
        <v>148</v>
      </c>
      <c r="G158" s="88">
        <v>0</v>
      </c>
      <c r="H158" s="70">
        <f t="shared" si="6"/>
        <v>0</v>
      </c>
      <c r="I158" s="11">
        <f t="shared" ca="1" si="5"/>
        <v>46124</v>
      </c>
      <c r="J158" s="11">
        <f t="shared" ca="1" si="1"/>
        <v>46118</v>
      </c>
      <c r="K158" s="13"/>
    </row>
    <row r="159" spans="1:11" ht="18" x14ac:dyDescent="0.4">
      <c r="A159" s="7" t="s">
        <v>98</v>
      </c>
      <c r="B159" s="86" t="s">
        <v>703</v>
      </c>
      <c r="C159" s="8">
        <v>51658</v>
      </c>
      <c r="D159" s="9">
        <v>463485460</v>
      </c>
      <c r="E159" s="57">
        <v>400</v>
      </c>
      <c r="F159" s="10" t="s">
        <v>149</v>
      </c>
      <c r="G159" s="88">
        <v>0</v>
      </c>
      <c r="H159" s="70">
        <f t="shared" si="6"/>
        <v>0</v>
      </c>
      <c r="I159" s="11">
        <f t="shared" ca="1" si="5"/>
        <v>46124</v>
      </c>
      <c r="J159" s="11">
        <f t="shared" ca="1" si="1"/>
        <v>46118</v>
      </c>
      <c r="K159" s="13"/>
    </row>
    <row r="160" spans="1:11" ht="18" x14ac:dyDescent="0.4">
      <c r="A160" s="7" t="s">
        <v>98</v>
      </c>
      <c r="B160" s="86" t="s">
        <v>703</v>
      </c>
      <c r="C160" s="8">
        <v>51658</v>
      </c>
      <c r="D160" s="9">
        <v>463563890</v>
      </c>
      <c r="E160" s="57">
        <v>400</v>
      </c>
      <c r="F160" s="10" t="s">
        <v>149</v>
      </c>
      <c r="G160" s="88">
        <v>0</v>
      </c>
      <c r="H160" s="70">
        <f t="shared" si="6"/>
        <v>0</v>
      </c>
      <c r="I160" s="11">
        <f t="shared" ca="1" si="5"/>
        <v>46124</v>
      </c>
      <c r="J160" s="11">
        <f t="shared" ca="1" si="1"/>
        <v>46118</v>
      </c>
      <c r="K160" s="13"/>
    </row>
    <row r="161" spans="1:11" ht="18" x14ac:dyDescent="0.4">
      <c r="A161" s="7" t="s">
        <v>98</v>
      </c>
      <c r="B161" s="86" t="s">
        <v>703</v>
      </c>
      <c r="C161" s="8">
        <v>51658</v>
      </c>
      <c r="D161" s="9">
        <v>463563900</v>
      </c>
      <c r="E161" s="57">
        <v>400</v>
      </c>
      <c r="F161" s="10" t="s">
        <v>149</v>
      </c>
      <c r="G161" s="88">
        <v>0</v>
      </c>
      <c r="H161" s="70">
        <f t="shared" si="6"/>
        <v>0</v>
      </c>
      <c r="I161" s="11">
        <f t="shared" ca="1" si="5"/>
        <v>46124</v>
      </c>
      <c r="J161" s="11">
        <f t="shared" ca="1" si="1"/>
        <v>46118</v>
      </c>
      <c r="K161" s="13"/>
    </row>
    <row r="162" spans="1:11" ht="18" x14ac:dyDescent="0.4">
      <c r="A162" s="7" t="s">
        <v>98</v>
      </c>
      <c r="B162" s="86" t="s">
        <v>703</v>
      </c>
      <c r="C162" s="8">
        <v>51658</v>
      </c>
      <c r="D162" s="9">
        <v>463563910</v>
      </c>
      <c r="E162" s="57">
        <v>400</v>
      </c>
      <c r="F162" s="10" t="s">
        <v>149</v>
      </c>
      <c r="G162" s="88">
        <v>0</v>
      </c>
      <c r="H162" s="70">
        <f t="shared" si="6"/>
        <v>0</v>
      </c>
      <c r="I162" s="11">
        <f t="shared" ca="1" si="5"/>
        <v>46124</v>
      </c>
      <c r="J162" s="11">
        <f t="shared" ca="1" si="1"/>
        <v>46118</v>
      </c>
      <c r="K162" s="13"/>
    </row>
    <row r="163" spans="1:11" ht="18" x14ac:dyDescent="0.4">
      <c r="A163" s="7" t="s">
        <v>98</v>
      </c>
      <c r="B163" s="85" t="s">
        <v>703</v>
      </c>
      <c r="C163" s="8">
        <v>51658</v>
      </c>
      <c r="D163" s="9">
        <v>463563950</v>
      </c>
      <c r="E163" s="57">
        <v>400</v>
      </c>
      <c r="F163" s="10" t="s">
        <v>149</v>
      </c>
      <c r="G163" s="88">
        <v>0</v>
      </c>
      <c r="H163" s="70">
        <f t="shared" si="6"/>
        <v>0</v>
      </c>
      <c r="I163" s="11">
        <f t="shared" ca="1" si="5"/>
        <v>46124</v>
      </c>
      <c r="J163" s="11">
        <f t="shared" ca="1" si="1"/>
        <v>46118</v>
      </c>
      <c r="K163" s="13"/>
    </row>
    <row r="164" spans="1:11" ht="18" x14ac:dyDescent="0.4">
      <c r="A164" s="7" t="s">
        <v>98</v>
      </c>
      <c r="B164" s="85" t="s">
        <v>703</v>
      </c>
      <c r="C164" s="8">
        <v>51658</v>
      </c>
      <c r="D164" s="9">
        <v>463563960</v>
      </c>
      <c r="E164" s="57">
        <v>400</v>
      </c>
      <c r="F164" s="10" t="s">
        <v>149</v>
      </c>
      <c r="G164" s="88">
        <v>0</v>
      </c>
      <c r="H164" s="70">
        <f t="shared" si="6"/>
        <v>0</v>
      </c>
      <c r="I164" s="11">
        <f t="shared" ca="1" si="5"/>
        <v>46124</v>
      </c>
      <c r="J164" s="11">
        <f t="shared" ca="1" si="1"/>
        <v>46118</v>
      </c>
      <c r="K164" s="13"/>
    </row>
    <row r="165" spans="1:11" ht="18" x14ac:dyDescent="0.4">
      <c r="A165" s="7" t="s">
        <v>98</v>
      </c>
      <c r="B165" s="85" t="s">
        <v>703</v>
      </c>
      <c r="C165" s="8">
        <v>51658</v>
      </c>
      <c r="D165" s="9">
        <v>463563970</v>
      </c>
      <c r="E165" s="57">
        <v>400</v>
      </c>
      <c r="F165" s="10" t="s">
        <v>149</v>
      </c>
      <c r="G165" s="88">
        <v>0</v>
      </c>
      <c r="H165" s="70">
        <f t="shared" si="6"/>
        <v>0</v>
      </c>
      <c r="I165" s="11">
        <f t="shared" ca="1" si="5"/>
        <v>46124</v>
      </c>
      <c r="J165" s="11">
        <f t="shared" ca="1" si="1"/>
        <v>46118</v>
      </c>
      <c r="K165" s="13"/>
    </row>
    <row r="166" spans="1:11" ht="18" x14ac:dyDescent="0.4">
      <c r="A166" s="7" t="s">
        <v>98</v>
      </c>
      <c r="B166" s="85" t="s">
        <v>703</v>
      </c>
      <c r="C166" s="8">
        <v>51620</v>
      </c>
      <c r="D166" s="9">
        <v>463485280</v>
      </c>
      <c r="E166" s="57">
        <v>840</v>
      </c>
      <c r="F166" s="10" t="s">
        <v>150</v>
      </c>
      <c r="G166" s="88">
        <v>0</v>
      </c>
      <c r="H166" s="70">
        <f t="shared" si="6"/>
        <v>0</v>
      </c>
      <c r="I166" s="11">
        <f t="shared" ca="1" si="5"/>
        <v>46124</v>
      </c>
      <c r="J166" s="11">
        <f t="shared" ca="1" si="1"/>
        <v>46118</v>
      </c>
      <c r="K166" s="13"/>
    </row>
    <row r="167" spans="1:11" ht="18" x14ac:dyDescent="0.4">
      <c r="A167" s="7" t="s">
        <v>98</v>
      </c>
      <c r="B167" s="85" t="s">
        <v>703</v>
      </c>
      <c r="C167" s="8">
        <v>51620</v>
      </c>
      <c r="D167" s="9">
        <v>463485300</v>
      </c>
      <c r="E167" s="57">
        <v>840</v>
      </c>
      <c r="F167" s="10" t="s">
        <v>151</v>
      </c>
      <c r="G167" s="88">
        <v>0</v>
      </c>
      <c r="H167" s="70">
        <f t="shared" si="6"/>
        <v>0</v>
      </c>
      <c r="I167" s="11">
        <f t="shared" ca="1" si="5"/>
        <v>46124</v>
      </c>
      <c r="J167" s="11">
        <f t="shared" ca="1" si="1"/>
        <v>46118</v>
      </c>
      <c r="K167" s="13"/>
    </row>
    <row r="168" spans="1:11" ht="18" x14ac:dyDescent="0.4">
      <c r="A168" s="7" t="s">
        <v>98</v>
      </c>
      <c r="B168" s="85" t="s">
        <v>703</v>
      </c>
      <c r="C168" s="8">
        <v>51620</v>
      </c>
      <c r="D168" s="9">
        <v>463485320</v>
      </c>
      <c r="E168" s="57">
        <v>840</v>
      </c>
      <c r="F168" s="10" t="s">
        <v>152</v>
      </c>
      <c r="G168" s="88">
        <v>0</v>
      </c>
      <c r="H168" s="70">
        <f t="shared" si="6"/>
        <v>0</v>
      </c>
      <c r="I168" s="11">
        <f t="shared" ca="1" si="5"/>
        <v>46124</v>
      </c>
      <c r="J168" s="11">
        <f t="shared" ca="1" si="1"/>
        <v>46118</v>
      </c>
      <c r="K168" s="13"/>
    </row>
    <row r="169" spans="1:11" ht="18" x14ac:dyDescent="0.4">
      <c r="A169" s="7" t="s">
        <v>98</v>
      </c>
      <c r="B169" s="85" t="s">
        <v>705</v>
      </c>
      <c r="C169" s="8">
        <v>73860</v>
      </c>
      <c r="D169" s="9">
        <v>463592990</v>
      </c>
      <c r="E169" s="57">
        <v>500</v>
      </c>
      <c r="F169" s="10" t="s">
        <v>706</v>
      </c>
      <c r="G169" s="88">
        <v>0</v>
      </c>
      <c r="H169" s="70">
        <f t="shared" si="6"/>
        <v>0</v>
      </c>
      <c r="I169" s="11">
        <f t="shared" ref="I169:I206" ca="1" si="8">I161</f>
        <v>46124</v>
      </c>
      <c r="J169" s="11">
        <f t="shared" ca="1" si="1"/>
        <v>46118</v>
      </c>
      <c r="K169" s="13"/>
    </row>
    <row r="170" spans="1:11" ht="18" x14ac:dyDescent="0.4">
      <c r="A170" s="7" t="s">
        <v>98</v>
      </c>
      <c r="B170" s="85" t="s">
        <v>705</v>
      </c>
      <c r="C170" s="8">
        <v>73860</v>
      </c>
      <c r="D170" s="9">
        <v>463593000</v>
      </c>
      <c r="E170" s="57">
        <v>500</v>
      </c>
      <c r="F170" s="10" t="s">
        <v>706</v>
      </c>
      <c r="G170" s="88">
        <v>0</v>
      </c>
      <c r="H170" s="70">
        <f t="shared" si="6"/>
        <v>0</v>
      </c>
      <c r="I170" s="11">
        <f t="shared" ca="1" si="8"/>
        <v>46124</v>
      </c>
      <c r="J170" s="11">
        <f t="shared" ca="1" si="1"/>
        <v>46118</v>
      </c>
      <c r="K170" s="13"/>
    </row>
    <row r="171" spans="1:11" ht="18" x14ac:dyDescent="0.4">
      <c r="A171" s="7" t="s">
        <v>98</v>
      </c>
      <c r="B171" s="85" t="s">
        <v>707</v>
      </c>
      <c r="C171" s="8">
        <v>49630</v>
      </c>
      <c r="D171" s="9">
        <v>463476050</v>
      </c>
      <c r="E171" s="57">
        <v>720</v>
      </c>
      <c r="F171" s="10" t="s">
        <v>157</v>
      </c>
      <c r="G171" s="88">
        <v>0</v>
      </c>
      <c r="H171" s="70">
        <f t="shared" si="6"/>
        <v>0</v>
      </c>
      <c r="I171" s="11">
        <f t="shared" ca="1" si="8"/>
        <v>46124</v>
      </c>
      <c r="J171" s="11">
        <f t="shared" ca="1" si="1"/>
        <v>46118</v>
      </c>
      <c r="K171" s="13"/>
    </row>
    <row r="172" spans="1:11" ht="18" x14ac:dyDescent="0.4">
      <c r="A172" s="7" t="s">
        <v>98</v>
      </c>
      <c r="B172" s="85" t="s">
        <v>708</v>
      </c>
      <c r="C172" s="8">
        <v>73850</v>
      </c>
      <c r="D172" s="9">
        <v>463491430</v>
      </c>
      <c r="E172" s="57">
        <v>600</v>
      </c>
      <c r="F172" s="10" t="s">
        <v>159</v>
      </c>
      <c r="G172" s="88">
        <v>0</v>
      </c>
      <c r="H172" s="70">
        <f t="shared" si="6"/>
        <v>0</v>
      </c>
      <c r="I172" s="11">
        <f t="shared" ca="1" si="8"/>
        <v>46124</v>
      </c>
      <c r="J172" s="11">
        <f t="shared" ca="1" si="1"/>
        <v>46118</v>
      </c>
      <c r="K172" s="8"/>
    </row>
    <row r="173" spans="1:11" ht="18" x14ac:dyDescent="0.4">
      <c r="A173" s="7" t="s">
        <v>98</v>
      </c>
      <c r="B173" s="85" t="s">
        <v>708</v>
      </c>
      <c r="C173" s="8">
        <v>73850</v>
      </c>
      <c r="D173" s="9">
        <v>552822510</v>
      </c>
      <c r="E173" s="57">
        <v>1500</v>
      </c>
      <c r="F173" s="10" t="s">
        <v>709</v>
      </c>
      <c r="G173" s="88">
        <v>0</v>
      </c>
      <c r="H173" s="70">
        <f t="shared" si="6"/>
        <v>0</v>
      </c>
      <c r="I173" s="11">
        <f t="shared" ca="1" si="8"/>
        <v>46124</v>
      </c>
      <c r="J173" s="11">
        <f t="shared" ca="1" si="1"/>
        <v>46118</v>
      </c>
      <c r="K173" s="8"/>
    </row>
    <row r="174" spans="1:11" ht="18" x14ac:dyDescent="0.4">
      <c r="A174" s="7" t="s">
        <v>98</v>
      </c>
      <c r="B174" s="85" t="s">
        <v>708</v>
      </c>
      <c r="C174" s="8">
        <v>73850</v>
      </c>
      <c r="D174" s="9">
        <v>552823610</v>
      </c>
      <c r="E174" s="57">
        <v>1500</v>
      </c>
      <c r="F174" s="10" t="s">
        <v>710</v>
      </c>
      <c r="G174" s="88">
        <v>0</v>
      </c>
      <c r="H174" s="70">
        <f t="shared" si="6"/>
        <v>0</v>
      </c>
      <c r="I174" s="11">
        <f t="shared" ca="1" si="8"/>
        <v>46124</v>
      </c>
      <c r="J174" s="11">
        <f t="shared" ca="1" si="1"/>
        <v>46118</v>
      </c>
      <c r="K174" s="8"/>
    </row>
    <row r="175" spans="1:11" ht="18" x14ac:dyDescent="0.4">
      <c r="A175" s="7" t="s">
        <v>98</v>
      </c>
      <c r="B175" s="85" t="s">
        <v>233</v>
      </c>
      <c r="C175" s="8">
        <v>33132</v>
      </c>
      <c r="D175" s="9">
        <v>552823610</v>
      </c>
      <c r="E175" s="57">
        <v>900</v>
      </c>
      <c r="F175" s="10" t="s">
        <v>234</v>
      </c>
      <c r="G175" s="88">
        <v>0</v>
      </c>
      <c r="H175" s="70">
        <f t="shared" si="6"/>
        <v>0</v>
      </c>
      <c r="I175" s="11">
        <f t="shared" ca="1" si="8"/>
        <v>46124</v>
      </c>
      <c r="J175" s="11">
        <f t="shared" ca="1" si="1"/>
        <v>46118</v>
      </c>
      <c r="K175" s="8"/>
    </row>
    <row r="176" spans="1:11" ht="18" x14ac:dyDescent="0.4">
      <c r="A176" s="7" t="s">
        <v>98</v>
      </c>
      <c r="B176" s="85" t="s">
        <v>160</v>
      </c>
      <c r="C176" s="8">
        <v>40870</v>
      </c>
      <c r="D176" s="9">
        <v>463479340</v>
      </c>
      <c r="E176" s="57">
        <v>100</v>
      </c>
      <c r="F176" s="10" t="s">
        <v>161</v>
      </c>
      <c r="G176" s="88">
        <v>0</v>
      </c>
      <c r="H176" s="70">
        <f t="shared" si="6"/>
        <v>0</v>
      </c>
      <c r="I176" s="11">
        <f t="shared" ca="1" si="8"/>
        <v>46124</v>
      </c>
      <c r="J176" s="11">
        <f t="shared" ca="1" si="1"/>
        <v>46118</v>
      </c>
      <c r="K176" s="8"/>
    </row>
    <row r="177" spans="1:11" ht="18" x14ac:dyDescent="0.4">
      <c r="A177" s="7" t="s">
        <v>98</v>
      </c>
      <c r="B177" s="85" t="s">
        <v>160</v>
      </c>
      <c r="C177" s="8">
        <v>40870</v>
      </c>
      <c r="D177" s="9">
        <v>463479350</v>
      </c>
      <c r="E177" s="57">
        <v>100</v>
      </c>
      <c r="F177" s="10" t="s">
        <v>162</v>
      </c>
      <c r="G177" s="88">
        <v>0</v>
      </c>
      <c r="H177" s="70">
        <f t="shared" si="6"/>
        <v>0</v>
      </c>
      <c r="I177" s="11">
        <f t="shared" ca="1" si="8"/>
        <v>46124</v>
      </c>
      <c r="J177" s="11">
        <f t="shared" ca="1" si="1"/>
        <v>46118</v>
      </c>
      <c r="K177" s="8"/>
    </row>
    <row r="178" spans="1:11" ht="18" x14ac:dyDescent="0.4">
      <c r="A178" s="7" t="s">
        <v>98</v>
      </c>
      <c r="B178" s="85" t="s">
        <v>163</v>
      </c>
      <c r="C178" s="8">
        <v>10675</v>
      </c>
      <c r="D178" s="9">
        <v>552822300</v>
      </c>
      <c r="E178" s="57">
        <v>4320</v>
      </c>
      <c r="F178" s="10" t="s">
        <v>164</v>
      </c>
      <c r="G178" s="88">
        <v>0</v>
      </c>
      <c r="H178" s="70">
        <f t="shared" si="6"/>
        <v>0</v>
      </c>
      <c r="I178" s="11">
        <f t="shared" ca="1" si="8"/>
        <v>46124</v>
      </c>
      <c r="J178" s="11">
        <f t="shared" ca="1" si="1"/>
        <v>46118</v>
      </c>
      <c r="K178" s="8"/>
    </row>
    <row r="179" spans="1:11" ht="18" x14ac:dyDescent="0.4">
      <c r="A179" s="7" t="s">
        <v>98</v>
      </c>
      <c r="B179" s="85" t="s">
        <v>163</v>
      </c>
      <c r="C179" s="8">
        <v>10675</v>
      </c>
      <c r="D179" s="9">
        <v>552822310</v>
      </c>
      <c r="E179" s="57">
        <v>4320</v>
      </c>
      <c r="F179" s="10" t="s">
        <v>165</v>
      </c>
      <c r="G179" s="88">
        <v>0</v>
      </c>
      <c r="H179" s="70">
        <f t="shared" si="6"/>
        <v>0</v>
      </c>
      <c r="I179" s="11">
        <f t="shared" ca="1" si="8"/>
        <v>46124</v>
      </c>
      <c r="J179" s="11">
        <f t="shared" ca="1" si="1"/>
        <v>46118</v>
      </c>
      <c r="K179" s="8"/>
    </row>
    <row r="180" spans="1:11" ht="18" x14ac:dyDescent="0.4">
      <c r="A180" s="7" t="s">
        <v>98</v>
      </c>
      <c r="B180" s="85" t="s">
        <v>167</v>
      </c>
      <c r="C180" s="8">
        <v>64641</v>
      </c>
      <c r="D180" s="9">
        <v>463543900</v>
      </c>
      <c r="E180" s="57">
        <v>20000</v>
      </c>
      <c r="F180" s="10" t="s">
        <v>168</v>
      </c>
      <c r="G180" s="88">
        <v>0</v>
      </c>
      <c r="H180" s="70">
        <f t="shared" si="6"/>
        <v>0</v>
      </c>
      <c r="I180" s="11">
        <f t="shared" ca="1" si="8"/>
        <v>46124</v>
      </c>
      <c r="J180" s="11">
        <f t="shared" ca="1" si="1"/>
        <v>46118</v>
      </c>
      <c r="K180" s="13"/>
    </row>
    <row r="181" spans="1:11" ht="18" x14ac:dyDescent="0.4">
      <c r="A181" s="7" t="s">
        <v>98</v>
      </c>
      <c r="B181" s="85" t="s">
        <v>703</v>
      </c>
      <c r="C181" s="8">
        <v>15565</v>
      </c>
      <c r="D181" s="9">
        <v>463526200</v>
      </c>
      <c r="E181" s="57">
        <v>30</v>
      </c>
      <c r="F181" s="10" t="s">
        <v>155</v>
      </c>
      <c r="G181" s="88">
        <v>0</v>
      </c>
      <c r="H181" s="70">
        <f t="shared" si="6"/>
        <v>0</v>
      </c>
      <c r="I181" s="11">
        <f t="shared" ca="1" si="8"/>
        <v>46124</v>
      </c>
      <c r="J181" s="11">
        <f t="shared" ca="1" si="1"/>
        <v>46118</v>
      </c>
      <c r="K181" s="13"/>
    </row>
    <row r="182" spans="1:11" ht="18" x14ac:dyDescent="0.4">
      <c r="A182" s="7" t="s">
        <v>98</v>
      </c>
      <c r="B182" s="85" t="s">
        <v>703</v>
      </c>
      <c r="C182" s="8">
        <v>15565</v>
      </c>
      <c r="D182" s="9">
        <v>463548380</v>
      </c>
      <c r="E182" s="57">
        <v>30</v>
      </c>
      <c r="F182" s="10" t="s">
        <v>155</v>
      </c>
      <c r="G182" s="88">
        <v>0</v>
      </c>
      <c r="H182" s="70">
        <f t="shared" si="6"/>
        <v>0</v>
      </c>
      <c r="I182" s="11">
        <f t="shared" ca="1" si="8"/>
        <v>46124</v>
      </c>
      <c r="J182" s="11">
        <f t="shared" ca="1" si="1"/>
        <v>46118</v>
      </c>
      <c r="K182" s="13"/>
    </row>
    <row r="183" spans="1:11" ht="18" x14ac:dyDescent="0.4">
      <c r="A183" s="7" t="s">
        <v>98</v>
      </c>
      <c r="B183" s="85" t="s">
        <v>703</v>
      </c>
      <c r="C183" s="8">
        <v>15565</v>
      </c>
      <c r="D183" s="9">
        <v>463496640</v>
      </c>
      <c r="E183" s="57">
        <v>30</v>
      </c>
      <c r="F183" s="10" t="s">
        <v>155</v>
      </c>
      <c r="G183" s="88">
        <v>0</v>
      </c>
      <c r="H183" s="70">
        <f t="shared" si="6"/>
        <v>0</v>
      </c>
      <c r="I183" s="11">
        <f t="shared" ca="1" si="8"/>
        <v>46124</v>
      </c>
      <c r="J183" s="11">
        <f t="shared" ca="1" si="1"/>
        <v>46118</v>
      </c>
      <c r="K183" s="13"/>
    </row>
    <row r="184" spans="1:11" ht="18" x14ac:dyDescent="0.4">
      <c r="A184" s="7" t="s">
        <v>98</v>
      </c>
      <c r="B184" s="85" t="s">
        <v>169</v>
      </c>
      <c r="C184" s="8">
        <v>31610</v>
      </c>
      <c r="D184" s="9">
        <v>463595330</v>
      </c>
      <c r="E184" s="57">
        <v>40</v>
      </c>
      <c r="F184" s="10" t="s">
        <v>711</v>
      </c>
      <c r="G184" s="88">
        <v>0</v>
      </c>
      <c r="H184" s="70">
        <f t="shared" si="6"/>
        <v>0</v>
      </c>
      <c r="I184" s="11">
        <f t="shared" ca="1" si="8"/>
        <v>46124</v>
      </c>
      <c r="J184" s="11">
        <f t="shared" ca="1" si="1"/>
        <v>46118</v>
      </c>
      <c r="K184" s="13"/>
    </row>
    <row r="185" spans="1:11" ht="18" x14ac:dyDescent="0.4">
      <c r="A185" s="7" t="s">
        <v>98</v>
      </c>
      <c r="B185" s="85" t="s">
        <v>169</v>
      </c>
      <c r="C185" s="8">
        <v>31610</v>
      </c>
      <c r="D185" s="9">
        <v>552822380</v>
      </c>
      <c r="E185" s="57">
        <v>600</v>
      </c>
      <c r="F185" s="10" t="s">
        <v>170</v>
      </c>
      <c r="G185" s="88">
        <v>0</v>
      </c>
      <c r="H185" s="70">
        <f t="shared" si="6"/>
        <v>0</v>
      </c>
      <c r="I185" s="11">
        <f t="shared" ca="1" si="8"/>
        <v>46124</v>
      </c>
      <c r="J185" s="11">
        <f t="shared" ca="1" si="1"/>
        <v>46118</v>
      </c>
      <c r="K185" s="13"/>
    </row>
    <row r="186" spans="1:11" ht="18" x14ac:dyDescent="0.4">
      <c r="A186" s="7" t="s">
        <v>98</v>
      </c>
      <c r="B186" s="85" t="s">
        <v>169</v>
      </c>
      <c r="C186" s="8">
        <v>31610</v>
      </c>
      <c r="D186" s="9">
        <v>463572030</v>
      </c>
      <c r="E186" s="57">
        <v>600</v>
      </c>
      <c r="F186" s="10" t="s">
        <v>171</v>
      </c>
      <c r="G186" s="88">
        <v>0</v>
      </c>
      <c r="H186" s="70">
        <f t="shared" si="6"/>
        <v>0</v>
      </c>
      <c r="I186" s="11">
        <f t="shared" ca="1" si="8"/>
        <v>46124</v>
      </c>
      <c r="J186" s="11">
        <f t="shared" ca="1" si="1"/>
        <v>46118</v>
      </c>
      <c r="K186" s="13"/>
    </row>
    <row r="187" spans="1:11" ht="18" x14ac:dyDescent="0.4">
      <c r="A187" s="7" t="s">
        <v>98</v>
      </c>
      <c r="B187" s="85" t="s">
        <v>169</v>
      </c>
      <c r="C187" s="8">
        <v>31610</v>
      </c>
      <c r="D187" s="9">
        <v>463572050</v>
      </c>
      <c r="E187" s="57">
        <v>600</v>
      </c>
      <c r="F187" s="10" t="s">
        <v>172</v>
      </c>
      <c r="G187" s="88">
        <v>0</v>
      </c>
      <c r="H187" s="70">
        <f t="shared" si="6"/>
        <v>0</v>
      </c>
      <c r="I187" s="11">
        <f t="shared" ca="1" si="8"/>
        <v>46124</v>
      </c>
      <c r="J187" s="11">
        <f t="shared" ca="1" si="1"/>
        <v>46118</v>
      </c>
      <c r="K187" s="13"/>
    </row>
    <row r="188" spans="1:11" ht="18" x14ac:dyDescent="0.4">
      <c r="A188" s="7" t="s">
        <v>98</v>
      </c>
      <c r="B188" s="85" t="s">
        <v>169</v>
      </c>
      <c r="C188" s="8">
        <v>31610</v>
      </c>
      <c r="D188" s="9">
        <v>552823560</v>
      </c>
      <c r="E188" s="57">
        <v>600</v>
      </c>
      <c r="F188" s="10" t="s">
        <v>173</v>
      </c>
      <c r="G188" s="88">
        <v>0</v>
      </c>
      <c r="H188" s="70">
        <f t="shared" si="6"/>
        <v>0</v>
      </c>
      <c r="I188" s="11">
        <f t="shared" ca="1" si="8"/>
        <v>46124</v>
      </c>
      <c r="J188" s="11">
        <f t="shared" ca="1" si="1"/>
        <v>46118</v>
      </c>
      <c r="K188" s="13"/>
    </row>
    <row r="189" spans="1:11" ht="18" x14ac:dyDescent="0.4">
      <c r="A189" s="7" t="s">
        <v>98</v>
      </c>
      <c r="B189" s="85" t="s">
        <v>169</v>
      </c>
      <c r="C189" s="8">
        <v>31610</v>
      </c>
      <c r="D189" s="9">
        <v>463572040</v>
      </c>
      <c r="E189" s="57">
        <v>600</v>
      </c>
      <c r="F189" s="10" t="s">
        <v>174</v>
      </c>
      <c r="G189" s="88">
        <v>0</v>
      </c>
      <c r="H189" s="70">
        <f t="shared" si="6"/>
        <v>0</v>
      </c>
      <c r="I189" s="11">
        <f t="shared" ca="1" si="8"/>
        <v>46124</v>
      </c>
      <c r="J189" s="11">
        <f t="shared" ca="1" si="1"/>
        <v>46118</v>
      </c>
      <c r="K189" s="13"/>
    </row>
    <row r="190" spans="1:11" ht="18" x14ac:dyDescent="0.4">
      <c r="A190" s="7" t="s">
        <v>98</v>
      </c>
      <c r="B190" s="85" t="s">
        <v>169</v>
      </c>
      <c r="C190" s="8">
        <v>31610</v>
      </c>
      <c r="D190" s="9">
        <v>463595330</v>
      </c>
      <c r="E190" s="57">
        <v>600</v>
      </c>
      <c r="F190" s="10" t="s">
        <v>175</v>
      </c>
      <c r="G190" s="88">
        <v>0</v>
      </c>
      <c r="H190" s="70">
        <f t="shared" si="6"/>
        <v>0</v>
      </c>
      <c r="I190" s="11">
        <f ca="1">I189</f>
        <v>46124</v>
      </c>
      <c r="J190" s="11">
        <v>45868</v>
      </c>
      <c r="K190" s="13"/>
    </row>
    <row r="191" spans="1:11" ht="18" x14ac:dyDescent="0.4">
      <c r="A191" s="7" t="s">
        <v>98</v>
      </c>
      <c r="B191" s="85" t="s">
        <v>176</v>
      </c>
      <c r="C191" s="8">
        <v>50111</v>
      </c>
      <c r="D191" s="9">
        <v>552833910</v>
      </c>
      <c r="E191" s="57">
        <v>9000</v>
      </c>
      <c r="F191" s="10" t="s">
        <v>177</v>
      </c>
      <c r="G191" s="88">
        <v>0</v>
      </c>
      <c r="H191" s="70">
        <v>0</v>
      </c>
      <c r="I191" s="11">
        <f ca="1">I190</f>
        <v>46124</v>
      </c>
      <c r="J191" s="11">
        <v>45868</v>
      </c>
      <c r="K191" s="13"/>
    </row>
    <row r="192" spans="1:11" ht="18" x14ac:dyDescent="0.4">
      <c r="A192" s="7" t="s">
        <v>98</v>
      </c>
      <c r="B192" s="85" t="s">
        <v>178</v>
      </c>
      <c r="C192" s="8">
        <v>56589</v>
      </c>
      <c r="D192" s="9">
        <v>463384907</v>
      </c>
      <c r="E192" s="57">
        <v>30</v>
      </c>
      <c r="F192" s="10" t="s">
        <v>179</v>
      </c>
      <c r="G192" s="88">
        <v>900</v>
      </c>
      <c r="H192" s="70">
        <f t="shared" si="6"/>
        <v>30</v>
      </c>
      <c r="I192" s="11">
        <f t="shared" ref="I192:I199" ca="1" si="9">I182</f>
        <v>46124</v>
      </c>
      <c r="J192" s="11">
        <f t="shared" ca="1" si="1"/>
        <v>46118</v>
      </c>
      <c r="K192" s="13"/>
    </row>
    <row r="193" spans="1:11" ht="18" x14ac:dyDescent="0.4">
      <c r="A193" s="7" t="s">
        <v>98</v>
      </c>
      <c r="B193" s="85" t="s">
        <v>178</v>
      </c>
      <c r="C193" s="8">
        <v>56589</v>
      </c>
      <c r="D193" s="9">
        <v>463384997</v>
      </c>
      <c r="E193" s="57">
        <v>30</v>
      </c>
      <c r="F193" s="10" t="s">
        <v>180</v>
      </c>
      <c r="G193" s="88">
        <v>900</v>
      </c>
      <c r="H193" s="70">
        <f t="shared" si="6"/>
        <v>30</v>
      </c>
      <c r="I193" s="11">
        <f t="shared" ca="1" si="9"/>
        <v>46124</v>
      </c>
      <c r="J193" s="11">
        <f t="shared" ca="1" si="1"/>
        <v>46118</v>
      </c>
      <c r="K193" s="13"/>
    </row>
    <row r="194" spans="1:11" ht="18" x14ac:dyDescent="0.4">
      <c r="A194" s="7" t="s">
        <v>98</v>
      </c>
      <c r="B194" s="85" t="s">
        <v>181</v>
      </c>
      <c r="C194" s="8">
        <v>50050</v>
      </c>
      <c r="D194" s="9">
        <v>463529270</v>
      </c>
      <c r="E194" s="57">
        <v>432</v>
      </c>
      <c r="F194" s="10" t="s">
        <v>182</v>
      </c>
      <c r="G194" s="88">
        <v>0</v>
      </c>
      <c r="H194" s="70">
        <f t="shared" si="6"/>
        <v>0</v>
      </c>
      <c r="I194" s="11">
        <f t="shared" ca="1" si="9"/>
        <v>46124</v>
      </c>
      <c r="J194" s="11">
        <f t="shared" ca="1" si="1"/>
        <v>46118</v>
      </c>
      <c r="K194" s="13"/>
    </row>
    <row r="195" spans="1:11" ht="18" x14ac:dyDescent="0.4">
      <c r="A195" s="7" t="s">
        <v>98</v>
      </c>
      <c r="B195" s="85" t="s">
        <v>183</v>
      </c>
      <c r="C195" s="8">
        <v>30467</v>
      </c>
      <c r="D195" s="9">
        <v>552806540</v>
      </c>
      <c r="E195" s="57">
        <v>1200</v>
      </c>
      <c r="F195" s="10" t="s">
        <v>184</v>
      </c>
      <c r="G195" s="88">
        <v>0</v>
      </c>
      <c r="H195" s="70">
        <f t="shared" si="6"/>
        <v>0</v>
      </c>
      <c r="I195" s="11">
        <f t="shared" ca="1" si="9"/>
        <v>46124</v>
      </c>
      <c r="J195" s="11">
        <f t="shared" ca="1" si="1"/>
        <v>46118</v>
      </c>
      <c r="K195" s="13"/>
    </row>
    <row r="196" spans="1:11" ht="18" x14ac:dyDescent="0.4">
      <c r="A196" s="7" t="s">
        <v>98</v>
      </c>
      <c r="B196" s="85" t="s">
        <v>183</v>
      </c>
      <c r="C196" s="8">
        <v>30467</v>
      </c>
      <c r="D196" s="9">
        <v>463389730</v>
      </c>
      <c r="E196" s="57">
        <v>400</v>
      </c>
      <c r="F196" s="10" t="s">
        <v>185</v>
      </c>
      <c r="G196" s="88">
        <v>0</v>
      </c>
      <c r="H196" s="70">
        <f t="shared" si="6"/>
        <v>0</v>
      </c>
      <c r="I196" s="11">
        <f t="shared" ca="1" si="9"/>
        <v>46124</v>
      </c>
      <c r="J196" s="11">
        <f t="shared" ca="1" si="1"/>
        <v>46118</v>
      </c>
      <c r="K196" s="13"/>
    </row>
    <row r="197" spans="1:11" ht="18" x14ac:dyDescent="0.4">
      <c r="A197" s="7" t="s">
        <v>98</v>
      </c>
      <c r="B197" s="85" t="s">
        <v>183</v>
      </c>
      <c r="C197" s="8">
        <v>30467</v>
      </c>
      <c r="D197" s="9">
        <v>463532630</v>
      </c>
      <c r="E197" s="57">
        <v>250</v>
      </c>
      <c r="F197" s="10" t="s">
        <v>187</v>
      </c>
      <c r="G197" s="88">
        <v>0</v>
      </c>
      <c r="H197" s="70">
        <f t="shared" si="6"/>
        <v>0</v>
      </c>
      <c r="I197" s="11">
        <f t="shared" ca="1" si="9"/>
        <v>46124</v>
      </c>
      <c r="J197" s="11">
        <f t="shared" ca="1" si="1"/>
        <v>46118</v>
      </c>
      <c r="K197" s="13"/>
    </row>
    <row r="198" spans="1:11" ht="18" x14ac:dyDescent="0.4">
      <c r="A198" s="7" t="s">
        <v>98</v>
      </c>
      <c r="B198" s="85" t="s">
        <v>183</v>
      </c>
      <c r="C198" s="8">
        <v>30467</v>
      </c>
      <c r="D198" s="9">
        <v>552821810</v>
      </c>
      <c r="E198" s="57">
        <v>350</v>
      </c>
      <c r="F198" s="10" t="s">
        <v>188</v>
      </c>
      <c r="G198" s="88">
        <v>0</v>
      </c>
      <c r="H198" s="70">
        <f t="shared" ref="H198:H262" si="10">+G198/E198</f>
        <v>0</v>
      </c>
      <c r="I198" s="11">
        <f t="shared" ca="1" si="9"/>
        <v>46124</v>
      </c>
      <c r="J198" s="11">
        <f t="shared" ca="1" si="1"/>
        <v>46118</v>
      </c>
      <c r="K198" s="13"/>
    </row>
    <row r="199" spans="1:11" ht="18" x14ac:dyDescent="0.4">
      <c r="A199" s="7" t="s">
        <v>98</v>
      </c>
      <c r="B199" s="52" t="s">
        <v>189</v>
      </c>
      <c r="C199" s="49">
        <v>5934</v>
      </c>
      <c r="D199" s="50">
        <v>463384870</v>
      </c>
      <c r="E199" s="49">
        <v>1000</v>
      </c>
      <c r="F199" s="51" t="s">
        <v>190</v>
      </c>
      <c r="G199" s="88">
        <v>0</v>
      </c>
      <c r="H199" s="70">
        <f t="shared" si="10"/>
        <v>0</v>
      </c>
      <c r="I199" s="11">
        <f t="shared" ca="1" si="9"/>
        <v>46124</v>
      </c>
      <c r="J199" s="11">
        <f t="shared" ca="1" si="1"/>
        <v>46118</v>
      </c>
      <c r="K199" s="13"/>
    </row>
    <row r="200" spans="1:11" ht="18" x14ac:dyDescent="0.4">
      <c r="A200" s="7" t="s">
        <v>98</v>
      </c>
      <c r="B200" s="52" t="s">
        <v>189</v>
      </c>
      <c r="C200" s="49">
        <v>5934</v>
      </c>
      <c r="D200" s="50">
        <v>463516230</v>
      </c>
      <c r="E200" s="49">
        <v>80</v>
      </c>
      <c r="F200" s="51" t="s">
        <v>191</v>
      </c>
      <c r="G200" s="88">
        <v>0</v>
      </c>
      <c r="H200" s="70">
        <f t="shared" si="10"/>
        <v>0</v>
      </c>
      <c r="I200" s="11">
        <f t="shared" ca="1" si="8"/>
        <v>46124</v>
      </c>
      <c r="J200" s="11">
        <f t="shared" ca="1" si="1"/>
        <v>46118</v>
      </c>
      <c r="K200" s="13"/>
    </row>
    <row r="201" spans="1:11" ht="18" x14ac:dyDescent="0.4">
      <c r="A201" s="7" t="s">
        <v>98</v>
      </c>
      <c r="B201" s="85" t="s">
        <v>189</v>
      </c>
      <c r="C201" s="8">
        <v>5934</v>
      </c>
      <c r="D201" s="9">
        <v>552841160</v>
      </c>
      <c r="E201" s="57">
        <v>1000</v>
      </c>
      <c r="F201" s="10" t="s">
        <v>192</v>
      </c>
      <c r="G201" s="88">
        <v>0</v>
      </c>
      <c r="H201" s="70">
        <f t="shared" si="10"/>
        <v>0</v>
      </c>
      <c r="I201" s="11">
        <f t="shared" ca="1" si="8"/>
        <v>46124</v>
      </c>
      <c r="J201" s="11">
        <f t="shared" ca="1" si="1"/>
        <v>46118</v>
      </c>
      <c r="K201" s="13"/>
    </row>
    <row r="202" spans="1:11" ht="18" x14ac:dyDescent="0.4">
      <c r="A202" s="7" t="s">
        <v>98</v>
      </c>
      <c r="B202" s="85" t="s">
        <v>193</v>
      </c>
      <c r="C202" s="8">
        <v>19414</v>
      </c>
      <c r="D202" s="9">
        <v>463532640</v>
      </c>
      <c r="E202" s="57">
        <v>1100</v>
      </c>
      <c r="F202" s="10" t="s">
        <v>194</v>
      </c>
      <c r="G202" s="88">
        <v>0</v>
      </c>
      <c r="H202" s="70">
        <f t="shared" si="10"/>
        <v>0</v>
      </c>
      <c r="I202" s="11">
        <f t="shared" ca="1" si="8"/>
        <v>46124</v>
      </c>
      <c r="J202" s="11">
        <f t="shared" ca="1" si="1"/>
        <v>46118</v>
      </c>
      <c r="K202" s="13"/>
    </row>
    <row r="203" spans="1:11" ht="18" x14ac:dyDescent="0.4">
      <c r="A203" s="7" t="s">
        <v>98</v>
      </c>
      <c r="B203" s="85" t="s">
        <v>193</v>
      </c>
      <c r="C203" s="8">
        <v>19414</v>
      </c>
      <c r="D203" s="9">
        <v>463532650</v>
      </c>
      <c r="E203" s="57">
        <v>800</v>
      </c>
      <c r="F203" s="10" t="s">
        <v>195</v>
      </c>
      <c r="G203" s="88">
        <v>0</v>
      </c>
      <c r="H203" s="70">
        <f t="shared" si="10"/>
        <v>0</v>
      </c>
      <c r="I203" s="11">
        <f t="shared" ca="1" si="8"/>
        <v>46124</v>
      </c>
      <c r="J203" s="11">
        <f t="shared" ca="1" si="1"/>
        <v>46118</v>
      </c>
      <c r="K203" s="13"/>
    </row>
    <row r="204" spans="1:11" ht="18" x14ac:dyDescent="0.4">
      <c r="A204" s="7" t="s">
        <v>98</v>
      </c>
      <c r="B204" s="85" t="s">
        <v>193</v>
      </c>
      <c r="C204" s="8">
        <v>19414</v>
      </c>
      <c r="D204" s="9">
        <v>162970240</v>
      </c>
      <c r="E204" s="57">
        <v>500</v>
      </c>
      <c r="F204" s="10" t="s">
        <v>196</v>
      </c>
      <c r="G204" s="88">
        <v>0</v>
      </c>
      <c r="H204" s="70">
        <f t="shared" si="10"/>
        <v>0</v>
      </c>
      <c r="I204" s="11">
        <f t="shared" ca="1" si="8"/>
        <v>46124</v>
      </c>
      <c r="J204" s="11">
        <f t="shared" ca="1" si="1"/>
        <v>46118</v>
      </c>
      <c r="K204" s="13"/>
    </row>
    <row r="205" spans="1:11" ht="18" x14ac:dyDescent="0.4">
      <c r="A205" s="7" t="s">
        <v>98</v>
      </c>
      <c r="B205" s="85" t="s">
        <v>197</v>
      </c>
      <c r="C205" s="8">
        <v>1020</v>
      </c>
      <c r="D205" s="9">
        <v>463379748</v>
      </c>
      <c r="E205" s="57">
        <v>18</v>
      </c>
      <c r="F205" s="10" t="s">
        <v>198</v>
      </c>
      <c r="G205" s="88">
        <v>0</v>
      </c>
      <c r="H205" s="70">
        <f t="shared" si="10"/>
        <v>0</v>
      </c>
      <c r="I205" s="11">
        <f t="shared" ca="1" si="8"/>
        <v>46124</v>
      </c>
      <c r="J205" s="11">
        <f t="shared" ca="1" si="1"/>
        <v>46118</v>
      </c>
      <c r="K205" s="13"/>
    </row>
    <row r="206" spans="1:11" ht="18" x14ac:dyDescent="0.4">
      <c r="A206" s="7" t="s">
        <v>98</v>
      </c>
      <c r="B206" s="85" t="s">
        <v>197</v>
      </c>
      <c r="C206" s="8">
        <v>1020</v>
      </c>
      <c r="D206" s="9">
        <v>463379778</v>
      </c>
      <c r="E206" s="57">
        <v>18</v>
      </c>
      <c r="F206" s="10" t="s">
        <v>199</v>
      </c>
      <c r="G206" s="88">
        <v>0</v>
      </c>
      <c r="H206" s="70">
        <f t="shared" si="10"/>
        <v>0</v>
      </c>
      <c r="I206" s="11">
        <f t="shared" ca="1" si="8"/>
        <v>46124</v>
      </c>
      <c r="J206" s="11">
        <f t="shared" ca="1" si="1"/>
        <v>46118</v>
      </c>
      <c r="K206" s="13"/>
    </row>
    <row r="207" spans="1:11" ht="18" x14ac:dyDescent="0.4">
      <c r="A207" s="7" t="s">
        <v>98</v>
      </c>
      <c r="B207" s="85" t="s">
        <v>200</v>
      </c>
      <c r="C207" s="8">
        <v>1073</v>
      </c>
      <c r="D207" s="9">
        <v>463576288</v>
      </c>
      <c r="E207" s="57">
        <v>27</v>
      </c>
      <c r="F207" s="10" t="s">
        <v>201</v>
      </c>
      <c r="G207" s="88">
        <v>0</v>
      </c>
      <c r="H207" s="70">
        <f t="shared" si="10"/>
        <v>0</v>
      </c>
      <c r="I207" s="11">
        <f t="shared" ref="I207:I247" ca="1" si="11">I206</f>
        <v>46124</v>
      </c>
      <c r="J207" s="11">
        <f t="shared" ca="1" si="1"/>
        <v>46118</v>
      </c>
      <c r="K207" s="13"/>
    </row>
    <row r="208" spans="1:11" ht="18" x14ac:dyDescent="0.4">
      <c r="A208" s="7" t="s">
        <v>98</v>
      </c>
      <c r="B208" s="85" t="s">
        <v>200</v>
      </c>
      <c r="C208" s="8">
        <v>1073</v>
      </c>
      <c r="D208" s="9">
        <v>463576277</v>
      </c>
      <c r="E208" s="57">
        <v>36</v>
      </c>
      <c r="F208" s="10" t="s">
        <v>202</v>
      </c>
      <c r="G208" s="88">
        <v>0</v>
      </c>
      <c r="H208" s="70">
        <f t="shared" si="10"/>
        <v>0</v>
      </c>
      <c r="I208" s="11">
        <f t="shared" ca="1" si="11"/>
        <v>46124</v>
      </c>
      <c r="J208" s="11">
        <f t="shared" ca="1" si="1"/>
        <v>46118</v>
      </c>
      <c r="K208" s="13"/>
    </row>
    <row r="209" spans="1:11" ht="18" x14ac:dyDescent="0.4">
      <c r="A209" s="7" t="s">
        <v>98</v>
      </c>
      <c r="B209" s="85" t="s">
        <v>197</v>
      </c>
      <c r="C209" s="8">
        <v>1020</v>
      </c>
      <c r="D209" s="9">
        <v>463384927</v>
      </c>
      <c r="E209" s="57">
        <v>32</v>
      </c>
      <c r="F209" s="10" t="s">
        <v>203</v>
      </c>
      <c r="G209" s="88">
        <v>640</v>
      </c>
      <c r="H209" s="70">
        <f t="shared" si="10"/>
        <v>20</v>
      </c>
      <c r="I209" s="11">
        <f t="shared" ca="1" si="11"/>
        <v>46124</v>
      </c>
      <c r="J209" s="11">
        <f t="shared" ca="1" si="1"/>
        <v>46118</v>
      </c>
      <c r="K209" s="13"/>
    </row>
    <row r="210" spans="1:11" ht="18" x14ac:dyDescent="0.4">
      <c r="A210" s="7" t="s">
        <v>98</v>
      </c>
      <c r="B210" s="85" t="s">
        <v>197</v>
      </c>
      <c r="C210" s="8">
        <v>1020</v>
      </c>
      <c r="D210" s="9">
        <v>463489077</v>
      </c>
      <c r="E210" s="57">
        <v>32</v>
      </c>
      <c r="F210" s="10" t="s">
        <v>204</v>
      </c>
      <c r="G210" s="88">
        <v>640</v>
      </c>
      <c r="H210" s="70">
        <f t="shared" si="10"/>
        <v>20</v>
      </c>
      <c r="I210" s="11">
        <f t="shared" ca="1" si="11"/>
        <v>46124</v>
      </c>
      <c r="J210" s="11">
        <f t="shared" ca="1" si="1"/>
        <v>46118</v>
      </c>
      <c r="K210" s="13"/>
    </row>
    <row r="211" spans="1:11" ht="18" x14ac:dyDescent="0.4">
      <c r="A211" s="7" t="s">
        <v>98</v>
      </c>
      <c r="B211" s="85" t="s">
        <v>205</v>
      </c>
      <c r="C211" s="8">
        <v>11431</v>
      </c>
      <c r="D211" s="9">
        <v>463526240</v>
      </c>
      <c r="E211" s="57">
        <v>800</v>
      </c>
      <c r="F211" s="10" t="s">
        <v>206</v>
      </c>
      <c r="G211" s="88">
        <v>0</v>
      </c>
      <c r="H211" s="70">
        <f t="shared" si="10"/>
        <v>0</v>
      </c>
      <c r="I211" s="11">
        <f t="shared" ca="1" si="11"/>
        <v>46124</v>
      </c>
      <c r="J211" s="11">
        <f t="shared" ca="1" si="1"/>
        <v>46118</v>
      </c>
      <c r="K211" s="13"/>
    </row>
    <row r="212" spans="1:11" ht="18" x14ac:dyDescent="0.4">
      <c r="A212" s="7" t="s">
        <v>98</v>
      </c>
      <c r="B212" s="85" t="s">
        <v>205</v>
      </c>
      <c r="C212" s="8">
        <v>11431</v>
      </c>
      <c r="D212" s="9">
        <v>463496660</v>
      </c>
      <c r="E212" s="57">
        <v>800</v>
      </c>
      <c r="F212" s="10" t="s">
        <v>206</v>
      </c>
      <c r="G212" s="88">
        <v>0</v>
      </c>
      <c r="H212" s="70">
        <f t="shared" si="10"/>
        <v>0</v>
      </c>
      <c r="I212" s="11">
        <f t="shared" ca="1" si="11"/>
        <v>46124</v>
      </c>
      <c r="J212" s="11">
        <f t="shared" ca="1" si="1"/>
        <v>46118</v>
      </c>
      <c r="K212" s="13"/>
    </row>
    <row r="213" spans="1:11" ht="18" x14ac:dyDescent="0.4">
      <c r="A213" s="7" t="s">
        <v>98</v>
      </c>
      <c r="B213" s="85" t="s">
        <v>205</v>
      </c>
      <c r="C213" s="8">
        <v>11431</v>
      </c>
      <c r="D213" s="9">
        <v>463492670</v>
      </c>
      <c r="E213" s="57">
        <v>800</v>
      </c>
      <c r="F213" s="10" t="s">
        <v>206</v>
      </c>
      <c r="G213" s="88">
        <v>0</v>
      </c>
      <c r="H213" s="70">
        <f t="shared" si="10"/>
        <v>0</v>
      </c>
      <c r="I213" s="11">
        <f t="shared" ca="1" si="11"/>
        <v>46124</v>
      </c>
      <c r="J213" s="11">
        <f t="shared" ca="1" si="1"/>
        <v>46118</v>
      </c>
      <c r="K213" s="13"/>
    </row>
    <row r="214" spans="1:11" ht="18" x14ac:dyDescent="0.4">
      <c r="A214" s="7" t="s">
        <v>98</v>
      </c>
      <c r="B214" s="85" t="s">
        <v>207</v>
      </c>
      <c r="C214" s="8">
        <v>14928</v>
      </c>
      <c r="D214" s="9">
        <v>463556950</v>
      </c>
      <c r="E214" s="57">
        <v>40</v>
      </c>
      <c r="F214" s="10" t="s">
        <v>208</v>
      </c>
      <c r="G214" s="88">
        <v>0</v>
      </c>
      <c r="H214" s="70">
        <f t="shared" si="10"/>
        <v>0</v>
      </c>
      <c r="I214" s="11">
        <f t="shared" ca="1" si="11"/>
        <v>46124</v>
      </c>
      <c r="J214" s="11">
        <f t="shared" ca="1" si="1"/>
        <v>46118</v>
      </c>
      <c r="K214" s="13"/>
    </row>
    <row r="215" spans="1:11" ht="18" x14ac:dyDescent="0.4">
      <c r="A215" s="7" t="s">
        <v>98</v>
      </c>
      <c r="B215" s="85" t="s">
        <v>207</v>
      </c>
      <c r="C215" s="8">
        <v>14928</v>
      </c>
      <c r="D215" s="9">
        <v>463526220</v>
      </c>
      <c r="E215" s="57">
        <v>40</v>
      </c>
      <c r="F215" s="10" t="s">
        <v>209</v>
      </c>
      <c r="G215" s="88">
        <v>0</v>
      </c>
      <c r="H215" s="70">
        <f t="shared" si="10"/>
        <v>0</v>
      </c>
      <c r="I215" s="11">
        <f t="shared" ca="1" si="11"/>
        <v>46124</v>
      </c>
      <c r="J215" s="11">
        <f t="shared" ca="1" si="1"/>
        <v>46118</v>
      </c>
      <c r="K215" s="13"/>
    </row>
    <row r="216" spans="1:11" ht="18" x14ac:dyDescent="0.4">
      <c r="A216" s="7" t="s">
        <v>98</v>
      </c>
      <c r="B216" s="85" t="s">
        <v>207</v>
      </c>
      <c r="C216" s="8">
        <v>14928</v>
      </c>
      <c r="D216" s="9">
        <v>463496630</v>
      </c>
      <c r="E216" s="57">
        <v>40</v>
      </c>
      <c r="F216" s="10" t="s">
        <v>210</v>
      </c>
      <c r="G216" s="88">
        <v>0</v>
      </c>
      <c r="H216" s="70">
        <f t="shared" si="10"/>
        <v>0</v>
      </c>
      <c r="I216" s="11">
        <f t="shared" ca="1" si="11"/>
        <v>46124</v>
      </c>
      <c r="J216" s="11">
        <f t="shared" ca="1" si="1"/>
        <v>46118</v>
      </c>
      <c r="K216" s="13"/>
    </row>
    <row r="217" spans="1:11" ht="18" x14ac:dyDescent="0.4">
      <c r="A217" s="7" t="s">
        <v>98</v>
      </c>
      <c r="B217" s="85" t="s">
        <v>207</v>
      </c>
      <c r="C217" s="8">
        <v>14928</v>
      </c>
      <c r="D217" s="9">
        <v>463358702</v>
      </c>
      <c r="E217" s="57">
        <v>100</v>
      </c>
      <c r="F217" s="10" t="s">
        <v>211</v>
      </c>
      <c r="G217" s="88">
        <v>0</v>
      </c>
      <c r="H217" s="70">
        <f t="shared" si="10"/>
        <v>0</v>
      </c>
      <c r="I217" s="11">
        <f t="shared" ca="1" si="11"/>
        <v>46124</v>
      </c>
      <c r="J217" s="11">
        <f t="shared" ca="1" si="1"/>
        <v>46118</v>
      </c>
      <c r="K217" s="13"/>
    </row>
    <row r="218" spans="1:11" ht="18" x14ac:dyDescent="0.4">
      <c r="A218" s="7" t="s">
        <v>98</v>
      </c>
      <c r="B218" s="85" t="s">
        <v>207</v>
      </c>
      <c r="C218" s="8">
        <v>14928</v>
      </c>
      <c r="D218" s="9">
        <v>463564010</v>
      </c>
      <c r="E218" s="57">
        <v>100</v>
      </c>
      <c r="F218" s="10" t="s">
        <v>212</v>
      </c>
      <c r="G218" s="88">
        <v>0</v>
      </c>
      <c r="H218" s="70">
        <f t="shared" si="10"/>
        <v>0</v>
      </c>
      <c r="I218" s="11">
        <f t="shared" ca="1" si="11"/>
        <v>46124</v>
      </c>
      <c r="J218" s="11">
        <f t="shared" ca="1" si="1"/>
        <v>46118</v>
      </c>
      <c r="K218" s="13"/>
    </row>
    <row r="219" spans="1:11" ht="18" x14ac:dyDescent="0.4">
      <c r="A219" s="7" t="s">
        <v>98</v>
      </c>
      <c r="B219" s="85" t="s">
        <v>207</v>
      </c>
      <c r="C219" s="8">
        <v>14928</v>
      </c>
      <c r="D219" s="9">
        <v>463383610</v>
      </c>
      <c r="E219" s="57">
        <v>40</v>
      </c>
      <c r="F219" s="10" t="s">
        <v>213</v>
      </c>
      <c r="G219" s="88">
        <v>0</v>
      </c>
      <c r="H219" s="70">
        <f t="shared" si="10"/>
        <v>0</v>
      </c>
      <c r="I219" s="11">
        <f t="shared" ca="1" si="11"/>
        <v>46124</v>
      </c>
      <c r="J219" s="11">
        <f t="shared" ca="1" si="1"/>
        <v>46118</v>
      </c>
      <c r="K219" s="13"/>
    </row>
    <row r="220" spans="1:11" ht="18" x14ac:dyDescent="0.4">
      <c r="A220" s="7" t="s">
        <v>98</v>
      </c>
      <c r="B220" s="85" t="s">
        <v>214</v>
      </c>
      <c r="C220" s="8">
        <v>21342</v>
      </c>
      <c r="D220" s="9">
        <v>463485520</v>
      </c>
      <c r="E220" s="57">
        <v>480</v>
      </c>
      <c r="F220" s="10" t="s">
        <v>215</v>
      </c>
      <c r="G220" s="88">
        <v>0</v>
      </c>
      <c r="H220" s="70">
        <f t="shared" si="10"/>
        <v>0</v>
      </c>
      <c r="I220" s="11">
        <f t="shared" ca="1" si="11"/>
        <v>46124</v>
      </c>
      <c r="J220" s="11">
        <f t="shared" ca="1" si="1"/>
        <v>46118</v>
      </c>
      <c r="K220" s="13"/>
    </row>
    <row r="221" spans="1:11" ht="18" x14ac:dyDescent="0.4">
      <c r="A221" s="7" t="s">
        <v>98</v>
      </c>
      <c r="B221" s="85" t="s">
        <v>214</v>
      </c>
      <c r="C221" s="8">
        <v>21342</v>
      </c>
      <c r="D221" s="9">
        <v>463496650</v>
      </c>
      <c r="E221" s="57">
        <v>25</v>
      </c>
      <c r="F221" s="10" t="s">
        <v>216</v>
      </c>
      <c r="G221" s="88">
        <v>1800</v>
      </c>
      <c r="H221" s="70">
        <f t="shared" si="10"/>
        <v>72</v>
      </c>
      <c r="I221" s="11">
        <f t="shared" ca="1" si="11"/>
        <v>46124</v>
      </c>
      <c r="J221" s="11">
        <f t="shared" ca="1" si="1"/>
        <v>46118</v>
      </c>
      <c r="K221" s="13"/>
    </row>
    <row r="222" spans="1:11" ht="18" x14ac:dyDescent="0.4">
      <c r="A222" s="7" t="s">
        <v>98</v>
      </c>
      <c r="B222" s="85" t="s">
        <v>214</v>
      </c>
      <c r="C222" s="8">
        <v>21342</v>
      </c>
      <c r="D222" s="9">
        <v>463581750</v>
      </c>
      <c r="E222" s="57">
        <v>25</v>
      </c>
      <c r="F222" s="10" t="s">
        <v>216</v>
      </c>
      <c r="G222" s="88">
        <v>0</v>
      </c>
      <c r="H222" s="70">
        <f t="shared" si="10"/>
        <v>0</v>
      </c>
      <c r="I222" s="11">
        <f t="shared" ca="1" si="11"/>
        <v>46124</v>
      </c>
      <c r="J222" s="11">
        <f t="shared" ca="1" si="1"/>
        <v>46118</v>
      </c>
      <c r="K222" s="13"/>
    </row>
    <row r="223" spans="1:11" ht="18" x14ac:dyDescent="0.4">
      <c r="A223" s="7" t="s">
        <v>98</v>
      </c>
      <c r="B223" s="85" t="s">
        <v>214</v>
      </c>
      <c r="C223" s="8">
        <v>21342</v>
      </c>
      <c r="D223" s="9">
        <v>463491660</v>
      </c>
      <c r="E223" s="57">
        <v>300</v>
      </c>
      <c r="F223" s="10" t="s">
        <v>217</v>
      </c>
      <c r="G223" s="88">
        <v>0</v>
      </c>
      <c r="H223" s="70">
        <f t="shared" si="10"/>
        <v>0</v>
      </c>
      <c r="I223" s="11">
        <f t="shared" ca="1" si="11"/>
        <v>46124</v>
      </c>
      <c r="J223" s="11">
        <f t="shared" ca="1" si="1"/>
        <v>46118</v>
      </c>
      <c r="K223" s="13"/>
    </row>
    <row r="224" spans="1:11" ht="18" x14ac:dyDescent="0.4">
      <c r="A224" s="7" t="s">
        <v>98</v>
      </c>
      <c r="B224" s="85" t="s">
        <v>218</v>
      </c>
      <c r="C224" s="8">
        <v>23480</v>
      </c>
      <c r="D224" s="9">
        <v>552849890</v>
      </c>
      <c r="E224" s="57">
        <v>180</v>
      </c>
      <c r="F224" s="10" t="s">
        <v>219</v>
      </c>
      <c r="G224" s="88">
        <v>0</v>
      </c>
      <c r="H224" s="70">
        <f t="shared" si="10"/>
        <v>0</v>
      </c>
      <c r="I224" s="11">
        <f t="shared" ca="1" si="11"/>
        <v>46124</v>
      </c>
      <c r="J224" s="11">
        <f t="shared" ca="1" si="1"/>
        <v>46118</v>
      </c>
      <c r="K224" s="13"/>
    </row>
    <row r="225" spans="1:11" ht="18" x14ac:dyDescent="0.4">
      <c r="A225" s="7" t="s">
        <v>98</v>
      </c>
      <c r="B225" s="85" t="s">
        <v>218</v>
      </c>
      <c r="C225" s="8">
        <v>23480</v>
      </c>
      <c r="D225" s="9">
        <v>463357980</v>
      </c>
      <c r="E225" s="57">
        <v>1000</v>
      </c>
      <c r="F225" s="10" t="s">
        <v>712</v>
      </c>
      <c r="G225" s="88">
        <v>0</v>
      </c>
      <c r="H225" s="70">
        <f t="shared" si="10"/>
        <v>0</v>
      </c>
      <c r="I225" s="11">
        <f t="shared" ca="1" si="11"/>
        <v>46124</v>
      </c>
      <c r="J225" s="11">
        <f t="shared" ca="1" si="1"/>
        <v>46118</v>
      </c>
      <c r="K225" s="13"/>
    </row>
    <row r="226" spans="1:11" ht="18" x14ac:dyDescent="0.4">
      <c r="A226" s="7" t="s">
        <v>98</v>
      </c>
      <c r="B226" s="85" t="s">
        <v>218</v>
      </c>
      <c r="C226" s="8">
        <v>23480</v>
      </c>
      <c r="D226" s="9">
        <v>463482030</v>
      </c>
      <c r="E226" s="57">
        <v>200</v>
      </c>
      <c r="F226" s="10" t="s">
        <v>221</v>
      </c>
      <c r="G226" s="88">
        <v>0</v>
      </c>
      <c r="H226" s="70">
        <f t="shared" si="10"/>
        <v>0</v>
      </c>
      <c r="I226" s="11">
        <f t="shared" ca="1" si="11"/>
        <v>46124</v>
      </c>
      <c r="J226" s="11">
        <f t="shared" ca="1" si="1"/>
        <v>46118</v>
      </c>
      <c r="K226" s="13"/>
    </row>
    <row r="227" spans="1:11" ht="18" x14ac:dyDescent="0.4">
      <c r="A227" s="7" t="s">
        <v>98</v>
      </c>
      <c r="B227" s="85" t="s">
        <v>218</v>
      </c>
      <c r="C227" s="8">
        <v>23480</v>
      </c>
      <c r="D227" s="9">
        <v>144576860</v>
      </c>
      <c r="E227" s="57">
        <v>1500</v>
      </c>
      <c r="F227" s="10" t="s">
        <v>713</v>
      </c>
      <c r="G227" s="88">
        <v>0</v>
      </c>
      <c r="H227" s="70">
        <f t="shared" si="10"/>
        <v>0</v>
      </c>
      <c r="I227" s="11">
        <f t="shared" ca="1" si="11"/>
        <v>46124</v>
      </c>
      <c r="J227" s="11">
        <f t="shared" ca="1" si="1"/>
        <v>46118</v>
      </c>
      <c r="K227" s="13"/>
    </row>
    <row r="228" spans="1:11" ht="18" x14ac:dyDescent="0.4">
      <c r="A228" s="7" t="s">
        <v>98</v>
      </c>
      <c r="B228" s="85" t="s">
        <v>218</v>
      </c>
      <c r="C228" s="8">
        <v>23481</v>
      </c>
      <c r="D228" s="9">
        <v>463526250</v>
      </c>
      <c r="E228" s="57">
        <v>500</v>
      </c>
      <c r="F228" s="10" t="s">
        <v>224</v>
      </c>
      <c r="G228" s="88">
        <v>0</v>
      </c>
      <c r="H228" s="70">
        <f t="shared" si="10"/>
        <v>0</v>
      </c>
      <c r="I228" s="11">
        <f t="shared" ca="1" si="11"/>
        <v>46124</v>
      </c>
      <c r="J228" s="11">
        <f t="shared" ca="1" si="1"/>
        <v>46118</v>
      </c>
      <c r="K228" s="13"/>
    </row>
    <row r="229" spans="1:11" ht="18" x14ac:dyDescent="0.4">
      <c r="A229" s="7" t="s">
        <v>98</v>
      </c>
      <c r="B229" s="85" t="s">
        <v>218</v>
      </c>
      <c r="C229" s="8">
        <v>23481</v>
      </c>
      <c r="D229" s="9">
        <v>463399250</v>
      </c>
      <c r="E229" s="57">
        <v>500</v>
      </c>
      <c r="F229" s="10" t="s">
        <v>224</v>
      </c>
      <c r="G229" s="88">
        <v>0</v>
      </c>
      <c r="H229" s="70">
        <f t="shared" si="10"/>
        <v>0</v>
      </c>
      <c r="I229" s="11">
        <f t="shared" ca="1" si="11"/>
        <v>46124</v>
      </c>
      <c r="J229" s="11">
        <f t="shared" ca="1" si="1"/>
        <v>46118</v>
      </c>
      <c r="K229" s="13"/>
    </row>
    <row r="230" spans="1:11" ht="18" x14ac:dyDescent="0.4">
      <c r="A230" s="7" t="s">
        <v>98</v>
      </c>
      <c r="B230" s="85" t="s">
        <v>225</v>
      </c>
      <c r="C230" s="8">
        <v>27986</v>
      </c>
      <c r="D230" s="9">
        <v>463526190</v>
      </c>
      <c r="E230" s="57">
        <v>400</v>
      </c>
      <c r="F230" s="10" t="s">
        <v>226</v>
      </c>
      <c r="G230" s="88">
        <v>0</v>
      </c>
      <c r="H230" s="70">
        <f t="shared" si="10"/>
        <v>0</v>
      </c>
      <c r="I230" s="11">
        <f t="shared" ca="1" si="11"/>
        <v>46124</v>
      </c>
      <c r="J230" s="11">
        <f t="shared" ca="1" si="1"/>
        <v>46118</v>
      </c>
      <c r="K230" s="13"/>
    </row>
    <row r="231" spans="1:11" ht="18" x14ac:dyDescent="0.4">
      <c r="A231" s="7" t="s">
        <v>98</v>
      </c>
      <c r="B231" s="85" t="s">
        <v>225</v>
      </c>
      <c r="C231" s="8">
        <v>27986</v>
      </c>
      <c r="D231" s="9">
        <v>463524600</v>
      </c>
      <c r="E231" s="57">
        <v>500</v>
      </c>
      <c r="F231" s="10" t="s">
        <v>227</v>
      </c>
      <c r="G231" s="88">
        <v>0</v>
      </c>
      <c r="H231" s="70">
        <f t="shared" si="10"/>
        <v>0</v>
      </c>
      <c r="I231" s="11">
        <f t="shared" ca="1" si="11"/>
        <v>46124</v>
      </c>
      <c r="J231" s="11">
        <f t="shared" ca="1" si="1"/>
        <v>46118</v>
      </c>
      <c r="K231" s="13"/>
    </row>
    <row r="232" spans="1:11" ht="18" x14ac:dyDescent="0.4">
      <c r="A232" s="7" t="s">
        <v>98</v>
      </c>
      <c r="B232" s="85" t="s">
        <v>225</v>
      </c>
      <c r="C232" s="8">
        <v>27986</v>
      </c>
      <c r="D232" s="9">
        <v>552849810</v>
      </c>
      <c r="E232" s="57">
        <v>500</v>
      </c>
      <c r="F232" s="10" t="s">
        <v>228</v>
      </c>
      <c r="G232" s="88">
        <v>0</v>
      </c>
      <c r="H232" s="70">
        <f t="shared" si="10"/>
        <v>0</v>
      </c>
      <c r="I232" s="11">
        <f t="shared" ca="1" si="11"/>
        <v>46124</v>
      </c>
      <c r="J232" s="11">
        <f t="shared" ca="1" si="1"/>
        <v>46118</v>
      </c>
      <c r="K232" s="13"/>
    </row>
    <row r="233" spans="1:11" ht="18" x14ac:dyDescent="0.4">
      <c r="A233" s="7" t="s">
        <v>98</v>
      </c>
      <c r="B233" s="85" t="s">
        <v>225</v>
      </c>
      <c r="C233" s="8">
        <v>27986</v>
      </c>
      <c r="D233" s="9">
        <v>463355140</v>
      </c>
      <c r="E233" s="57">
        <v>500</v>
      </c>
      <c r="F233" s="10" t="s">
        <v>228</v>
      </c>
      <c r="G233" s="88">
        <v>0</v>
      </c>
      <c r="H233" s="70">
        <f t="shared" si="10"/>
        <v>0</v>
      </c>
      <c r="I233" s="11">
        <f t="shared" ca="1" si="11"/>
        <v>46124</v>
      </c>
      <c r="J233" s="11">
        <f t="shared" ca="1" si="1"/>
        <v>46118</v>
      </c>
      <c r="K233" s="13"/>
    </row>
    <row r="234" spans="1:11" ht="18" x14ac:dyDescent="0.4">
      <c r="A234" s="7" t="s">
        <v>98</v>
      </c>
      <c r="B234" s="85" t="s">
        <v>229</v>
      </c>
      <c r="C234" s="8">
        <v>32059</v>
      </c>
      <c r="D234" s="9">
        <v>552822590</v>
      </c>
      <c r="E234" s="57">
        <v>2800</v>
      </c>
      <c r="F234" s="10" t="s">
        <v>230</v>
      </c>
      <c r="G234" s="88">
        <v>0</v>
      </c>
      <c r="H234" s="70">
        <f t="shared" si="10"/>
        <v>0</v>
      </c>
      <c r="I234" s="11">
        <f t="shared" ca="1" si="11"/>
        <v>46124</v>
      </c>
      <c r="J234" s="11">
        <f t="shared" ca="1" si="1"/>
        <v>46118</v>
      </c>
      <c r="K234" s="13"/>
    </row>
    <row r="235" spans="1:11" ht="18" x14ac:dyDescent="0.4">
      <c r="A235" s="7" t="s">
        <v>98</v>
      </c>
      <c r="B235" s="85" t="s">
        <v>231</v>
      </c>
      <c r="C235" s="8">
        <v>32572</v>
      </c>
      <c r="D235" s="9">
        <v>552820870</v>
      </c>
      <c r="E235" s="57">
        <v>720</v>
      </c>
      <c r="F235" s="10" t="s">
        <v>232</v>
      </c>
      <c r="G235" s="88">
        <v>0</v>
      </c>
      <c r="H235" s="70">
        <f t="shared" si="10"/>
        <v>0</v>
      </c>
      <c r="I235" s="11">
        <f t="shared" ca="1" si="11"/>
        <v>46124</v>
      </c>
      <c r="J235" s="11">
        <f t="shared" ca="1" si="1"/>
        <v>46118</v>
      </c>
      <c r="K235" s="13"/>
    </row>
    <row r="236" spans="1:11" ht="18" x14ac:dyDescent="0.4">
      <c r="A236" s="7" t="s">
        <v>98</v>
      </c>
      <c r="B236" s="85" t="s">
        <v>714</v>
      </c>
      <c r="C236" s="8">
        <v>33518</v>
      </c>
      <c r="D236" s="9">
        <v>463496670</v>
      </c>
      <c r="E236" s="57">
        <v>48</v>
      </c>
      <c r="F236" s="10" t="s">
        <v>236</v>
      </c>
      <c r="G236" s="88">
        <v>0</v>
      </c>
      <c r="H236" s="70">
        <f t="shared" si="10"/>
        <v>0</v>
      </c>
      <c r="I236" s="11">
        <f t="shared" ca="1" si="11"/>
        <v>46124</v>
      </c>
      <c r="J236" s="11">
        <f t="shared" ca="1" si="1"/>
        <v>46118</v>
      </c>
      <c r="K236" s="13"/>
    </row>
    <row r="237" spans="1:11" ht="18" x14ac:dyDescent="0.4">
      <c r="A237" s="7" t="s">
        <v>98</v>
      </c>
      <c r="B237" s="85" t="s">
        <v>714</v>
      </c>
      <c r="C237" s="8">
        <v>33518</v>
      </c>
      <c r="D237" s="9">
        <v>463433880</v>
      </c>
      <c r="E237" s="57">
        <v>48</v>
      </c>
      <c r="F237" s="10" t="s">
        <v>237</v>
      </c>
      <c r="G237" s="88">
        <v>0</v>
      </c>
      <c r="H237" s="70">
        <f t="shared" si="10"/>
        <v>0</v>
      </c>
      <c r="I237" s="11">
        <f t="shared" ca="1" si="11"/>
        <v>46124</v>
      </c>
      <c r="J237" s="11">
        <f t="shared" ca="1" si="1"/>
        <v>46118</v>
      </c>
      <c r="K237" s="13"/>
    </row>
    <row r="238" spans="1:11" ht="18" x14ac:dyDescent="0.4">
      <c r="A238" s="7" t="s">
        <v>98</v>
      </c>
      <c r="B238" s="85" t="s">
        <v>715</v>
      </c>
      <c r="C238" s="8">
        <v>58696</v>
      </c>
      <c r="D238" s="9">
        <v>463495790</v>
      </c>
      <c r="E238" s="57">
        <v>1200</v>
      </c>
      <c r="F238" s="10" t="s">
        <v>239</v>
      </c>
      <c r="G238" s="88">
        <v>0</v>
      </c>
      <c r="H238" s="70">
        <f t="shared" si="10"/>
        <v>0</v>
      </c>
      <c r="I238" s="11">
        <f t="shared" ca="1" si="11"/>
        <v>46124</v>
      </c>
      <c r="J238" s="11">
        <f t="shared" ca="1" si="1"/>
        <v>46118</v>
      </c>
      <c r="K238" s="13"/>
    </row>
    <row r="239" spans="1:11" ht="18" x14ac:dyDescent="0.4">
      <c r="A239" s="7" t="s">
        <v>98</v>
      </c>
      <c r="B239" s="85" t="s">
        <v>697</v>
      </c>
      <c r="C239" s="8">
        <v>47104</v>
      </c>
      <c r="D239" s="9">
        <v>552840970</v>
      </c>
      <c r="E239" s="57">
        <v>240</v>
      </c>
      <c r="F239" s="10" t="s">
        <v>240</v>
      </c>
      <c r="G239" s="88">
        <v>0</v>
      </c>
      <c r="H239" s="70">
        <f t="shared" si="10"/>
        <v>0</v>
      </c>
      <c r="I239" s="11">
        <f t="shared" ca="1" si="11"/>
        <v>46124</v>
      </c>
      <c r="J239" s="11">
        <f t="shared" ca="1" si="1"/>
        <v>46118</v>
      </c>
      <c r="K239" s="13"/>
    </row>
    <row r="240" spans="1:11" ht="18" x14ac:dyDescent="0.4">
      <c r="A240" s="7" t="s">
        <v>98</v>
      </c>
      <c r="B240" s="85" t="s">
        <v>697</v>
      </c>
      <c r="C240" s="8">
        <v>47104</v>
      </c>
      <c r="D240" s="9">
        <v>552840960</v>
      </c>
      <c r="E240" s="57">
        <v>240</v>
      </c>
      <c r="F240" s="10" t="s">
        <v>241</v>
      </c>
      <c r="G240" s="88">
        <v>0</v>
      </c>
      <c r="H240" s="70">
        <f t="shared" si="10"/>
        <v>0</v>
      </c>
      <c r="I240" s="11">
        <f t="shared" ca="1" si="11"/>
        <v>46124</v>
      </c>
      <c r="J240" s="11">
        <f t="shared" ca="1" si="1"/>
        <v>46118</v>
      </c>
      <c r="K240" s="13"/>
    </row>
    <row r="241" spans="1:11" ht="18" x14ac:dyDescent="0.4">
      <c r="A241" s="7" t="s">
        <v>98</v>
      </c>
      <c r="B241" s="85" t="s">
        <v>716</v>
      </c>
      <c r="C241" s="8">
        <v>35657</v>
      </c>
      <c r="D241" s="9">
        <v>463370940</v>
      </c>
      <c r="E241" s="57">
        <v>500</v>
      </c>
      <c r="F241" s="10" t="s">
        <v>243</v>
      </c>
      <c r="G241" s="88">
        <v>0</v>
      </c>
      <c r="H241" s="70">
        <f t="shared" si="10"/>
        <v>0</v>
      </c>
      <c r="I241" s="11">
        <f t="shared" ca="1" si="11"/>
        <v>46124</v>
      </c>
      <c r="J241" s="11">
        <f t="shared" ca="1" si="1"/>
        <v>46118</v>
      </c>
      <c r="K241" s="13"/>
    </row>
    <row r="242" spans="1:11" ht="18" x14ac:dyDescent="0.4">
      <c r="A242" s="7" t="s">
        <v>98</v>
      </c>
      <c r="B242" s="85" t="s">
        <v>716</v>
      </c>
      <c r="C242" s="8">
        <v>35657</v>
      </c>
      <c r="D242" s="9">
        <v>463488490</v>
      </c>
      <c r="E242" s="57">
        <v>500</v>
      </c>
      <c r="F242" s="10" t="s">
        <v>243</v>
      </c>
      <c r="G242" s="88">
        <v>0</v>
      </c>
      <c r="H242" s="70">
        <f t="shared" si="10"/>
        <v>0</v>
      </c>
      <c r="I242" s="11">
        <f t="shared" ca="1" si="11"/>
        <v>46124</v>
      </c>
      <c r="J242" s="11">
        <f t="shared" ca="1" si="1"/>
        <v>46118</v>
      </c>
      <c r="K242" s="13"/>
    </row>
    <row r="243" spans="1:11" ht="18" x14ac:dyDescent="0.4">
      <c r="A243" s="7" t="s">
        <v>98</v>
      </c>
      <c r="B243" s="85" t="s">
        <v>244</v>
      </c>
      <c r="C243" s="8">
        <v>40840</v>
      </c>
      <c r="D243" s="9">
        <v>552822730</v>
      </c>
      <c r="E243" s="57">
        <v>750</v>
      </c>
      <c r="F243" s="10" t="s">
        <v>245</v>
      </c>
      <c r="G243" s="88">
        <v>0</v>
      </c>
      <c r="H243" s="70">
        <f t="shared" si="10"/>
        <v>0</v>
      </c>
      <c r="I243" s="11">
        <f t="shared" ca="1" si="11"/>
        <v>46124</v>
      </c>
      <c r="J243" s="11">
        <f t="shared" ca="1" si="1"/>
        <v>46118</v>
      </c>
      <c r="K243" s="13"/>
    </row>
    <row r="244" spans="1:11" ht="18" x14ac:dyDescent="0.4">
      <c r="A244" s="7" t="s">
        <v>98</v>
      </c>
      <c r="B244" s="85" t="s">
        <v>244</v>
      </c>
      <c r="C244" s="8">
        <v>40840</v>
      </c>
      <c r="D244" s="9">
        <v>552822450</v>
      </c>
      <c r="E244" s="57">
        <v>700</v>
      </c>
      <c r="F244" s="10" t="s">
        <v>717</v>
      </c>
      <c r="G244" s="88">
        <v>0</v>
      </c>
      <c r="H244" s="70">
        <f t="shared" si="10"/>
        <v>0</v>
      </c>
      <c r="I244" s="11">
        <f t="shared" ca="1" si="11"/>
        <v>46124</v>
      </c>
      <c r="J244" s="11">
        <f t="shared" ca="1" si="1"/>
        <v>46118</v>
      </c>
      <c r="K244" s="13"/>
    </row>
    <row r="245" spans="1:11" ht="18" x14ac:dyDescent="0.4">
      <c r="A245" s="7" t="s">
        <v>98</v>
      </c>
      <c r="B245" s="85" t="s">
        <v>244</v>
      </c>
      <c r="C245" s="8">
        <v>40840</v>
      </c>
      <c r="D245" s="9">
        <v>552822810</v>
      </c>
      <c r="E245" s="57">
        <v>400</v>
      </c>
      <c r="F245" s="10" t="s">
        <v>247</v>
      </c>
      <c r="G245" s="88">
        <v>0</v>
      </c>
      <c r="H245" s="70">
        <f t="shared" si="10"/>
        <v>0</v>
      </c>
      <c r="I245" s="11">
        <f t="shared" ca="1" si="11"/>
        <v>46124</v>
      </c>
      <c r="J245" s="11">
        <f t="shared" ca="1" si="1"/>
        <v>46118</v>
      </c>
      <c r="K245" s="13"/>
    </row>
    <row r="246" spans="1:11" ht="18" x14ac:dyDescent="0.4">
      <c r="A246" s="7" t="s">
        <v>98</v>
      </c>
      <c r="B246" s="85" t="s">
        <v>244</v>
      </c>
      <c r="C246" s="8">
        <v>40840</v>
      </c>
      <c r="D246" s="9">
        <v>463384870</v>
      </c>
      <c r="E246" s="57">
        <v>500</v>
      </c>
      <c r="F246" s="10" t="s">
        <v>718</v>
      </c>
      <c r="G246" s="88">
        <v>0</v>
      </c>
      <c r="H246" s="70">
        <f t="shared" si="10"/>
        <v>0</v>
      </c>
      <c r="I246" s="11">
        <f t="shared" ca="1" si="11"/>
        <v>46124</v>
      </c>
      <c r="J246" s="11">
        <f t="shared" ca="1" si="1"/>
        <v>46118</v>
      </c>
      <c r="K246" s="13"/>
    </row>
    <row r="247" spans="1:11" ht="18" x14ac:dyDescent="0.4">
      <c r="A247" s="32" t="s">
        <v>98</v>
      </c>
      <c r="B247" s="87" t="s">
        <v>244</v>
      </c>
      <c r="C247" s="33">
        <v>40840</v>
      </c>
      <c r="D247" s="34">
        <v>162970240</v>
      </c>
      <c r="E247" s="62">
        <v>250</v>
      </c>
      <c r="F247" s="35" t="s">
        <v>196</v>
      </c>
      <c r="G247" s="88">
        <v>0</v>
      </c>
      <c r="H247" s="70">
        <f t="shared" si="10"/>
        <v>0</v>
      </c>
      <c r="I247" s="11">
        <f t="shared" ca="1" si="11"/>
        <v>46124</v>
      </c>
      <c r="J247" s="11">
        <f t="shared" ca="1" si="1"/>
        <v>46118</v>
      </c>
      <c r="K247" s="13"/>
    </row>
    <row r="248" spans="1:11" ht="18" x14ac:dyDescent="0.4">
      <c r="A248" s="7" t="s">
        <v>0</v>
      </c>
      <c r="B248" s="60" t="s">
        <v>248</v>
      </c>
      <c r="C248" s="57">
        <v>72958</v>
      </c>
      <c r="D248" s="70">
        <v>463526030</v>
      </c>
      <c r="E248" s="57">
        <v>120</v>
      </c>
      <c r="F248" s="71" t="s">
        <v>249</v>
      </c>
      <c r="G248" s="91">
        <v>0</v>
      </c>
      <c r="H248" s="70">
        <f t="shared" si="10"/>
        <v>0</v>
      </c>
      <c r="I248" s="53">
        <f ca="1">I247</f>
        <v>46124</v>
      </c>
      <c r="J248" s="53">
        <f t="shared" ca="1" si="1"/>
        <v>46118</v>
      </c>
      <c r="K248" s="21"/>
    </row>
    <row r="249" spans="1:11" ht="18" x14ac:dyDescent="0.4">
      <c r="A249" s="7" t="s">
        <v>0</v>
      </c>
      <c r="B249" s="60" t="s">
        <v>248</v>
      </c>
      <c r="C249" s="57">
        <v>72958</v>
      </c>
      <c r="D249" s="70">
        <v>463523670</v>
      </c>
      <c r="E249" s="57">
        <v>120</v>
      </c>
      <c r="F249" s="71" t="s">
        <v>249</v>
      </c>
      <c r="G249" s="61">
        <v>0</v>
      </c>
      <c r="H249" s="70">
        <f t="shared" si="10"/>
        <v>0</v>
      </c>
      <c r="I249" s="53">
        <f t="shared" ref="I249:I312" ca="1" si="12">I248</f>
        <v>46124</v>
      </c>
      <c r="J249" s="53">
        <f t="shared" ca="1" si="1"/>
        <v>46118</v>
      </c>
      <c r="K249" s="21"/>
    </row>
    <row r="250" spans="1:11" ht="18" x14ac:dyDescent="0.4">
      <c r="A250" s="7" t="s">
        <v>0</v>
      </c>
      <c r="B250" s="60" t="s">
        <v>248</v>
      </c>
      <c r="C250" s="57">
        <v>72958</v>
      </c>
      <c r="D250" s="70">
        <v>463523680</v>
      </c>
      <c r="E250" s="57">
        <v>120</v>
      </c>
      <c r="F250" s="71" t="s">
        <v>249</v>
      </c>
      <c r="G250" s="61">
        <v>0</v>
      </c>
      <c r="H250" s="70">
        <f t="shared" si="10"/>
        <v>0</v>
      </c>
      <c r="I250" s="53">
        <f t="shared" ca="1" si="12"/>
        <v>46124</v>
      </c>
      <c r="J250" s="53">
        <f t="shared" ca="1" si="1"/>
        <v>46118</v>
      </c>
      <c r="K250" s="21"/>
    </row>
    <row r="251" spans="1:11" ht="18" x14ac:dyDescent="0.4">
      <c r="A251" s="7" t="s">
        <v>0</v>
      </c>
      <c r="B251" s="60" t="s">
        <v>248</v>
      </c>
      <c r="C251" s="57">
        <v>72958</v>
      </c>
      <c r="D251" s="70">
        <v>463524370</v>
      </c>
      <c r="E251" s="57">
        <v>120</v>
      </c>
      <c r="F251" s="71" t="s">
        <v>249</v>
      </c>
      <c r="G251" s="61">
        <v>0</v>
      </c>
      <c r="H251" s="70">
        <f t="shared" si="10"/>
        <v>0</v>
      </c>
      <c r="I251" s="53">
        <f t="shared" ca="1" si="12"/>
        <v>46124</v>
      </c>
      <c r="J251" s="53">
        <f t="shared" ca="1" si="1"/>
        <v>46118</v>
      </c>
      <c r="K251" s="7"/>
    </row>
    <row r="252" spans="1:11" ht="18" x14ac:dyDescent="0.4">
      <c r="A252" s="7" t="s">
        <v>0</v>
      </c>
      <c r="B252" s="60" t="s">
        <v>248</v>
      </c>
      <c r="C252" s="57">
        <v>72958</v>
      </c>
      <c r="D252" s="70">
        <v>463524380</v>
      </c>
      <c r="E252" s="57">
        <v>120</v>
      </c>
      <c r="F252" s="71" t="s">
        <v>249</v>
      </c>
      <c r="G252" s="61">
        <v>0</v>
      </c>
      <c r="H252" s="70">
        <f t="shared" si="10"/>
        <v>0</v>
      </c>
      <c r="I252" s="53">
        <f t="shared" ca="1" si="12"/>
        <v>46124</v>
      </c>
      <c r="J252" s="53">
        <f t="shared" ca="1" si="1"/>
        <v>46118</v>
      </c>
      <c r="K252" s="7"/>
    </row>
    <row r="253" spans="1:11" ht="18" x14ac:dyDescent="0.4">
      <c r="A253" s="7" t="s">
        <v>0</v>
      </c>
      <c r="B253" s="60" t="s">
        <v>250</v>
      </c>
      <c r="C253" s="57">
        <v>37866</v>
      </c>
      <c r="D253" s="70">
        <v>463453590</v>
      </c>
      <c r="E253" s="57">
        <v>120</v>
      </c>
      <c r="F253" s="71" t="s">
        <v>249</v>
      </c>
      <c r="G253" s="61">
        <v>0</v>
      </c>
      <c r="H253" s="70">
        <f t="shared" si="10"/>
        <v>0</v>
      </c>
      <c r="I253" s="53">
        <f t="shared" ca="1" si="12"/>
        <v>46124</v>
      </c>
      <c r="J253" s="53">
        <f t="shared" ca="1" si="1"/>
        <v>46118</v>
      </c>
      <c r="K253" s="21"/>
    </row>
    <row r="254" spans="1:11" ht="18" x14ac:dyDescent="0.4">
      <c r="A254" s="7" t="s">
        <v>0</v>
      </c>
      <c r="B254" s="81" t="s">
        <v>250</v>
      </c>
      <c r="C254" s="57">
        <v>37866</v>
      </c>
      <c r="D254" s="70">
        <v>463453600</v>
      </c>
      <c r="E254" s="57">
        <v>120</v>
      </c>
      <c r="F254" s="71" t="s">
        <v>251</v>
      </c>
      <c r="G254" s="61">
        <v>0</v>
      </c>
      <c r="H254" s="70">
        <f t="shared" si="10"/>
        <v>0</v>
      </c>
      <c r="I254" s="53">
        <f t="shared" ca="1" si="12"/>
        <v>46124</v>
      </c>
      <c r="J254" s="53">
        <f t="shared" ca="1" si="1"/>
        <v>46118</v>
      </c>
      <c r="K254" s="21"/>
    </row>
    <row r="255" spans="1:11" ht="18" x14ac:dyDescent="0.4">
      <c r="A255" s="7" t="s">
        <v>0</v>
      </c>
      <c r="B255" s="81" t="s">
        <v>250</v>
      </c>
      <c r="C255" s="57">
        <v>37866</v>
      </c>
      <c r="D255" s="70">
        <v>463453610</v>
      </c>
      <c r="E255" s="57">
        <v>120</v>
      </c>
      <c r="F255" s="71" t="s">
        <v>252</v>
      </c>
      <c r="G255" s="61">
        <v>0</v>
      </c>
      <c r="H255" s="70">
        <f t="shared" si="10"/>
        <v>0</v>
      </c>
      <c r="I255" s="53">
        <f t="shared" ca="1" si="12"/>
        <v>46124</v>
      </c>
      <c r="J255" s="53">
        <f t="shared" ca="1" si="1"/>
        <v>46118</v>
      </c>
      <c r="K255" s="21"/>
    </row>
    <row r="256" spans="1:11" ht="18" x14ac:dyDescent="0.4">
      <c r="A256" s="7" t="s">
        <v>0</v>
      </c>
      <c r="B256" s="81" t="s">
        <v>250</v>
      </c>
      <c r="C256" s="57">
        <v>37866</v>
      </c>
      <c r="D256" s="70">
        <v>463453620</v>
      </c>
      <c r="E256" s="57">
        <v>120</v>
      </c>
      <c r="F256" s="71" t="s">
        <v>253</v>
      </c>
      <c r="G256" s="61">
        <v>0</v>
      </c>
      <c r="H256" s="70">
        <f t="shared" si="10"/>
        <v>0</v>
      </c>
      <c r="I256" s="53">
        <f t="shared" ca="1" si="12"/>
        <v>46124</v>
      </c>
      <c r="J256" s="53">
        <f t="shared" ca="1" si="1"/>
        <v>46118</v>
      </c>
      <c r="K256" s="21"/>
    </row>
    <row r="257" spans="1:11" ht="18" x14ac:dyDescent="0.4">
      <c r="A257" s="7" t="s">
        <v>0</v>
      </c>
      <c r="B257" s="81" t="s">
        <v>250</v>
      </c>
      <c r="C257" s="57">
        <v>37866</v>
      </c>
      <c r="D257" s="70">
        <v>463453580</v>
      </c>
      <c r="E257" s="57">
        <v>120</v>
      </c>
      <c r="F257" s="71" t="s">
        <v>249</v>
      </c>
      <c r="G257" s="61">
        <v>0</v>
      </c>
      <c r="H257" s="70">
        <f t="shared" si="10"/>
        <v>0</v>
      </c>
      <c r="I257" s="53">
        <f t="shared" ca="1" si="12"/>
        <v>46124</v>
      </c>
      <c r="J257" s="53">
        <f t="shared" ca="1" si="1"/>
        <v>46118</v>
      </c>
      <c r="K257" s="7"/>
    </row>
    <row r="258" spans="1:11" ht="18" x14ac:dyDescent="0.4">
      <c r="A258" s="7" t="s">
        <v>0</v>
      </c>
      <c r="B258" s="81" t="s">
        <v>250</v>
      </c>
      <c r="C258" s="57">
        <v>37866</v>
      </c>
      <c r="D258" s="70">
        <v>463453570</v>
      </c>
      <c r="E258" s="57">
        <v>120</v>
      </c>
      <c r="F258" s="71" t="s">
        <v>249</v>
      </c>
      <c r="G258" s="61">
        <v>0</v>
      </c>
      <c r="H258" s="70">
        <f t="shared" si="10"/>
        <v>0</v>
      </c>
      <c r="I258" s="53">
        <f t="shared" ca="1" si="12"/>
        <v>46124</v>
      </c>
      <c r="J258" s="53">
        <f t="shared" ca="1" si="1"/>
        <v>46118</v>
      </c>
      <c r="K258" s="21"/>
    </row>
    <row r="259" spans="1:11" ht="18" x14ac:dyDescent="0.4">
      <c r="A259" s="7" t="s">
        <v>0</v>
      </c>
      <c r="B259" s="81" t="s">
        <v>250</v>
      </c>
      <c r="C259" s="57">
        <v>37866</v>
      </c>
      <c r="D259" s="70">
        <v>463522020</v>
      </c>
      <c r="E259" s="57">
        <v>120</v>
      </c>
      <c r="F259" s="71" t="s">
        <v>249</v>
      </c>
      <c r="G259" s="61">
        <v>0</v>
      </c>
      <c r="H259" s="70">
        <f t="shared" si="10"/>
        <v>0</v>
      </c>
      <c r="I259" s="53">
        <f t="shared" ca="1" si="12"/>
        <v>46124</v>
      </c>
      <c r="J259" s="53">
        <f t="shared" ca="1" si="1"/>
        <v>46118</v>
      </c>
      <c r="K259" s="21"/>
    </row>
    <row r="260" spans="1:11" ht="18" x14ac:dyDescent="0.4">
      <c r="A260" s="7" t="s">
        <v>0</v>
      </c>
      <c r="B260" s="81" t="s">
        <v>250</v>
      </c>
      <c r="C260" s="57">
        <v>37866</v>
      </c>
      <c r="D260" s="70">
        <v>463522030</v>
      </c>
      <c r="E260" s="57">
        <v>120</v>
      </c>
      <c r="F260" s="71" t="s">
        <v>249</v>
      </c>
      <c r="G260" s="61">
        <v>0</v>
      </c>
      <c r="H260" s="70">
        <f t="shared" si="10"/>
        <v>0</v>
      </c>
      <c r="I260" s="53">
        <f t="shared" ca="1" si="12"/>
        <v>46124</v>
      </c>
      <c r="J260" s="53">
        <f t="shared" ca="1" si="1"/>
        <v>46118</v>
      </c>
      <c r="K260" s="7"/>
    </row>
    <row r="261" spans="1:11" ht="18" x14ac:dyDescent="0.4">
      <c r="A261" s="7" t="s">
        <v>0</v>
      </c>
      <c r="B261" s="81" t="s">
        <v>254</v>
      </c>
      <c r="C261" s="57">
        <v>1097</v>
      </c>
      <c r="D261" s="70">
        <v>552172560</v>
      </c>
      <c r="E261" s="57">
        <v>32</v>
      </c>
      <c r="F261" s="71" t="s">
        <v>255</v>
      </c>
      <c r="G261" s="61">
        <v>0</v>
      </c>
      <c r="H261" s="70">
        <f t="shared" si="10"/>
        <v>0</v>
      </c>
      <c r="I261" s="53">
        <f t="shared" ca="1" si="12"/>
        <v>46124</v>
      </c>
      <c r="J261" s="53">
        <f t="shared" ref="J261:J515" ca="1" si="13">TODAY()</f>
        <v>46118</v>
      </c>
      <c r="K261" s="21"/>
    </row>
    <row r="262" spans="1:11" ht="18" x14ac:dyDescent="0.4">
      <c r="A262" s="7" t="s">
        <v>0</v>
      </c>
      <c r="B262" s="60" t="s">
        <v>254</v>
      </c>
      <c r="C262" s="57">
        <v>1097</v>
      </c>
      <c r="D262" s="70">
        <v>552172570</v>
      </c>
      <c r="E262" s="57">
        <v>32</v>
      </c>
      <c r="F262" s="71" t="s">
        <v>256</v>
      </c>
      <c r="G262" s="61">
        <v>0</v>
      </c>
      <c r="H262" s="70">
        <f t="shared" si="10"/>
        <v>0</v>
      </c>
      <c r="I262" s="53">
        <f ca="1">I261</f>
        <v>46124</v>
      </c>
      <c r="J262" s="53">
        <f t="shared" ca="1" si="13"/>
        <v>46118</v>
      </c>
      <c r="K262" s="21"/>
    </row>
    <row r="263" spans="1:11" ht="18" x14ac:dyDescent="0.4">
      <c r="A263" s="7" t="s">
        <v>0</v>
      </c>
      <c r="B263" s="60" t="s">
        <v>254</v>
      </c>
      <c r="C263" s="57">
        <v>1097</v>
      </c>
      <c r="D263" s="70">
        <v>463497420</v>
      </c>
      <c r="E263" s="57">
        <v>32</v>
      </c>
      <c r="F263" s="71" t="s">
        <v>257</v>
      </c>
      <c r="G263" s="61">
        <v>0</v>
      </c>
      <c r="H263" s="70">
        <f t="shared" ref="H263:H326" si="14">+G263/E263</f>
        <v>0</v>
      </c>
      <c r="I263" s="53">
        <f t="shared" ca="1" si="12"/>
        <v>46124</v>
      </c>
      <c r="J263" s="53">
        <f t="shared" ca="1" si="13"/>
        <v>46118</v>
      </c>
      <c r="K263" s="21"/>
    </row>
    <row r="264" spans="1:11" ht="18" x14ac:dyDescent="0.4">
      <c r="A264" s="7" t="s">
        <v>0</v>
      </c>
      <c r="B264" s="60" t="s">
        <v>254</v>
      </c>
      <c r="C264" s="57">
        <v>1097</v>
      </c>
      <c r="D264" s="70">
        <v>463497440</v>
      </c>
      <c r="E264" s="57">
        <v>32</v>
      </c>
      <c r="F264" s="71" t="s">
        <v>258</v>
      </c>
      <c r="G264" s="61">
        <v>0</v>
      </c>
      <c r="H264" s="70">
        <f t="shared" si="14"/>
        <v>0</v>
      </c>
      <c r="I264" s="53">
        <f t="shared" ca="1" si="12"/>
        <v>46124</v>
      </c>
      <c r="J264" s="53">
        <f t="shared" ca="1" si="13"/>
        <v>46118</v>
      </c>
      <c r="K264" s="21"/>
    </row>
    <row r="265" spans="1:11" ht="18" x14ac:dyDescent="0.4">
      <c r="A265" s="7" t="s">
        <v>0</v>
      </c>
      <c r="B265" s="60" t="s">
        <v>254</v>
      </c>
      <c r="C265" s="57">
        <v>1097</v>
      </c>
      <c r="D265" s="70">
        <v>552168990</v>
      </c>
      <c r="E265" s="57">
        <v>32</v>
      </c>
      <c r="F265" s="71" t="s">
        <v>257</v>
      </c>
      <c r="G265" s="61">
        <v>0</v>
      </c>
      <c r="H265" s="70">
        <f t="shared" si="14"/>
        <v>0</v>
      </c>
      <c r="I265" s="53">
        <f t="shared" ca="1" si="12"/>
        <v>46124</v>
      </c>
      <c r="J265" s="53">
        <f t="shared" ca="1" si="13"/>
        <v>46118</v>
      </c>
      <c r="K265" s="21"/>
    </row>
    <row r="266" spans="1:11" ht="18" x14ac:dyDescent="0.4">
      <c r="A266" s="7" t="s">
        <v>0</v>
      </c>
      <c r="B266" s="60" t="s">
        <v>254</v>
      </c>
      <c r="C266" s="57">
        <v>1097</v>
      </c>
      <c r="D266" s="70">
        <v>463478520</v>
      </c>
      <c r="E266" s="57">
        <v>32</v>
      </c>
      <c r="F266" s="71" t="s">
        <v>259</v>
      </c>
      <c r="G266" s="61">
        <v>0</v>
      </c>
      <c r="H266" s="70">
        <f t="shared" si="14"/>
        <v>0</v>
      </c>
      <c r="I266" s="53">
        <f t="shared" ca="1" si="12"/>
        <v>46124</v>
      </c>
      <c r="J266" s="53">
        <f t="shared" ca="1" si="13"/>
        <v>46118</v>
      </c>
      <c r="K266" s="21"/>
    </row>
    <row r="267" spans="1:11" ht="18" x14ac:dyDescent="0.4">
      <c r="A267" s="7" t="s">
        <v>0</v>
      </c>
      <c r="B267" s="60" t="s">
        <v>254</v>
      </c>
      <c r="C267" s="57">
        <v>1097</v>
      </c>
      <c r="D267" s="70">
        <v>463478480</v>
      </c>
      <c r="E267" s="57">
        <v>32</v>
      </c>
      <c r="F267" s="71" t="s">
        <v>260</v>
      </c>
      <c r="G267" s="61">
        <v>0</v>
      </c>
      <c r="H267" s="70">
        <f t="shared" si="14"/>
        <v>0</v>
      </c>
      <c r="I267" s="53">
        <f t="shared" ca="1" si="12"/>
        <v>46124</v>
      </c>
      <c r="J267" s="53">
        <f t="shared" ca="1" si="13"/>
        <v>46118</v>
      </c>
      <c r="K267" s="21"/>
    </row>
    <row r="268" spans="1:11" ht="18" x14ac:dyDescent="0.4">
      <c r="A268" s="7" t="s">
        <v>0</v>
      </c>
      <c r="B268" s="60" t="s">
        <v>254</v>
      </c>
      <c r="C268" s="57">
        <v>1097</v>
      </c>
      <c r="D268" s="70">
        <v>463478560</v>
      </c>
      <c r="E268" s="57">
        <v>32</v>
      </c>
      <c r="F268" s="71" t="s">
        <v>261</v>
      </c>
      <c r="G268" s="61">
        <v>0</v>
      </c>
      <c r="H268" s="70">
        <f t="shared" si="14"/>
        <v>0</v>
      </c>
      <c r="I268" s="53">
        <f t="shared" ca="1" si="12"/>
        <v>46124</v>
      </c>
      <c r="J268" s="53">
        <f t="shared" ca="1" si="13"/>
        <v>46118</v>
      </c>
      <c r="K268" s="21"/>
    </row>
    <row r="269" spans="1:11" ht="18" x14ac:dyDescent="0.4">
      <c r="A269" s="7" t="s">
        <v>0</v>
      </c>
      <c r="B269" s="60" t="s">
        <v>254</v>
      </c>
      <c r="C269" s="57">
        <v>1097</v>
      </c>
      <c r="D269" s="70">
        <v>463478590</v>
      </c>
      <c r="E269" s="57">
        <v>32</v>
      </c>
      <c r="F269" s="71" t="s">
        <v>262</v>
      </c>
      <c r="G269" s="61">
        <v>0</v>
      </c>
      <c r="H269" s="70">
        <f t="shared" si="14"/>
        <v>0</v>
      </c>
      <c r="I269" s="53">
        <f t="shared" ca="1" si="12"/>
        <v>46124</v>
      </c>
      <c r="J269" s="53">
        <f t="shared" ca="1" si="13"/>
        <v>46118</v>
      </c>
      <c r="K269" s="7"/>
    </row>
    <row r="270" spans="1:11" ht="18" x14ac:dyDescent="0.4">
      <c r="A270" s="7" t="s">
        <v>0</v>
      </c>
      <c r="B270" s="60" t="s">
        <v>254</v>
      </c>
      <c r="C270" s="57">
        <v>1097</v>
      </c>
      <c r="D270" s="70">
        <v>463526890</v>
      </c>
      <c r="E270" s="57">
        <v>32</v>
      </c>
      <c r="F270" s="71" t="s">
        <v>263</v>
      </c>
      <c r="G270" s="61">
        <v>0</v>
      </c>
      <c r="H270" s="70">
        <f t="shared" si="14"/>
        <v>0</v>
      </c>
      <c r="I270" s="53">
        <f t="shared" ca="1" si="12"/>
        <v>46124</v>
      </c>
      <c r="J270" s="53">
        <f t="shared" ca="1" si="13"/>
        <v>46118</v>
      </c>
      <c r="K270" s="7"/>
    </row>
    <row r="271" spans="1:11" ht="18" x14ac:dyDescent="0.4">
      <c r="A271" s="7" t="s">
        <v>0</v>
      </c>
      <c r="B271" s="60" t="s">
        <v>254</v>
      </c>
      <c r="C271" s="57">
        <v>1097</v>
      </c>
      <c r="D271" s="70">
        <v>463534080</v>
      </c>
      <c r="E271" s="57">
        <v>32</v>
      </c>
      <c r="F271" s="71" t="s">
        <v>263</v>
      </c>
      <c r="G271" s="61">
        <v>0</v>
      </c>
      <c r="H271" s="70">
        <f t="shared" si="14"/>
        <v>0</v>
      </c>
      <c r="I271" s="53">
        <f t="shared" ca="1" si="12"/>
        <v>46124</v>
      </c>
      <c r="J271" s="53">
        <f t="shared" ca="1" si="13"/>
        <v>46118</v>
      </c>
      <c r="K271" s="21"/>
    </row>
    <row r="272" spans="1:11" ht="18" x14ac:dyDescent="0.4">
      <c r="A272" s="7" t="s">
        <v>0</v>
      </c>
      <c r="B272" s="60" t="s">
        <v>264</v>
      </c>
      <c r="C272" s="7">
        <v>39667</v>
      </c>
      <c r="D272" s="9">
        <v>552809780</v>
      </c>
      <c r="E272" s="7">
        <v>360</v>
      </c>
      <c r="F272" s="19" t="s">
        <v>265</v>
      </c>
      <c r="G272" s="61">
        <v>0</v>
      </c>
      <c r="H272" s="70">
        <f t="shared" si="14"/>
        <v>0</v>
      </c>
      <c r="I272" s="53">
        <f t="shared" ca="1" si="12"/>
        <v>46124</v>
      </c>
      <c r="J272" s="53">
        <f t="shared" ca="1" si="13"/>
        <v>46118</v>
      </c>
      <c r="K272" s="21"/>
    </row>
    <row r="273" spans="1:11" ht="18" x14ac:dyDescent="0.4">
      <c r="A273" s="7" t="s">
        <v>0</v>
      </c>
      <c r="B273" s="81" t="s">
        <v>266</v>
      </c>
      <c r="C273" s="57">
        <v>35281</v>
      </c>
      <c r="D273" s="70">
        <v>521498190</v>
      </c>
      <c r="E273" s="57">
        <v>100</v>
      </c>
      <c r="F273" s="71" t="s">
        <v>267</v>
      </c>
      <c r="G273" s="61">
        <v>0</v>
      </c>
      <c r="H273" s="70">
        <f t="shared" si="14"/>
        <v>0</v>
      </c>
      <c r="I273" s="53">
        <f t="shared" ca="1" si="12"/>
        <v>46124</v>
      </c>
      <c r="J273" s="53">
        <f t="shared" ca="1" si="13"/>
        <v>46118</v>
      </c>
      <c r="K273" s="7"/>
    </row>
    <row r="274" spans="1:11" ht="18" x14ac:dyDescent="0.4">
      <c r="A274" s="7" t="s">
        <v>0</v>
      </c>
      <c r="B274" s="81" t="s">
        <v>266</v>
      </c>
      <c r="C274" s="57">
        <v>35281</v>
      </c>
      <c r="D274" s="70">
        <v>521641510</v>
      </c>
      <c r="E274" s="57">
        <v>100</v>
      </c>
      <c r="F274" s="71" t="s">
        <v>268</v>
      </c>
      <c r="G274" s="61">
        <v>0</v>
      </c>
      <c r="H274" s="70">
        <f t="shared" si="14"/>
        <v>0</v>
      </c>
      <c r="I274" s="53">
        <f t="shared" ca="1" si="12"/>
        <v>46124</v>
      </c>
      <c r="J274" s="53">
        <f t="shared" ca="1" si="13"/>
        <v>46118</v>
      </c>
      <c r="K274" s="7"/>
    </row>
    <row r="275" spans="1:11" ht="18" x14ac:dyDescent="0.4">
      <c r="A275" s="7" t="s">
        <v>0</v>
      </c>
      <c r="B275" s="81" t="s">
        <v>269</v>
      </c>
      <c r="C275" s="57">
        <v>64680</v>
      </c>
      <c r="D275" s="70">
        <v>552364550</v>
      </c>
      <c r="E275" s="57">
        <v>2160</v>
      </c>
      <c r="F275" s="71" t="s">
        <v>270</v>
      </c>
      <c r="G275" s="61">
        <v>0</v>
      </c>
      <c r="H275" s="70">
        <f t="shared" si="14"/>
        <v>0</v>
      </c>
      <c r="I275" s="53">
        <f t="shared" ca="1" si="12"/>
        <v>46124</v>
      </c>
      <c r="J275" s="53">
        <f t="shared" ca="1" si="13"/>
        <v>46118</v>
      </c>
      <c r="K275" s="21"/>
    </row>
    <row r="276" spans="1:11" ht="18" x14ac:dyDescent="0.4">
      <c r="A276" s="7" t="s">
        <v>0</v>
      </c>
      <c r="B276" s="81" t="s">
        <v>269</v>
      </c>
      <c r="C276" s="57">
        <v>64680</v>
      </c>
      <c r="D276" s="70">
        <v>552597520</v>
      </c>
      <c r="E276" s="57">
        <v>3600</v>
      </c>
      <c r="F276" s="71" t="s">
        <v>271</v>
      </c>
      <c r="G276" s="61">
        <v>0</v>
      </c>
      <c r="H276" s="70">
        <f t="shared" si="14"/>
        <v>0</v>
      </c>
      <c r="I276" s="53">
        <f t="shared" ca="1" si="12"/>
        <v>46124</v>
      </c>
      <c r="J276" s="53">
        <f t="shared" ca="1" si="13"/>
        <v>46118</v>
      </c>
      <c r="K276" s="21"/>
    </row>
    <row r="277" spans="1:11" ht="18" x14ac:dyDescent="0.4">
      <c r="A277" s="7" t="s">
        <v>0</v>
      </c>
      <c r="B277" s="81" t="s">
        <v>269</v>
      </c>
      <c r="C277" s="57">
        <v>64680</v>
      </c>
      <c r="D277" s="70">
        <v>551896360</v>
      </c>
      <c r="E277" s="57">
        <v>360</v>
      </c>
      <c r="F277" s="71" t="s">
        <v>272</v>
      </c>
      <c r="G277" s="61">
        <v>0</v>
      </c>
      <c r="H277" s="70">
        <f t="shared" si="14"/>
        <v>0</v>
      </c>
      <c r="I277" s="53">
        <f t="shared" ca="1" si="12"/>
        <v>46124</v>
      </c>
      <c r="J277" s="53">
        <f t="shared" ca="1" si="13"/>
        <v>46118</v>
      </c>
      <c r="K277" s="21"/>
    </row>
    <row r="278" spans="1:11" ht="18" x14ac:dyDescent="0.4">
      <c r="A278" s="7" t="s">
        <v>0</v>
      </c>
      <c r="B278" s="81" t="s">
        <v>269</v>
      </c>
      <c r="C278" s="57">
        <v>64680</v>
      </c>
      <c r="D278" s="70">
        <v>552305070</v>
      </c>
      <c r="E278" s="57">
        <v>360</v>
      </c>
      <c r="F278" s="71" t="s">
        <v>265</v>
      </c>
      <c r="G278" s="61">
        <v>0</v>
      </c>
      <c r="H278" s="70">
        <f t="shared" si="14"/>
        <v>0</v>
      </c>
      <c r="I278" s="53">
        <f t="shared" ca="1" si="12"/>
        <v>46124</v>
      </c>
      <c r="J278" s="53">
        <f t="shared" ca="1" si="13"/>
        <v>46118</v>
      </c>
      <c r="K278" s="21"/>
    </row>
    <row r="279" spans="1:11" ht="18" x14ac:dyDescent="0.4">
      <c r="A279" s="7" t="s">
        <v>0</v>
      </c>
      <c r="B279" s="81" t="s">
        <v>269</v>
      </c>
      <c r="C279" s="57">
        <v>64680</v>
      </c>
      <c r="D279" s="70">
        <v>463361860</v>
      </c>
      <c r="E279" s="57">
        <v>32</v>
      </c>
      <c r="F279" s="71" t="s">
        <v>273</v>
      </c>
      <c r="G279" s="61">
        <v>0</v>
      </c>
      <c r="H279" s="70">
        <f t="shared" si="14"/>
        <v>0</v>
      </c>
      <c r="I279" s="53">
        <f t="shared" ca="1" si="12"/>
        <v>46124</v>
      </c>
      <c r="J279" s="53">
        <f t="shared" ca="1" si="13"/>
        <v>46118</v>
      </c>
      <c r="K279" s="21"/>
    </row>
    <row r="280" spans="1:11" ht="18" x14ac:dyDescent="0.4">
      <c r="A280" s="7" t="s">
        <v>0</v>
      </c>
      <c r="B280" s="81" t="s">
        <v>269</v>
      </c>
      <c r="C280" s="57">
        <v>64680</v>
      </c>
      <c r="D280" s="70">
        <v>463361870</v>
      </c>
      <c r="E280" s="57">
        <v>32</v>
      </c>
      <c r="F280" s="71" t="s">
        <v>273</v>
      </c>
      <c r="G280" s="61">
        <v>0</v>
      </c>
      <c r="H280" s="70">
        <f t="shared" si="14"/>
        <v>0</v>
      </c>
      <c r="I280" s="53">
        <f t="shared" ca="1" si="12"/>
        <v>46124</v>
      </c>
      <c r="J280" s="53">
        <f t="shared" ca="1" si="13"/>
        <v>46118</v>
      </c>
      <c r="K280" s="21"/>
    </row>
    <row r="281" spans="1:11" ht="18" x14ac:dyDescent="0.4">
      <c r="A281" s="7" t="s">
        <v>0</v>
      </c>
      <c r="B281" s="81" t="s">
        <v>269</v>
      </c>
      <c r="C281" s="57">
        <v>64680</v>
      </c>
      <c r="D281" s="70">
        <v>463361880</v>
      </c>
      <c r="E281" s="57">
        <v>32</v>
      </c>
      <c r="F281" s="71" t="s">
        <v>274</v>
      </c>
      <c r="G281" s="61">
        <v>0</v>
      </c>
      <c r="H281" s="70">
        <f t="shared" si="14"/>
        <v>0</v>
      </c>
      <c r="I281" s="53">
        <f t="shared" ca="1" si="12"/>
        <v>46124</v>
      </c>
      <c r="J281" s="53">
        <f t="shared" ca="1" si="13"/>
        <v>46118</v>
      </c>
      <c r="K281" s="21"/>
    </row>
    <row r="282" spans="1:11" ht="18" x14ac:dyDescent="0.4">
      <c r="A282" s="7" t="s">
        <v>0</v>
      </c>
      <c r="B282" s="81" t="s">
        <v>269</v>
      </c>
      <c r="C282" s="57">
        <v>64680</v>
      </c>
      <c r="D282" s="70">
        <v>463361890</v>
      </c>
      <c r="E282" s="57">
        <v>32</v>
      </c>
      <c r="F282" s="71" t="s">
        <v>273</v>
      </c>
      <c r="G282" s="61">
        <v>0</v>
      </c>
      <c r="H282" s="70">
        <f t="shared" si="14"/>
        <v>0</v>
      </c>
      <c r="I282" s="53">
        <f t="shared" ca="1" si="12"/>
        <v>46124</v>
      </c>
      <c r="J282" s="53">
        <f t="shared" ca="1" si="13"/>
        <v>46118</v>
      </c>
      <c r="K282" s="21"/>
    </row>
    <row r="283" spans="1:11" ht="18" x14ac:dyDescent="0.4">
      <c r="A283" s="7" t="s">
        <v>0</v>
      </c>
      <c r="B283" s="81" t="s">
        <v>275</v>
      </c>
      <c r="C283" s="57">
        <v>37474</v>
      </c>
      <c r="D283" s="70">
        <v>518657410</v>
      </c>
      <c r="E283" s="57">
        <v>80</v>
      </c>
      <c r="F283" s="71" t="s">
        <v>276</v>
      </c>
      <c r="G283" s="61">
        <v>0</v>
      </c>
      <c r="H283" s="70">
        <f t="shared" si="14"/>
        <v>0</v>
      </c>
      <c r="I283" s="53">
        <f t="shared" ca="1" si="12"/>
        <v>46124</v>
      </c>
      <c r="J283" s="53">
        <f t="shared" ca="1" si="13"/>
        <v>46118</v>
      </c>
      <c r="K283" s="21"/>
    </row>
    <row r="284" spans="1:11" ht="18" x14ac:dyDescent="0.4">
      <c r="A284" s="7" t="s">
        <v>0</v>
      </c>
      <c r="B284" s="60" t="s">
        <v>277</v>
      </c>
      <c r="C284" s="57">
        <v>47097</v>
      </c>
      <c r="D284" s="70">
        <v>518469540</v>
      </c>
      <c r="E284" s="57">
        <v>80</v>
      </c>
      <c r="F284" s="71" t="s">
        <v>278</v>
      </c>
      <c r="G284" s="61">
        <v>0</v>
      </c>
      <c r="H284" s="70">
        <f t="shared" si="14"/>
        <v>0</v>
      </c>
      <c r="I284" s="53">
        <f t="shared" ca="1" si="12"/>
        <v>46124</v>
      </c>
      <c r="J284" s="53">
        <f t="shared" ca="1" si="13"/>
        <v>46118</v>
      </c>
      <c r="K284" s="21"/>
    </row>
    <row r="285" spans="1:11" ht="18" x14ac:dyDescent="0.4">
      <c r="A285" s="7" t="s">
        <v>0</v>
      </c>
      <c r="B285" s="60" t="s">
        <v>277</v>
      </c>
      <c r="C285" s="57">
        <v>47097</v>
      </c>
      <c r="D285" s="70">
        <v>521053400</v>
      </c>
      <c r="E285" s="57">
        <v>80</v>
      </c>
      <c r="F285" s="71" t="s">
        <v>279</v>
      </c>
      <c r="G285" s="61">
        <v>0</v>
      </c>
      <c r="H285" s="70">
        <f t="shared" si="14"/>
        <v>0</v>
      </c>
      <c r="I285" s="53">
        <f t="shared" ca="1" si="12"/>
        <v>46124</v>
      </c>
      <c r="J285" s="53">
        <f t="shared" ca="1" si="13"/>
        <v>46118</v>
      </c>
      <c r="K285" s="21"/>
    </row>
    <row r="286" spans="1:11" ht="18" x14ac:dyDescent="0.4">
      <c r="A286" s="7" t="s">
        <v>0</v>
      </c>
      <c r="B286" s="83" t="s">
        <v>277</v>
      </c>
      <c r="C286" s="75">
        <v>47097</v>
      </c>
      <c r="D286" s="76">
        <v>521053400</v>
      </c>
      <c r="E286" s="75">
        <v>80</v>
      </c>
      <c r="F286" s="77" t="s">
        <v>279</v>
      </c>
      <c r="G286" s="61">
        <v>0</v>
      </c>
      <c r="H286" s="70">
        <f t="shared" si="14"/>
        <v>0</v>
      </c>
      <c r="I286" s="11">
        <f t="shared" ca="1" si="12"/>
        <v>46124</v>
      </c>
      <c r="J286" s="11">
        <f t="shared" ca="1" si="13"/>
        <v>46118</v>
      </c>
      <c r="K286" s="8"/>
    </row>
    <row r="287" spans="1:11" ht="18" x14ac:dyDescent="0.4">
      <c r="A287" s="7" t="s">
        <v>0</v>
      </c>
      <c r="B287" s="60" t="s">
        <v>280</v>
      </c>
      <c r="C287" s="57">
        <v>78605</v>
      </c>
      <c r="D287" s="70">
        <v>552398190</v>
      </c>
      <c r="E287" s="57">
        <v>500</v>
      </c>
      <c r="F287" s="71" t="s">
        <v>281</v>
      </c>
      <c r="G287" s="61">
        <v>0</v>
      </c>
      <c r="H287" s="70">
        <f t="shared" si="14"/>
        <v>0</v>
      </c>
      <c r="I287" s="53">
        <f t="shared" ca="1" si="12"/>
        <v>46124</v>
      </c>
      <c r="J287" s="53">
        <f t="shared" ca="1" si="13"/>
        <v>46118</v>
      </c>
      <c r="K287" s="21"/>
    </row>
    <row r="288" spans="1:11" ht="18" x14ac:dyDescent="0.4">
      <c r="A288" s="7" t="s">
        <v>0</v>
      </c>
      <c r="B288" s="81" t="s">
        <v>282</v>
      </c>
      <c r="C288" s="57">
        <v>73850</v>
      </c>
      <c r="D288" s="70">
        <v>552188560</v>
      </c>
      <c r="E288" s="57">
        <v>50</v>
      </c>
      <c r="F288" s="71" t="s">
        <v>283</v>
      </c>
      <c r="G288" s="61">
        <v>0</v>
      </c>
      <c r="H288" s="70">
        <f t="shared" si="14"/>
        <v>0</v>
      </c>
      <c r="I288" s="53">
        <f t="shared" ca="1" si="12"/>
        <v>46124</v>
      </c>
      <c r="J288" s="53">
        <f t="shared" ca="1" si="13"/>
        <v>46118</v>
      </c>
      <c r="K288" s="21"/>
    </row>
    <row r="289" spans="1:11" ht="18" x14ac:dyDescent="0.4">
      <c r="A289" s="7" t="s">
        <v>0</v>
      </c>
      <c r="B289" s="81" t="s">
        <v>282</v>
      </c>
      <c r="C289" s="57">
        <v>73850</v>
      </c>
      <c r="D289" s="70">
        <v>552278750</v>
      </c>
      <c r="E289" s="57">
        <v>150</v>
      </c>
      <c r="F289" s="71" t="s">
        <v>284</v>
      </c>
      <c r="G289" s="61">
        <v>0</v>
      </c>
      <c r="H289" s="70">
        <f t="shared" si="14"/>
        <v>0</v>
      </c>
      <c r="I289" s="53">
        <f t="shared" ca="1" si="12"/>
        <v>46124</v>
      </c>
      <c r="J289" s="53">
        <f t="shared" ca="1" si="13"/>
        <v>46118</v>
      </c>
      <c r="K289" s="21"/>
    </row>
    <row r="290" spans="1:11" ht="18" x14ac:dyDescent="0.4">
      <c r="A290" s="7" t="s">
        <v>0</v>
      </c>
      <c r="B290" s="81" t="s">
        <v>282</v>
      </c>
      <c r="C290" s="57">
        <v>73850</v>
      </c>
      <c r="D290" s="70">
        <v>552278770</v>
      </c>
      <c r="E290" s="57">
        <v>150</v>
      </c>
      <c r="F290" s="71" t="s">
        <v>285</v>
      </c>
      <c r="G290" s="61">
        <v>0</v>
      </c>
      <c r="H290" s="70">
        <f t="shared" si="14"/>
        <v>0</v>
      </c>
      <c r="I290" s="53">
        <f t="shared" ca="1" si="12"/>
        <v>46124</v>
      </c>
      <c r="J290" s="53">
        <f t="shared" ca="1" si="13"/>
        <v>46118</v>
      </c>
      <c r="K290" s="21"/>
    </row>
    <row r="291" spans="1:11" ht="18" x14ac:dyDescent="0.4">
      <c r="A291" s="7" t="s">
        <v>0</v>
      </c>
      <c r="B291" s="81" t="s">
        <v>286</v>
      </c>
      <c r="C291" s="57">
        <v>51625</v>
      </c>
      <c r="D291" s="70">
        <v>551812430</v>
      </c>
      <c r="E291" s="57">
        <v>2160</v>
      </c>
      <c r="F291" s="71" t="s">
        <v>287</v>
      </c>
      <c r="G291" s="61">
        <v>0</v>
      </c>
      <c r="H291" s="70">
        <f t="shared" si="14"/>
        <v>0</v>
      </c>
      <c r="I291" s="53">
        <f t="shared" ca="1" si="12"/>
        <v>46124</v>
      </c>
      <c r="J291" s="53">
        <f t="shared" ca="1" si="13"/>
        <v>46118</v>
      </c>
      <c r="K291" s="21"/>
    </row>
    <row r="292" spans="1:11" ht="18" x14ac:dyDescent="0.4">
      <c r="A292" s="7" t="s">
        <v>0</v>
      </c>
      <c r="B292" s="81" t="s">
        <v>286</v>
      </c>
      <c r="C292" s="57">
        <v>51625</v>
      </c>
      <c r="D292" s="70">
        <v>552168510</v>
      </c>
      <c r="E292" s="57">
        <v>640</v>
      </c>
      <c r="F292" s="71" t="s">
        <v>287</v>
      </c>
      <c r="G292" s="61">
        <v>0</v>
      </c>
      <c r="H292" s="70">
        <f t="shared" si="14"/>
        <v>0</v>
      </c>
      <c r="I292" s="53">
        <f t="shared" ca="1" si="12"/>
        <v>46124</v>
      </c>
      <c r="J292" s="53">
        <f t="shared" ca="1" si="13"/>
        <v>46118</v>
      </c>
      <c r="K292" s="7"/>
    </row>
    <row r="293" spans="1:11" ht="18" x14ac:dyDescent="0.4">
      <c r="A293" s="7" t="s">
        <v>0</v>
      </c>
      <c r="B293" s="81" t="s">
        <v>286</v>
      </c>
      <c r="C293" s="57">
        <v>51625</v>
      </c>
      <c r="D293" s="70">
        <v>552188650</v>
      </c>
      <c r="E293" s="57">
        <v>640</v>
      </c>
      <c r="F293" s="71" t="s">
        <v>287</v>
      </c>
      <c r="G293" s="61">
        <v>0</v>
      </c>
      <c r="H293" s="70">
        <f t="shared" si="14"/>
        <v>0</v>
      </c>
      <c r="I293" s="53">
        <f t="shared" ca="1" si="12"/>
        <v>46124</v>
      </c>
      <c r="J293" s="53">
        <f t="shared" ca="1" si="13"/>
        <v>46118</v>
      </c>
      <c r="K293" s="7"/>
    </row>
    <row r="294" spans="1:11" ht="18" x14ac:dyDescent="0.4">
      <c r="A294" s="7" t="s">
        <v>0</v>
      </c>
      <c r="B294" s="82" t="s">
        <v>288</v>
      </c>
      <c r="C294" s="57">
        <v>20748</v>
      </c>
      <c r="D294" s="70">
        <v>552178590</v>
      </c>
      <c r="E294" s="57">
        <v>288</v>
      </c>
      <c r="F294" s="71" t="s">
        <v>289</v>
      </c>
      <c r="G294" s="61">
        <v>0</v>
      </c>
      <c r="H294" s="70">
        <f t="shared" si="14"/>
        <v>0</v>
      </c>
      <c r="I294" s="53">
        <f t="shared" ca="1" si="12"/>
        <v>46124</v>
      </c>
      <c r="J294" s="53">
        <f t="shared" ca="1" si="13"/>
        <v>46118</v>
      </c>
      <c r="K294" s="21"/>
    </row>
    <row r="295" spans="1:11" ht="18" x14ac:dyDescent="0.4">
      <c r="A295" s="7" t="s">
        <v>0</v>
      </c>
      <c r="B295" s="81" t="s">
        <v>290</v>
      </c>
      <c r="C295" s="57">
        <v>68265</v>
      </c>
      <c r="D295" s="70">
        <v>552776160</v>
      </c>
      <c r="E295" s="57">
        <v>150</v>
      </c>
      <c r="F295" s="71" t="s">
        <v>291</v>
      </c>
      <c r="G295" s="61">
        <v>0</v>
      </c>
      <c r="H295" s="70">
        <f t="shared" si="14"/>
        <v>0</v>
      </c>
      <c r="I295" s="11">
        <f t="shared" ca="1" si="12"/>
        <v>46124</v>
      </c>
      <c r="J295" s="11">
        <f t="shared" ca="1" si="13"/>
        <v>46118</v>
      </c>
      <c r="K295" s="13"/>
    </row>
    <row r="296" spans="1:11" ht="18" x14ac:dyDescent="0.4">
      <c r="A296" s="7" t="s">
        <v>0</v>
      </c>
      <c r="B296" s="81" t="s">
        <v>290</v>
      </c>
      <c r="C296" s="57">
        <v>68265</v>
      </c>
      <c r="D296" s="70">
        <v>552282450</v>
      </c>
      <c r="E296" s="57">
        <v>150</v>
      </c>
      <c r="F296" s="71" t="s">
        <v>291</v>
      </c>
      <c r="G296" s="61">
        <v>0</v>
      </c>
      <c r="H296" s="70">
        <f t="shared" si="14"/>
        <v>0</v>
      </c>
      <c r="I296" s="11">
        <f t="shared" ca="1" si="12"/>
        <v>46124</v>
      </c>
      <c r="J296" s="11">
        <f t="shared" ca="1" si="13"/>
        <v>46118</v>
      </c>
      <c r="K296" s="8"/>
    </row>
    <row r="297" spans="1:11" ht="18" x14ac:dyDescent="0.4">
      <c r="A297" s="7" t="s">
        <v>0</v>
      </c>
      <c r="B297" s="82" t="s">
        <v>292</v>
      </c>
      <c r="C297" s="57">
        <v>19424</v>
      </c>
      <c r="D297" s="70">
        <v>552384520</v>
      </c>
      <c r="E297" s="57">
        <v>1440</v>
      </c>
      <c r="F297" s="71" t="s">
        <v>293</v>
      </c>
      <c r="G297" s="61">
        <v>0</v>
      </c>
      <c r="H297" s="70">
        <f t="shared" si="14"/>
        <v>0</v>
      </c>
      <c r="I297" s="11">
        <f t="shared" ca="1" si="12"/>
        <v>46124</v>
      </c>
      <c r="J297" s="11">
        <f t="shared" ca="1" si="13"/>
        <v>46118</v>
      </c>
      <c r="K297" s="13"/>
    </row>
    <row r="298" spans="1:11" ht="18" x14ac:dyDescent="0.4">
      <c r="A298" s="7" t="s">
        <v>0</v>
      </c>
      <c r="B298" s="81" t="s">
        <v>294</v>
      </c>
      <c r="C298" s="57">
        <v>21796</v>
      </c>
      <c r="D298" s="70">
        <v>552807200</v>
      </c>
      <c r="E298" s="57">
        <v>1920</v>
      </c>
      <c r="F298" s="71" t="s">
        <v>293</v>
      </c>
      <c r="G298" s="61">
        <v>0</v>
      </c>
      <c r="H298" s="70">
        <f t="shared" si="14"/>
        <v>0</v>
      </c>
      <c r="I298" s="11">
        <f t="shared" ca="1" si="12"/>
        <v>46124</v>
      </c>
      <c r="J298" s="11">
        <f t="shared" ca="1" si="13"/>
        <v>46118</v>
      </c>
      <c r="K298" s="8"/>
    </row>
    <row r="299" spans="1:11" ht="18" x14ac:dyDescent="0.4">
      <c r="A299" s="7" t="s">
        <v>0</v>
      </c>
      <c r="B299" s="81" t="s">
        <v>295</v>
      </c>
      <c r="C299" s="60">
        <v>51620</v>
      </c>
      <c r="D299" s="70">
        <v>552610980</v>
      </c>
      <c r="E299" s="57">
        <v>840</v>
      </c>
      <c r="F299" s="71" t="s">
        <v>296</v>
      </c>
      <c r="G299" s="61">
        <v>0</v>
      </c>
      <c r="H299" s="70">
        <f t="shared" si="14"/>
        <v>0</v>
      </c>
      <c r="I299" s="11">
        <f t="shared" ca="1" si="12"/>
        <v>46124</v>
      </c>
      <c r="J299" s="11">
        <f t="shared" ca="1" si="13"/>
        <v>46118</v>
      </c>
      <c r="K299" s="8"/>
    </row>
    <row r="300" spans="1:11" ht="18" x14ac:dyDescent="0.4">
      <c r="A300" s="7" t="s">
        <v>0</v>
      </c>
      <c r="B300" s="81" t="s">
        <v>295</v>
      </c>
      <c r="C300" s="60">
        <v>51620</v>
      </c>
      <c r="D300" s="70">
        <v>552611020</v>
      </c>
      <c r="E300" s="57">
        <v>1440</v>
      </c>
      <c r="F300" s="71" t="s">
        <v>297</v>
      </c>
      <c r="G300" s="61">
        <v>0</v>
      </c>
      <c r="H300" s="70">
        <f t="shared" si="14"/>
        <v>0</v>
      </c>
      <c r="I300" s="11">
        <f t="shared" ca="1" si="12"/>
        <v>46124</v>
      </c>
      <c r="J300" s="11">
        <f t="shared" ca="1" si="13"/>
        <v>46118</v>
      </c>
      <c r="K300" s="13"/>
    </row>
    <row r="301" spans="1:11" ht="18" x14ac:dyDescent="0.4">
      <c r="A301" s="7" t="s">
        <v>0</v>
      </c>
      <c r="B301" s="81" t="s">
        <v>295</v>
      </c>
      <c r="C301" s="60">
        <v>51620</v>
      </c>
      <c r="D301" s="70">
        <v>552611060</v>
      </c>
      <c r="E301" s="57">
        <v>840</v>
      </c>
      <c r="F301" s="71" t="s">
        <v>298</v>
      </c>
      <c r="G301" s="61">
        <v>0</v>
      </c>
      <c r="H301" s="70">
        <f t="shared" si="14"/>
        <v>0</v>
      </c>
      <c r="I301" s="11">
        <f t="shared" ca="1" si="12"/>
        <v>46124</v>
      </c>
      <c r="J301" s="11">
        <f t="shared" ca="1" si="13"/>
        <v>46118</v>
      </c>
      <c r="K301" s="13"/>
    </row>
    <row r="302" spans="1:11" ht="18" x14ac:dyDescent="0.4">
      <c r="A302" s="7" t="s">
        <v>0</v>
      </c>
      <c r="B302" s="81" t="s">
        <v>295</v>
      </c>
      <c r="C302" s="60">
        <v>51620</v>
      </c>
      <c r="D302" s="70">
        <v>552670810</v>
      </c>
      <c r="E302" s="57">
        <v>840</v>
      </c>
      <c r="F302" s="71" t="s">
        <v>296</v>
      </c>
      <c r="G302" s="61">
        <v>0</v>
      </c>
      <c r="H302" s="70">
        <f t="shared" si="14"/>
        <v>0</v>
      </c>
      <c r="I302" s="11">
        <f t="shared" ca="1" si="12"/>
        <v>46124</v>
      </c>
      <c r="J302" s="11">
        <f t="shared" ca="1" si="13"/>
        <v>46118</v>
      </c>
      <c r="K302" s="13"/>
    </row>
    <row r="303" spans="1:11" ht="18" x14ac:dyDescent="0.4">
      <c r="A303" s="7" t="s">
        <v>0</v>
      </c>
      <c r="B303" s="81" t="s">
        <v>295</v>
      </c>
      <c r="C303" s="60">
        <v>51620</v>
      </c>
      <c r="D303" s="70">
        <v>552670830</v>
      </c>
      <c r="E303" s="57">
        <v>1440</v>
      </c>
      <c r="F303" s="71" t="s">
        <v>297</v>
      </c>
      <c r="G303" s="61">
        <v>0</v>
      </c>
      <c r="H303" s="70">
        <f t="shared" si="14"/>
        <v>0</v>
      </c>
      <c r="I303" s="11">
        <f t="shared" ca="1" si="12"/>
        <v>46124</v>
      </c>
      <c r="J303" s="11">
        <f t="shared" ca="1" si="13"/>
        <v>46118</v>
      </c>
      <c r="K303" s="13"/>
    </row>
    <row r="304" spans="1:11" ht="18" x14ac:dyDescent="0.4">
      <c r="A304" s="7" t="s">
        <v>0</v>
      </c>
      <c r="B304" s="81" t="s">
        <v>295</v>
      </c>
      <c r="C304" s="60">
        <v>51620</v>
      </c>
      <c r="D304" s="70">
        <v>552670850</v>
      </c>
      <c r="E304" s="57">
        <v>840</v>
      </c>
      <c r="F304" s="71" t="s">
        <v>298</v>
      </c>
      <c r="G304" s="61">
        <v>0</v>
      </c>
      <c r="H304" s="70">
        <f t="shared" si="14"/>
        <v>0</v>
      </c>
      <c r="I304" s="11">
        <f t="shared" ca="1" si="12"/>
        <v>46124</v>
      </c>
      <c r="J304" s="11">
        <f t="shared" ca="1" si="13"/>
        <v>46118</v>
      </c>
      <c r="K304" s="13"/>
    </row>
    <row r="305" spans="1:11" ht="18" x14ac:dyDescent="0.4">
      <c r="A305" s="7" t="s">
        <v>0</v>
      </c>
      <c r="B305" s="81" t="s">
        <v>295</v>
      </c>
      <c r="C305" s="60">
        <v>51620</v>
      </c>
      <c r="D305" s="70">
        <v>552527010</v>
      </c>
      <c r="E305" s="57">
        <v>840</v>
      </c>
      <c r="F305" s="71" t="s">
        <v>296</v>
      </c>
      <c r="G305" s="61">
        <v>0</v>
      </c>
      <c r="H305" s="70">
        <f t="shared" si="14"/>
        <v>0</v>
      </c>
      <c r="I305" s="11">
        <f t="shared" ca="1" si="12"/>
        <v>46124</v>
      </c>
      <c r="J305" s="11">
        <f t="shared" ca="1" si="13"/>
        <v>46118</v>
      </c>
      <c r="K305" s="13"/>
    </row>
    <row r="306" spans="1:11" ht="18" x14ac:dyDescent="0.4">
      <c r="A306" s="7" t="s">
        <v>0</v>
      </c>
      <c r="B306" s="81" t="s">
        <v>295</v>
      </c>
      <c r="C306" s="60">
        <v>51620</v>
      </c>
      <c r="D306" s="70">
        <v>552527050</v>
      </c>
      <c r="E306" s="57">
        <v>1456</v>
      </c>
      <c r="F306" s="71" t="s">
        <v>297</v>
      </c>
      <c r="G306" s="61">
        <v>0</v>
      </c>
      <c r="H306" s="70">
        <f t="shared" si="14"/>
        <v>0</v>
      </c>
      <c r="I306" s="11">
        <f t="shared" ca="1" si="12"/>
        <v>46124</v>
      </c>
      <c r="J306" s="11">
        <f t="shared" ca="1" si="13"/>
        <v>46118</v>
      </c>
      <c r="K306" s="8"/>
    </row>
    <row r="307" spans="1:11" ht="18" x14ac:dyDescent="0.4">
      <c r="A307" s="7" t="s">
        <v>0</v>
      </c>
      <c r="B307" s="81" t="s">
        <v>295</v>
      </c>
      <c r="C307" s="60">
        <v>51620</v>
      </c>
      <c r="D307" s="70">
        <v>552527090</v>
      </c>
      <c r="E307" s="57">
        <v>840</v>
      </c>
      <c r="F307" s="71" t="s">
        <v>298</v>
      </c>
      <c r="G307" s="61">
        <v>0</v>
      </c>
      <c r="H307" s="70">
        <f t="shared" si="14"/>
        <v>0</v>
      </c>
      <c r="I307" s="11">
        <f t="shared" ca="1" si="12"/>
        <v>46124</v>
      </c>
      <c r="J307" s="11">
        <f t="shared" ca="1" si="13"/>
        <v>46118</v>
      </c>
      <c r="K307" s="8"/>
    </row>
    <row r="308" spans="1:11" ht="18" x14ac:dyDescent="0.4">
      <c r="A308" s="7" t="s">
        <v>0</v>
      </c>
      <c r="B308" s="81" t="s">
        <v>295</v>
      </c>
      <c r="C308" s="60">
        <v>51620</v>
      </c>
      <c r="D308" s="70">
        <v>552718660</v>
      </c>
      <c r="E308" s="57">
        <v>840</v>
      </c>
      <c r="F308" s="71" t="s">
        <v>296</v>
      </c>
      <c r="G308" s="61">
        <v>0</v>
      </c>
      <c r="H308" s="70">
        <f t="shared" si="14"/>
        <v>0</v>
      </c>
      <c r="I308" s="11">
        <f t="shared" ca="1" si="12"/>
        <v>46124</v>
      </c>
      <c r="J308" s="11">
        <f t="shared" ca="1" si="13"/>
        <v>46118</v>
      </c>
      <c r="K308" s="13"/>
    </row>
    <row r="309" spans="1:11" ht="18" x14ac:dyDescent="0.4">
      <c r="A309" s="7" t="s">
        <v>0</v>
      </c>
      <c r="B309" s="81" t="s">
        <v>295</v>
      </c>
      <c r="C309" s="60">
        <v>51620</v>
      </c>
      <c r="D309" s="70">
        <v>552720150</v>
      </c>
      <c r="E309" s="57">
        <v>1440</v>
      </c>
      <c r="F309" s="71" t="s">
        <v>297</v>
      </c>
      <c r="G309" s="61">
        <v>0</v>
      </c>
      <c r="H309" s="70">
        <f t="shared" si="14"/>
        <v>0</v>
      </c>
      <c r="I309" s="11">
        <f t="shared" ca="1" si="12"/>
        <v>46124</v>
      </c>
      <c r="J309" s="11">
        <f t="shared" ca="1" si="13"/>
        <v>46118</v>
      </c>
      <c r="K309" s="8"/>
    </row>
    <row r="310" spans="1:11" ht="18" x14ac:dyDescent="0.4">
      <c r="A310" s="7" t="s">
        <v>0</v>
      </c>
      <c r="B310" s="81" t="s">
        <v>295</v>
      </c>
      <c r="C310" s="60">
        <v>51620</v>
      </c>
      <c r="D310" s="70">
        <v>552720240</v>
      </c>
      <c r="E310" s="57">
        <v>840</v>
      </c>
      <c r="F310" s="71" t="s">
        <v>298</v>
      </c>
      <c r="G310" s="61">
        <v>0</v>
      </c>
      <c r="H310" s="70">
        <f t="shared" si="14"/>
        <v>0</v>
      </c>
      <c r="I310" s="11">
        <f t="shared" ca="1" si="12"/>
        <v>46124</v>
      </c>
      <c r="J310" s="11">
        <f t="shared" ca="1" si="13"/>
        <v>46118</v>
      </c>
      <c r="K310" s="13"/>
    </row>
    <row r="311" spans="1:11" ht="18" x14ac:dyDescent="0.4">
      <c r="A311" s="7" t="s">
        <v>0</v>
      </c>
      <c r="B311" s="81" t="s">
        <v>295</v>
      </c>
      <c r="C311" s="60">
        <v>51620</v>
      </c>
      <c r="D311" s="70">
        <v>552527390</v>
      </c>
      <c r="E311" s="57">
        <v>840</v>
      </c>
      <c r="F311" s="71" t="s">
        <v>296</v>
      </c>
      <c r="G311" s="61">
        <v>0</v>
      </c>
      <c r="H311" s="70">
        <f t="shared" si="14"/>
        <v>0</v>
      </c>
      <c r="I311" s="11">
        <f t="shared" ca="1" si="12"/>
        <v>46124</v>
      </c>
      <c r="J311" s="11">
        <f t="shared" ca="1" si="13"/>
        <v>46118</v>
      </c>
      <c r="K311" s="13"/>
    </row>
    <row r="312" spans="1:11" ht="18" x14ac:dyDescent="0.4">
      <c r="A312" s="7" t="s">
        <v>0</v>
      </c>
      <c r="B312" s="81" t="s">
        <v>295</v>
      </c>
      <c r="C312" s="60">
        <v>51620</v>
      </c>
      <c r="D312" s="70">
        <v>552527680</v>
      </c>
      <c r="E312" s="57">
        <v>1440</v>
      </c>
      <c r="F312" s="71" t="s">
        <v>297</v>
      </c>
      <c r="G312" s="61">
        <v>0</v>
      </c>
      <c r="H312" s="70">
        <f t="shared" si="14"/>
        <v>0</v>
      </c>
      <c r="I312" s="11">
        <f t="shared" ca="1" si="12"/>
        <v>46124</v>
      </c>
      <c r="J312" s="11">
        <f t="shared" ca="1" si="13"/>
        <v>46118</v>
      </c>
      <c r="K312" s="8"/>
    </row>
    <row r="313" spans="1:11" ht="18" x14ac:dyDescent="0.4">
      <c r="A313" s="7" t="s">
        <v>0</v>
      </c>
      <c r="B313" s="81" t="s">
        <v>295</v>
      </c>
      <c r="C313" s="60">
        <v>51620</v>
      </c>
      <c r="D313" s="70">
        <v>552527760</v>
      </c>
      <c r="E313" s="57">
        <v>840</v>
      </c>
      <c r="F313" s="71" t="s">
        <v>298</v>
      </c>
      <c r="G313" s="61">
        <v>0</v>
      </c>
      <c r="H313" s="70">
        <f t="shared" si="14"/>
        <v>0</v>
      </c>
      <c r="I313" s="11">
        <f t="shared" ref="I313:I376" ca="1" si="15">I312</f>
        <v>46124</v>
      </c>
      <c r="J313" s="11">
        <f t="shared" ca="1" si="13"/>
        <v>46118</v>
      </c>
      <c r="K313" s="13"/>
    </row>
    <row r="314" spans="1:11" ht="18" x14ac:dyDescent="0.4">
      <c r="A314" s="7" t="s">
        <v>0</v>
      </c>
      <c r="B314" s="81" t="s">
        <v>299</v>
      </c>
      <c r="C314" s="60">
        <v>51658</v>
      </c>
      <c r="D314" s="70">
        <v>552804260</v>
      </c>
      <c r="E314" s="57">
        <v>2000</v>
      </c>
      <c r="F314" s="71" t="s">
        <v>300</v>
      </c>
      <c r="G314" s="61">
        <v>0</v>
      </c>
      <c r="H314" s="70">
        <f t="shared" si="14"/>
        <v>0</v>
      </c>
      <c r="I314" s="11">
        <f t="shared" ca="1" si="15"/>
        <v>46124</v>
      </c>
      <c r="J314" s="11">
        <f t="shared" ca="1" si="13"/>
        <v>46118</v>
      </c>
      <c r="K314" s="13"/>
    </row>
    <row r="315" spans="1:11" ht="18" x14ac:dyDescent="0.4">
      <c r="A315" s="7" t="s">
        <v>0</v>
      </c>
      <c r="B315" s="81" t="s">
        <v>299</v>
      </c>
      <c r="C315" s="60">
        <v>51658</v>
      </c>
      <c r="D315" s="70">
        <v>552804270</v>
      </c>
      <c r="E315" s="57">
        <v>15000</v>
      </c>
      <c r="F315" s="71" t="s">
        <v>301</v>
      </c>
      <c r="G315" s="61">
        <v>0</v>
      </c>
      <c r="H315" s="70">
        <f t="shared" si="14"/>
        <v>0</v>
      </c>
      <c r="I315" s="11">
        <f t="shared" ca="1" si="15"/>
        <v>46124</v>
      </c>
      <c r="J315" s="11">
        <f t="shared" ca="1" si="13"/>
        <v>46118</v>
      </c>
      <c r="K315" s="13"/>
    </row>
    <row r="316" spans="1:11" ht="18" x14ac:dyDescent="0.4">
      <c r="A316" s="7" t="s">
        <v>0</v>
      </c>
      <c r="B316" s="81" t="s">
        <v>299</v>
      </c>
      <c r="C316" s="60">
        <v>51658</v>
      </c>
      <c r="D316" s="70">
        <v>552804280</v>
      </c>
      <c r="E316" s="57">
        <v>2000</v>
      </c>
      <c r="F316" s="71" t="s">
        <v>302</v>
      </c>
      <c r="G316" s="61">
        <v>0</v>
      </c>
      <c r="H316" s="70">
        <f t="shared" si="14"/>
        <v>0</v>
      </c>
      <c r="I316" s="11">
        <f t="shared" ca="1" si="15"/>
        <v>46124</v>
      </c>
      <c r="J316" s="11">
        <f t="shared" ca="1" si="13"/>
        <v>46118</v>
      </c>
      <c r="K316" s="13"/>
    </row>
    <row r="317" spans="1:11" ht="18" x14ac:dyDescent="0.4">
      <c r="A317" s="7" t="s">
        <v>0</v>
      </c>
      <c r="B317" s="81" t="s">
        <v>299</v>
      </c>
      <c r="C317" s="60">
        <v>51658</v>
      </c>
      <c r="D317" s="70">
        <v>552804320</v>
      </c>
      <c r="E317" s="57">
        <v>840</v>
      </c>
      <c r="F317" s="71" t="s">
        <v>303</v>
      </c>
      <c r="G317" s="61">
        <v>0</v>
      </c>
      <c r="H317" s="70">
        <f t="shared" si="14"/>
        <v>0</v>
      </c>
      <c r="I317" s="11">
        <f t="shared" ca="1" si="15"/>
        <v>46124</v>
      </c>
      <c r="J317" s="11">
        <f t="shared" ca="1" si="13"/>
        <v>46118</v>
      </c>
      <c r="K317" s="13"/>
    </row>
    <row r="318" spans="1:11" ht="18" x14ac:dyDescent="0.4">
      <c r="A318" s="7" t="s">
        <v>0</v>
      </c>
      <c r="B318" s="81" t="s">
        <v>299</v>
      </c>
      <c r="C318" s="60">
        <v>51658</v>
      </c>
      <c r="D318" s="70">
        <v>552804330</v>
      </c>
      <c r="E318" s="57">
        <v>2400</v>
      </c>
      <c r="F318" s="71" t="s">
        <v>304</v>
      </c>
      <c r="G318" s="61">
        <v>0</v>
      </c>
      <c r="H318" s="70">
        <f t="shared" si="14"/>
        <v>0</v>
      </c>
      <c r="I318" s="11">
        <f t="shared" ca="1" si="15"/>
        <v>46124</v>
      </c>
      <c r="J318" s="11">
        <f t="shared" ca="1" si="13"/>
        <v>46118</v>
      </c>
      <c r="K318" s="13"/>
    </row>
    <row r="319" spans="1:11" ht="18" x14ac:dyDescent="0.4">
      <c r="A319" s="7" t="s">
        <v>0</v>
      </c>
      <c r="B319" s="81" t="s">
        <v>299</v>
      </c>
      <c r="C319" s="60">
        <v>51658</v>
      </c>
      <c r="D319" s="70">
        <v>552804340</v>
      </c>
      <c r="E319" s="57">
        <v>960</v>
      </c>
      <c r="F319" s="71" t="s">
        <v>305</v>
      </c>
      <c r="G319" s="61">
        <v>0</v>
      </c>
      <c r="H319" s="70">
        <f t="shared" si="14"/>
        <v>0</v>
      </c>
      <c r="I319" s="11">
        <f t="shared" ca="1" si="15"/>
        <v>46124</v>
      </c>
      <c r="J319" s="11">
        <f t="shared" ca="1" si="13"/>
        <v>46118</v>
      </c>
      <c r="K319" s="13"/>
    </row>
    <row r="320" spans="1:11" ht="18" x14ac:dyDescent="0.4">
      <c r="A320" s="7" t="s">
        <v>0</v>
      </c>
      <c r="B320" s="81" t="s">
        <v>299</v>
      </c>
      <c r="C320" s="60">
        <v>51658</v>
      </c>
      <c r="D320" s="70">
        <v>552105070</v>
      </c>
      <c r="E320" s="57">
        <v>1488</v>
      </c>
      <c r="F320" s="71" t="s">
        <v>306</v>
      </c>
      <c r="G320" s="61">
        <v>0</v>
      </c>
      <c r="H320" s="70">
        <f t="shared" si="14"/>
        <v>0</v>
      </c>
      <c r="I320" s="11">
        <f t="shared" ca="1" si="15"/>
        <v>46124</v>
      </c>
      <c r="J320" s="11">
        <f t="shared" ca="1" si="13"/>
        <v>46118</v>
      </c>
      <c r="K320" s="13"/>
    </row>
    <row r="321" spans="1:11" ht="18" x14ac:dyDescent="0.4">
      <c r="A321" s="7" t="s">
        <v>0</v>
      </c>
      <c r="B321" s="81" t="s">
        <v>299</v>
      </c>
      <c r="C321" s="60">
        <v>51658</v>
      </c>
      <c r="D321" s="70">
        <v>552105090</v>
      </c>
      <c r="E321" s="57">
        <v>14880</v>
      </c>
      <c r="F321" s="71" t="s">
        <v>307</v>
      </c>
      <c r="G321" s="61">
        <v>0</v>
      </c>
      <c r="H321" s="70">
        <f t="shared" si="14"/>
        <v>0</v>
      </c>
      <c r="I321" s="11">
        <f t="shared" ca="1" si="15"/>
        <v>46124</v>
      </c>
      <c r="J321" s="11">
        <f t="shared" ca="1" si="13"/>
        <v>46118</v>
      </c>
      <c r="K321" s="13"/>
    </row>
    <row r="322" spans="1:11" ht="18" x14ac:dyDescent="0.4">
      <c r="A322" s="7" t="s">
        <v>0</v>
      </c>
      <c r="B322" s="81" t="s">
        <v>299</v>
      </c>
      <c r="C322" s="60">
        <v>51658</v>
      </c>
      <c r="D322" s="70">
        <v>552105110</v>
      </c>
      <c r="E322" s="57">
        <v>1488</v>
      </c>
      <c r="F322" s="71" t="s">
        <v>308</v>
      </c>
      <c r="G322" s="61">
        <v>0</v>
      </c>
      <c r="H322" s="70">
        <f t="shared" si="14"/>
        <v>0</v>
      </c>
      <c r="I322" s="11">
        <f t="shared" ca="1" si="15"/>
        <v>46124</v>
      </c>
      <c r="J322" s="11">
        <f t="shared" ca="1" si="13"/>
        <v>46118</v>
      </c>
      <c r="K322" s="13"/>
    </row>
    <row r="323" spans="1:11" ht="18" x14ac:dyDescent="0.4">
      <c r="A323" s="7" t="s">
        <v>0</v>
      </c>
      <c r="B323" s="81" t="s">
        <v>299</v>
      </c>
      <c r="C323" s="60">
        <v>51658</v>
      </c>
      <c r="D323" s="70">
        <v>552107380</v>
      </c>
      <c r="E323" s="57">
        <v>1536</v>
      </c>
      <c r="F323" s="71" t="s">
        <v>306</v>
      </c>
      <c r="G323" s="61">
        <v>0</v>
      </c>
      <c r="H323" s="70">
        <f t="shared" si="14"/>
        <v>0</v>
      </c>
      <c r="I323" s="11">
        <f t="shared" ca="1" si="15"/>
        <v>46124</v>
      </c>
      <c r="J323" s="11">
        <f t="shared" ca="1" si="13"/>
        <v>46118</v>
      </c>
      <c r="K323" s="13"/>
    </row>
    <row r="324" spans="1:11" ht="18" x14ac:dyDescent="0.4">
      <c r="A324" s="7" t="s">
        <v>0</v>
      </c>
      <c r="B324" s="81" t="s">
        <v>299</v>
      </c>
      <c r="C324" s="60">
        <v>51658</v>
      </c>
      <c r="D324" s="70">
        <v>552107390</v>
      </c>
      <c r="E324" s="57">
        <v>15360</v>
      </c>
      <c r="F324" s="71" t="s">
        <v>307</v>
      </c>
      <c r="G324" s="61">
        <v>0</v>
      </c>
      <c r="H324" s="70">
        <f t="shared" si="14"/>
        <v>0</v>
      </c>
      <c r="I324" s="11">
        <f t="shared" ca="1" si="15"/>
        <v>46124</v>
      </c>
      <c r="J324" s="11">
        <f t="shared" ca="1" si="13"/>
        <v>46118</v>
      </c>
      <c r="K324" s="13"/>
    </row>
    <row r="325" spans="1:11" ht="18" x14ac:dyDescent="0.4">
      <c r="A325" s="7" t="s">
        <v>0</v>
      </c>
      <c r="B325" s="81" t="s">
        <v>299</v>
      </c>
      <c r="C325" s="60">
        <v>51658</v>
      </c>
      <c r="D325" s="70">
        <v>552107400</v>
      </c>
      <c r="E325" s="57">
        <v>1536</v>
      </c>
      <c r="F325" s="71" t="s">
        <v>308</v>
      </c>
      <c r="G325" s="61">
        <v>0</v>
      </c>
      <c r="H325" s="70">
        <f t="shared" si="14"/>
        <v>0</v>
      </c>
      <c r="I325" s="11">
        <f t="shared" ca="1" si="15"/>
        <v>46124</v>
      </c>
      <c r="J325" s="11">
        <f t="shared" ca="1" si="13"/>
        <v>46118</v>
      </c>
      <c r="K325" s="13"/>
    </row>
    <row r="326" spans="1:11" ht="18" x14ac:dyDescent="0.4">
      <c r="A326" s="7" t="s">
        <v>0</v>
      </c>
      <c r="B326" s="81" t="s">
        <v>309</v>
      </c>
      <c r="C326" s="60">
        <v>21570</v>
      </c>
      <c r="D326" s="70">
        <v>463363330</v>
      </c>
      <c r="E326" s="57">
        <v>28000</v>
      </c>
      <c r="F326" s="71" t="s">
        <v>310</v>
      </c>
      <c r="G326" s="61">
        <v>0</v>
      </c>
      <c r="H326" s="70">
        <f t="shared" si="14"/>
        <v>0</v>
      </c>
      <c r="I326" s="11">
        <f t="shared" ca="1" si="15"/>
        <v>46124</v>
      </c>
      <c r="J326" s="11">
        <f t="shared" ca="1" si="13"/>
        <v>46118</v>
      </c>
      <c r="K326" s="13"/>
    </row>
    <row r="327" spans="1:11" ht="18" x14ac:dyDescent="0.4">
      <c r="A327" s="7" t="s">
        <v>0</v>
      </c>
      <c r="B327" s="81" t="s">
        <v>311</v>
      </c>
      <c r="C327" s="60">
        <v>40840</v>
      </c>
      <c r="D327" s="70">
        <v>187521210</v>
      </c>
      <c r="E327" s="57">
        <v>900</v>
      </c>
      <c r="F327" s="71" t="s">
        <v>312</v>
      </c>
      <c r="G327" s="61">
        <v>0</v>
      </c>
      <c r="H327" s="70">
        <f t="shared" ref="H327:H370" si="16">+G327/E327</f>
        <v>0</v>
      </c>
      <c r="I327" s="11">
        <f t="shared" ca="1" si="15"/>
        <v>46124</v>
      </c>
      <c r="J327" s="11">
        <f t="shared" ca="1" si="13"/>
        <v>46118</v>
      </c>
      <c r="K327" s="13"/>
    </row>
    <row r="328" spans="1:11" ht="18" x14ac:dyDescent="0.4">
      <c r="A328" s="7" t="s">
        <v>0</v>
      </c>
      <c r="B328" s="81" t="s">
        <v>311</v>
      </c>
      <c r="C328" s="60">
        <v>40840</v>
      </c>
      <c r="D328" s="70">
        <v>162891240</v>
      </c>
      <c r="E328" s="57">
        <v>100</v>
      </c>
      <c r="F328" s="71" t="s">
        <v>313</v>
      </c>
      <c r="G328" s="61">
        <v>0</v>
      </c>
      <c r="H328" s="70">
        <f t="shared" si="16"/>
        <v>0</v>
      </c>
      <c r="I328" s="11">
        <f t="shared" ca="1" si="15"/>
        <v>46124</v>
      </c>
      <c r="J328" s="11">
        <f t="shared" ca="1" si="13"/>
        <v>46118</v>
      </c>
      <c r="K328" s="13"/>
    </row>
    <row r="329" spans="1:11" ht="18" x14ac:dyDescent="0.4">
      <c r="A329" s="7" t="s">
        <v>0</v>
      </c>
      <c r="B329" s="81" t="s">
        <v>311</v>
      </c>
      <c r="C329" s="60">
        <v>40840</v>
      </c>
      <c r="D329" s="70">
        <v>463447260</v>
      </c>
      <c r="E329" s="57">
        <v>100</v>
      </c>
      <c r="F329" s="71" t="s">
        <v>313</v>
      </c>
      <c r="G329" s="61">
        <v>0</v>
      </c>
      <c r="H329" s="70">
        <f t="shared" si="16"/>
        <v>0</v>
      </c>
      <c r="I329" s="11">
        <f t="shared" ca="1" si="15"/>
        <v>46124</v>
      </c>
      <c r="J329" s="11">
        <f t="shared" ca="1" si="13"/>
        <v>46118</v>
      </c>
      <c r="K329" s="13"/>
    </row>
    <row r="330" spans="1:11" ht="18" x14ac:dyDescent="0.4">
      <c r="A330" s="7" t="s">
        <v>0</v>
      </c>
      <c r="B330" s="81" t="s">
        <v>311</v>
      </c>
      <c r="C330" s="60">
        <v>40840</v>
      </c>
      <c r="D330" s="70">
        <v>551877380</v>
      </c>
      <c r="E330" s="57">
        <v>150</v>
      </c>
      <c r="F330" s="71" t="s">
        <v>314</v>
      </c>
      <c r="G330" s="61">
        <v>0</v>
      </c>
      <c r="H330" s="70">
        <f t="shared" si="16"/>
        <v>0</v>
      </c>
      <c r="I330" s="11">
        <f t="shared" ca="1" si="15"/>
        <v>46124</v>
      </c>
      <c r="J330" s="11">
        <f t="shared" ca="1" si="13"/>
        <v>46118</v>
      </c>
      <c r="K330" s="13"/>
    </row>
    <row r="331" spans="1:11" ht="18" x14ac:dyDescent="0.4">
      <c r="A331" s="7" t="s">
        <v>0</v>
      </c>
      <c r="B331" s="81" t="s">
        <v>311</v>
      </c>
      <c r="C331" s="60">
        <v>40840</v>
      </c>
      <c r="D331" s="70">
        <v>552650820</v>
      </c>
      <c r="E331" s="57">
        <v>300</v>
      </c>
      <c r="F331" s="71" t="s">
        <v>315</v>
      </c>
      <c r="G331" s="61">
        <v>0</v>
      </c>
      <c r="H331" s="70">
        <f t="shared" si="16"/>
        <v>0</v>
      </c>
      <c r="I331" s="11">
        <f t="shared" ca="1" si="15"/>
        <v>46124</v>
      </c>
      <c r="J331" s="11">
        <f t="shared" ca="1" si="13"/>
        <v>46118</v>
      </c>
      <c r="K331" s="13"/>
    </row>
    <row r="332" spans="1:11" ht="18" x14ac:dyDescent="0.4">
      <c r="A332" s="7" t="s">
        <v>0</v>
      </c>
      <c r="B332" s="81" t="s">
        <v>316</v>
      </c>
      <c r="C332" s="57">
        <v>30467</v>
      </c>
      <c r="D332" s="70">
        <v>140593110</v>
      </c>
      <c r="E332" s="57">
        <v>1200</v>
      </c>
      <c r="F332" s="71" t="s">
        <v>317</v>
      </c>
      <c r="G332" s="61">
        <v>0</v>
      </c>
      <c r="H332" s="70">
        <f t="shared" si="16"/>
        <v>0</v>
      </c>
      <c r="I332" s="11">
        <f t="shared" ca="1" si="15"/>
        <v>46124</v>
      </c>
      <c r="J332" s="11">
        <f t="shared" ca="1" si="13"/>
        <v>46118</v>
      </c>
      <c r="K332" s="13"/>
    </row>
    <row r="333" spans="1:11" ht="18" x14ac:dyDescent="0.4">
      <c r="A333" s="7" t="s">
        <v>0</v>
      </c>
      <c r="B333" s="81" t="s">
        <v>316</v>
      </c>
      <c r="C333" s="57">
        <v>30467</v>
      </c>
      <c r="D333" s="70">
        <v>140594210</v>
      </c>
      <c r="E333" s="57">
        <v>800</v>
      </c>
      <c r="F333" s="71" t="s">
        <v>318</v>
      </c>
      <c r="G333" s="61">
        <v>0</v>
      </c>
      <c r="H333" s="70">
        <f t="shared" si="16"/>
        <v>0</v>
      </c>
      <c r="I333" s="11">
        <f t="shared" ca="1" si="15"/>
        <v>46124</v>
      </c>
      <c r="J333" s="11">
        <f t="shared" ca="1" si="13"/>
        <v>46118</v>
      </c>
      <c r="K333" s="13"/>
    </row>
    <row r="334" spans="1:11" ht="18" x14ac:dyDescent="0.4">
      <c r="A334" s="7" t="s">
        <v>0</v>
      </c>
      <c r="B334" s="81" t="s">
        <v>316</v>
      </c>
      <c r="C334" s="57">
        <v>30467</v>
      </c>
      <c r="D334" s="70">
        <v>517309140</v>
      </c>
      <c r="E334" s="57">
        <v>2500</v>
      </c>
      <c r="F334" s="71" t="s">
        <v>319</v>
      </c>
      <c r="G334" s="61">
        <v>0</v>
      </c>
      <c r="H334" s="70">
        <f t="shared" si="16"/>
        <v>0</v>
      </c>
      <c r="I334" s="11">
        <f t="shared" ca="1" si="15"/>
        <v>46124</v>
      </c>
      <c r="J334" s="11">
        <f t="shared" ca="1" si="13"/>
        <v>46118</v>
      </c>
      <c r="K334" s="13"/>
    </row>
    <row r="335" spans="1:11" ht="18" x14ac:dyDescent="0.4">
      <c r="A335" s="7" t="s">
        <v>0</v>
      </c>
      <c r="B335" s="60" t="s">
        <v>320</v>
      </c>
      <c r="C335" s="57">
        <v>19414</v>
      </c>
      <c r="D335" s="70">
        <v>77463090</v>
      </c>
      <c r="E335" s="57">
        <v>430</v>
      </c>
      <c r="F335" s="71" t="s">
        <v>321</v>
      </c>
      <c r="G335" s="61">
        <v>0</v>
      </c>
      <c r="H335" s="70">
        <f t="shared" si="16"/>
        <v>0</v>
      </c>
      <c r="I335" s="11">
        <f t="shared" ca="1" si="15"/>
        <v>46124</v>
      </c>
      <c r="J335" s="11">
        <f t="shared" ca="1" si="13"/>
        <v>46118</v>
      </c>
      <c r="K335" s="13"/>
    </row>
    <row r="336" spans="1:11" ht="18" x14ac:dyDescent="0.4">
      <c r="A336" s="7" t="s">
        <v>0</v>
      </c>
      <c r="B336" s="81" t="s">
        <v>320</v>
      </c>
      <c r="C336" s="57">
        <v>19414</v>
      </c>
      <c r="D336" s="70">
        <v>115864240</v>
      </c>
      <c r="E336" s="57">
        <v>300</v>
      </c>
      <c r="F336" s="71" t="s">
        <v>322</v>
      </c>
      <c r="G336" s="61">
        <v>0</v>
      </c>
      <c r="H336" s="70">
        <f t="shared" si="16"/>
        <v>0</v>
      </c>
      <c r="I336" s="11">
        <f t="shared" ca="1" si="15"/>
        <v>46124</v>
      </c>
      <c r="J336" s="11">
        <f t="shared" ca="1" si="13"/>
        <v>46118</v>
      </c>
      <c r="K336" s="13"/>
    </row>
    <row r="337" spans="1:11" ht="18" x14ac:dyDescent="0.4">
      <c r="A337" s="7" t="s">
        <v>0</v>
      </c>
      <c r="B337" s="81" t="s">
        <v>320</v>
      </c>
      <c r="C337" s="57">
        <v>19414</v>
      </c>
      <c r="D337" s="70">
        <v>143083240</v>
      </c>
      <c r="E337" s="57">
        <v>260</v>
      </c>
      <c r="F337" s="71" t="s">
        <v>323</v>
      </c>
      <c r="G337" s="61">
        <v>0</v>
      </c>
      <c r="H337" s="70">
        <f t="shared" si="16"/>
        <v>0</v>
      </c>
      <c r="I337" s="11">
        <f t="shared" ca="1" si="15"/>
        <v>46124</v>
      </c>
      <c r="J337" s="11">
        <f t="shared" ca="1" si="13"/>
        <v>46118</v>
      </c>
      <c r="K337" s="13"/>
    </row>
    <row r="338" spans="1:11" ht="18" x14ac:dyDescent="0.4">
      <c r="A338" s="7" t="s">
        <v>0</v>
      </c>
      <c r="B338" s="81" t="s">
        <v>320</v>
      </c>
      <c r="C338" s="57">
        <v>19414</v>
      </c>
      <c r="D338" s="70">
        <v>143085240</v>
      </c>
      <c r="E338" s="57">
        <v>210</v>
      </c>
      <c r="F338" s="71" t="s">
        <v>324</v>
      </c>
      <c r="G338" s="61">
        <v>0</v>
      </c>
      <c r="H338" s="70">
        <f t="shared" si="16"/>
        <v>0</v>
      </c>
      <c r="I338" s="11">
        <f t="shared" ca="1" si="15"/>
        <v>46124</v>
      </c>
      <c r="J338" s="11">
        <f t="shared" ca="1" si="13"/>
        <v>46118</v>
      </c>
      <c r="K338" s="13"/>
    </row>
    <row r="339" spans="1:11" ht="18" x14ac:dyDescent="0.4">
      <c r="A339" s="7" t="s">
        <v>0</v>
      </c>
      <c r="B339" s="81" t="s">
        <v>320</v>
      </c>
      <c r="C339" s="57">
        <v>19414</v>
      </c>
      <c r="D339" s="70">
        <v>116127240</v>
      </c>
      <c r="E339" s="57">
        <v>2000</v>
      </c>
      <c r="F339" s="71" t="s">
        <v>325</v>
      </c>
      <c r="G339" s="61">
        <v>0</v>
      </c>
      <c r="H339" s="70">
        <f t="shared" si="16"/>
        <v>0</v>
      </c>
      <c r="I339" s="11">
        <f t="shared" ca="1" si="15"/>
        <v>46124</v>
      </c>
      <c r="J339" s="11">
        <f t="shared" ca="1" si="13"/>
        <v>46118</v>
      </c>
      <c r="K339" s="13"/>
    </row>
    <row r="340" spans="1:11" ht="18" x14ac:dyDescent="0.4">
      <c r="A340" s="7" t="s">
        <v>0</v>
      </c>
      <c r="B340" s="81" t="s">
        <v>320</v>
      </c>
      <c r="C340" s="57">
        <v>19414</v>
      </c>
      <c r="D340" s="70">
        <v>116131240</v>
      </c>
      <c r="E340" s="57">
        <v>1500</v>
      </c>
      <c r="F340" s="71" t="s">
        <v>326</v>
      </c>
      <c r="G340" s="61">
        <v>0</v>
      </c>
      <c r="H340" s="70">
        <f t="shared" si="16"/>
        <v>0</v>
      </c>
      <c r="I340" s="11">
        <f t="shared" ca="1" si="15"/>
        <v>46124</v>
      </c>
      <c r="J340" s="11">
        <f t="shared" ca="1" si="13"/>
        <v>46118</v>
      </c>
      <c r="K340" s="13"/>
    </row>
    <row r="341" spans="1:11" ht="18" x14ac:dyDescent="0.4">
      <c r="A341" s="7" t="s">
        <v>0</v>
      </c>
      <c r="B341" s="81" t="s">
        <v>320</v>
      </c>
      <c r="C341" s="57">
        <v>19414</v>
      </c>
      <c r="D341" s="70">
        <v>117340240</v>
      </c>
      <c r="E341" s="57">
        <v>300</v>
      </c>
      <c r="F341" s="71" t="s">
        <v>327</v>
      </c>
      <c r="G341" s="61">
        <v>0</v>
      </c>
      <c r="H341" s="70">
        <f t="shared" si="16"/>
        <v>0</v>
      </c>
      <c r="I341" s="11">
        <f t="shared" ca="1" si="15"/>
        <v>46124</v>
      </c>
      <c r="J341" s="11">
        <f t="shared" ca="1" si="13"/>
        <v>46118</v>
      </c>
      <c r="K341" s="13"/>
    </row>
    <row r="342" spans="1:11" ht="18" x14ac:dyDescent="0.4">
      <c r="A342" s="7" t="s">
        <v>0</v>
      </c>
      <c r="B342" s="81" t="s">
        <v>320</v>
      </c>
      <c r="C342" s="57">
        <v>19414</v>
      </c>
      <c r="D342" s="70">
        <v>160433240</v>
      </c>
      <c r="E342" s="57">
        <v>1000</v>
      </c>
      <c r="F342" s="71" t="s">
        <v>328</v>
      </c>
      <c r="G342" s="61">
        <v>0</v>
      </c>
      <c r="H342" s="70">
        <f t="shared" si="16"/>
        <v>0</v>
      </c>
      <c r="I342" s="11">
        <f t="shared" ca="1" si="15"/>
        <v>46124</v>
      </c>
      <c r="J342" s="11">
        <f t="shared" ca="1" si="13"/>
        <v>46118</v>
      </c>
      <c r="K342" s="13"/>
    </row>
    <row r="343" spans="1:11" ht="18" x14ac:dyDescent="0.4">
      <c r="A343" s="7" t="s">
        <v>0</v>
      </c>
      <c r="B343" s="81" t="s">
        <v>320</v>
      </c>
      <c r="C343" s="57">
        <v>19414</v>
      </c>
      <c r="D343" s="70">
        <v>162874240</v>
      </c>
      <c r="E343" s="57">
        <v>500</v>
      </c>
      <c r="F343" s="71" t="s">
        <v>329</v>
      </c>
      <c r="G343" s="61">
        <v>0</v>
      </c>
      <c r="H343" s="70">
        <f t="shared" si="16"/>
        <v>0</v>
      </c>
      <c r="I343" s="11">
        <f t="shared" ca="1" si="15"/>
        <v>46124</v>
      </c>
      <c r="J343" s="11">
        <f t="shared" ca="1" si="13"/>
        <v>46118</v>
      </c>
      <c r="K343" s="13"/>
    </row>
    <row r="344" spans="1:11" ht="18" x14ac:dyDescent="0.4">
      <c r="A344" s="7" t="s">
        <v>0</v>
      </c>
      <c r="B344" s="81" t="s">
        <v>320</v>
      </c>
      <c r="C344" s="57">
        <v>19414</v>
      </c>
      <c r="D344" s="70">
        <v>162883240</v>
      </c>
      <c r="E344" s="57">
        <v>500</v>
      </c>
      <c r="F344" s="71" t="s">
        <v>330</v>
      </c>
      <c r="G344" s="61">
        <v>0</v>
      </c>
      <c r="H344" s="70">
        <f t="shared" si="16"/>
        <v>0</v>
      </c>
      <c r="I344" s="11">
        <f t="shared" ca="1" si="15"/>
        <v>46124</v>
      </c>
      <c r="J344" s="11">
        <f t="shared" ca="1" si="13"/>
        <v>46118</v>
      </c>
      <c r="K344" s="13"/>
    </row>
    <row r="345" spans="1:11" ht="18" x14ac:dyDescent="0.4">
      <c r="A345" s="7" t="s">
        <v>0</v>
      </c>
      <c r="B345" s="81" t="s">
        <v>320</v>
      </c>
      <c r="C345" s="57">
        <v>19414</v>
      </c>
      <c r="D345" s="70">
        <v>187517240</v>
      </c>
      <c r="E345" s="57">
        <v>1200</v>
      </c>
      <c r="F345" s="71" t="s">
        <v>331</v>
      </c>
      <c r="G345" s="61">
        <v>0</v>
      </c>
      <c r="H345" s="70">
        <f t="shared" si="16"/>
        <v>0</v>
      </c>
      <c r="I345" s="11">
        <f t="shared" ca="1" si="15"/>
        <v>46124</v>
      </c>
      <c r="J345" s="11">
        <f t="shared" ca="1" si="13"/>
        <v>46118</v>
      </c>
      <c r="K345" s="13"/>
    </row>
    <row r="346" spans="1:11" ht="18" x14ac:dyDescent="0.4">
      <c r="A346" s="7" t="s">
        <v>0</v>
      </c>
      <c r="B346" s="81" t="s">
        <v>320</v>
      </c>
      <c r="C346" s="57">
        <v>19414</v>
      </c>
      <c r="D346" s="70">
        <v>465484560</v>
      </c>
      <c r="E346" s="57">
        <v>700</v>
      </c>
      <c r="F346" s="71" t="s">
        <v>185</v>
      </c>
      <c r="G346" s="61">
        <v>0</v>
      </c>
      <c r="H346" s="70">
        <f t="shared" si="16"/>
        <v>0</v>
      </c>
      <c r="I346" s="11">
        <f t="shared" ca="1" si="15"/>
        <v>46124</v>
      </c>
      <c r="J346" s="11">
        <f t="shared" ca="1" si="13"/>
        <v>46118</v>
      </c>
      <c r="K346" s="13"/>
    </row>
    <row r="347" spans="1:11" ht="18" x14ac:dyDescent="0.4">
      <c r="A347" s="7" t="s">
        <v>0</v>
      </c>
      <c r="B347" s="81" t="s">
        <v>320</v>
      </c>
      <c r="C347" s="57">
        <v>19414</v>
      </c>
      <c r="D347" s="70">
        <v>465484570</v>
      </c>
      <c r="E347" s="57">
        <v>400</v>
      </c>
      <c r="F347" s="71" t="s">
        <v>185</v>
      </c>
      <c r="G347" s="61">
        <v>0</v>
      </c>
      <c r="H347" s="70">
        <f t="shared" si="16"/>
        <v>0</v>
      </c>
      <c r="I347" s="11">
        <f t="shared" ca="1" si="15"/>
        <v>46124</v>
      </c>
      <c r="J347" s="11">
        <f t="shared" ca="1" si="13"/>
        <v>46118</v>
      </c>
      <c r="K347" s="13"/>
    </row>
    <row r="348" spans="1:11" ht="18" x14ac:dyDescent="0.4">
      <c r="A348" s="7" t="s">
        <v>0</v>
      </c>
      <c r="B348" s="81" t="s">
        <v>320</v>
      </c>
      <c r="C348" s="57">
        <v>19414</v>
      </c>
      <c r="D348" s="70">
        <v>552607160</v>
      </c>
      <c r="E348" s="57">
        <v>800</v>
      </c>
      <c r="F348" s="71" t="s">
        <v>332</v>
      </c>
      <c r="G348" s="61">
        <v>0</v>
      </c>
      <c r="H348" s="70">
        <f t="shared" si="16"/>
        <v>0</v>
      </c>
      <c r="I348" s="11">
        <f t="shared" ca="1" si="15"/>
        <v>46124</v>
      </c>
      <c r="J348" s="11">
        <f t="shared" ca="1" si="13"/>
        <v>46118</v>
      </c>
      <c r="K348" s="13"/>
    </row>
    <row r="349" spans="1:11" ht="18" x14ac:dyDescent="0.4">
      <c r="A349" s="7" t="s">
        <v>0</v>
      </c>
      <c r="B349" s="81" t="s">
        <v>320</v>
      </c>
      <c r="C349" s="57">
        <v>19414</v>
      </c>
      <c r="D349" s="70">
        <v>162860240</v>
      </c>
      <c r="E349" s="57">
        <v>1800</v>
      </c>
      <c r="F349" s="71" t="s">
        <v>315</v>
      </c>
      <c r="G349" s="61">
        <v>0</v>
      </c>
      <c r="H349" s="70">
        <f t="shared" si="16"/>
        <v>0</v>
      </c>
      <c r="I349" s="11">
        <f t="shared" ca="1" si="15"/>
        <v>46124</v>
      </c>
      <c r="J349" s="11">
        <f t="shared" ca="1" si="13"/>
        <v>46118</v>
      </c>
      <c r="K349" s="13"/>
    </row>
    <row r="350" spans="1:11" ht="18" x14ac:dyDescent="0.4">
      <c r="A350" s="7" t="s">
        <v>0</v>
      </c>
      <c r="B350" s="81" t="s">
        <v>320</v>
      </c>
      <c r="C350" s="57">
        <v>19414</v>
      </c>
      <c r="D350" s="70">
        <v>187505240</v>
      </c>
      <c r="E350" s="57">
        <v>1000</v>
      </c>
      <c r="F350" s="71" t="s">
        <v>333</v>
      </c>
      <c r="G350" s="61">
        <v>0</v>
      </c>
      <c r="H350" s="70">
        <f t="shared" si="16"/>
        <v>0</v>
      </c>
      <c r="I350" s="11">
        <f t="shared" ca="1" si="15"/>
        <v>46124</v>
      </c>
      <c r="J350" s="11">
        <f t="shared" ca="1" si="13"/>
        <v>46118</v>
      </c>
      <c r="K350" s="13"/>
    </row>
    <row r="351" spans="1:11" ht="18" x14ac:dyDescent="0.4">
      <c r="A351" s="7" t="s">
        <v>0</v>
      </c>
      <c r="B351" s="81" t="s">
        <v>320</v>
      </c>
      <c r="C351" s="57">
        <v>19414</v>
      </c>
      <c r="D351" s="70">
        <v>187524240</v>
      </c>
      <c r="E351" s="57">
        <v>800</v>
      </c>
      <c r="F351" s="71" t="s">
        <v>334</v>
      </c>
      <c r="G351" s="61">
        <v>0</v>
      </c>
      <c r="H351" s="70">
        <f t="shared" si="16"/>
        <v>0</v>
      </c>
      <c r="I351" s="11">
        <f t="shared" ca="1" si="15"/>
        <v>46124</v>
      </c>
      <c r="J351" s="11">
        <f t="shared" ca="1" si="13"/>
        <v>46118</v>
      </c>
      <c r="K351" s="13"/>
    </row>
    <row r="352" spans="1:11" ht="18" x14ac:dyDescent="0.4">
      <c r="A352" s="7" t="s">
        <v>0</v>
      </c>
      <c r="B352" s="81" t="s">
        <v>320</v>
      </c>
      <c r="C352" s="57">
        <v>19414</v>
      </c>
      <c r="D352" s="70">
        <v>551872090</v>
      </c>
      <c r="E352" s="57">
        <v>180</v>
      </c>
      <c r="F352" s="71" t="s">
        <v>335</v>
      </c>
      <c r="G352" s="61">
        <v>0</v>
      </c>
      <c r="H352" s="70">
        <f t="shared" si="16"/>
        <v>0</v>
      </c>
      <c r="I352" s="11">
        <f t="shared" ca="1" si="15"/>
        <v>46124</v>
      </c>
      <c r="J352" s="11">
        <f t="shared" ca="1" si="13"/>
        <v>46118</v>
      </c>
      <c r="K352" s="13"/>
    </row>
    <row r="353" spans="1:11" ht="18" x14ac:dyDescent="0.4">
      <c r="A353" s="7" t="s">
        <v>0</v>
      </c>
      <c r="B353" s="81" t="s">
        <v>320</v>
      </c>
      <c r="C353" s="57">
        <v>19414</v>
      </c>
      <c r="D353" s="70">
        <v>735012020</v>
      </c>
      <c r="E353" s="57">
        <v>220</v>
      </c>
      <c r="F353" s="71" t="s">
        <v>336</v>
      </c>
      <c r="G353" s="61">
        <v>0</v>
      </c>
      <c r="H353" s="70">
        <f t="shared" si="16"/>
        <v>0</v>
      </c>
      <c r="I353" s="11">
        <f t="shared" ca="1" si="15"/>
        <v>46124</v>
      </c>
      <c r="J353" s="11">
        <f t="shared" ca="1" si="13"/>
        <v>46118</v>
      </c>
      <c r="K353" s="13"/>
    </row>
    <row r="354" spans="1:11" ht="18" x14ac:dyDescent="0.4">
      <c r="A354" s="7" t="s">
        <v>0</v>
      </c>
      <c r="B354" s="81" t="s">
        <v>320</v>
      </c>
      <c r="C354" s="57">
        <v>19414</v>
      </c>
      <c r="D354" s="70">
        <v>735012040</v>
      </c>
      <c r="E354" s="57">
        <v>250</v>
      </c>
      <c r="F354" s="71" t="s">
        <v>337</v>
      </c>
      <c r="G354" s="61">
        <v>0</v>
      </c>
      <c r="H354" s="70">
        <f t="shared" si="16"/>
        <v>0</v>
      </c>
      <c r="I354" s="11">
        <f t="shared" ca="1" si="15"/>
        <v>46124</v>
      </c>
      <c r="J354" s="11">
        <f t="shared" ca="1" si="13"/>
        <v>46118</v>
      </c>
      <c r="K354" s="13"/>
    </row>
    <row r="355" spans="1:11" ht="18" x14ac:dyDescent="0.4">
      <c r="A355" s="7" t="s">
        <v>0</v>
      </c>
      <c r="B355" s="81" t="s">
        <v>320</v>
      </c>
      <c r="C355" s="57">
        <v>19414</v>
      </c>
      <c r="D355" s="70">
        <v>735012080</v>
      </c>
      <c r="E355" s="57">
        <v>600</v>
      </c>
      <c r="F355" s="71" t="s">
        <v>338</v>
      </c>
      <c r="G355" s="61">
        <v>0</v>
      </c>
      <c r="H355" s="70">
        <f t="shared" si="16"/>
        <v>0</v>
      </c>
      <c r="I355" s="11">
        <f t="shared" ca="1" si="15"/>
        <v>46124</v>
      </c>
      <c r="J355" s="11">
        <f t="shared" ca="1" si="13"/>
        <v>46118</v>
      </c>
      <c r="K355" s="13"/>
    </row>
    <row r="356" spans="1:11" ht="18" x14ac:dyDescent="0.4">
      <c r="A356" s="7" t="s">
        <v>0</v>
      </c>
      <c r="B356" s="81" t="s">
        <v>320</v>
      </c>
      <c r="C356" s="57">
        <v>19414</v>
      </c>
      <c r="D356" s="70">
        <v>135872210</v>
      </c>
      <c r="E356" s="57">
        <v>2800</v>
      </c>
      <c r="F356" s="71" t="s">
        <v>339</v>
      </c>
      <c r="G356" s="61">
        <v>0</v>
      </c>
      <c r="H356" s="70">
        <f t="shared" si="16"/>
        <v>0</v>
      </c>
      <c r="I356" s="11">
        <f t="shared" ca="1" si="15"/>
        <v>46124</v>
      </c>
      <c r="J356" s="11">
        <f t="shared" ca="1" si="13"/>
        <v>46118</v>
      </c>
      <c r="K356" s="13"/>
    </row>
    <row r="357" spans="1:11" ht="18" x14ac:dyDescent="0.4">
      <c r="A357" s="7" t="s">
        <v>0</v>
      </c>
      <c r="B357" s="81" t="s">
        <v>340</v>
      </c>
      <c r="C357" s="57">
        <v>27951</v>
      </c>
      <c r="D357" s="70">
        <v>162870240</v>
      </c>
      <c r="E357" s="57">
        <v>800</v>
      </c>
      <c r="F357" s="71" t="s">
        <v>341</v>
      </c>
      <c r="G357" s="61">
        <v>0</v>
      </c>
      <c r="H357" s="70">
        <f t="shared" si="16"/>
        <v>0</v>
      </c>
      <c r="I357" s="11">
        <f t="shared" ca="1" si="15"/>
        <v>46124</v>
      </c>
      <c r="J357" s="11">
        <f t="shared" ca="1" si="13"/>
        <v>46118</v>
      </c>
      <c r="K357" s="13"/>
    </row>
    <row r="358" spans="1:11" ht="18" x14ac:dyDescent="0.4">
      <c r="A358" s="7" t="s">
        <v>0</v>
      </c>
      <c r="B358" s="81" t="s">
        <v>340</v>
      </c>
      <c r="C358" s="57">
        <v>27951</v>
      </c>
      <c r="D358" s="70">
        <v>552581940</v>
      </c>
      <c r="E358" s="57">
        <v>800</v>
      </c>
      <c r="F358" s="71" t="s">
        <v>342</v>
      </c>
      <c r="G358" s="61">
        <v>0</v>
      </c>
      <c r="H358" s="70">
        <f t="shared" si="16"/>
        <v>0</v>
      </c>
      <c r="I358" s="11">
        <f t="shared" ca="1" si="15"/>
        <v>46124</v>
      </c>
      <c r="J358" s="11">
        <f t="shared" ca="1" si="13"/>
        <v>46118</v>
      </c>
      <c r="K358" s="13"/>
    </row>
    <row r="359" spans="1:11" ht="18" x14ac:dyDescent="0.4">
      <c r="A359" s="7" t="s">
        <v>0</v>
      </c>
      <c r="B359" s="81" t="s">
        <v>343</v>
      </c>
      <c r="C359" s="57">
        <v>10627</v>
      </c>
      <c r="D359" s="70">
        <v>116123240</v>
      </c>
      <c r="E359" s="57">
        <v>18000</v>
      </c>
      <c r="F359" s="71" t="s">
        <v>344</v>
      </c>
      <c r="G359" s="61">
        <v>0</v>
      </c>
      <c r="H359" s="70">
        <f t="shared" si="16"/>
        <v>0</v>
      </c>
      <c r="I359" s="11">
        <f t="shared" ca="1" si="15"/>
        <v>46124</v>
      </c>
      <c r="J359" s="11">
        <f t="shared" ca="1" si="13"/>
        <v>46118</v>
      </c>
      <c r="K359" s="13"/>
    </row>
    <row r="360" spans="1:11" ht="18" x14ac:dyDescent="0.4">
      <c r="A360" s="7" t="s">
        <v>0</v>
      </c>
      <c r="B360" s="81" t="s">
        <v>137</v>
      </c>
      <c r="C360" s="57">
        <v>36019</v>
      </c>
      <c r="D360" s="70">
        <v>130307240</v>
      </c>
      <c r="E360" s="57">
        <v>350</v>
      </c>
      <c r="F360" s="71" t="s">
        <v>345</v>
      </c>
      <c r="G360" s="61">
        <v>0</v>
      </c>
      <c r="H360" s="70">
        <f t="shared" si="16"/>
        <v>0</v>
      </c>
      <c r="I360" s="11">
        <f t="shared" ca="1" si="15"/>
        <v>46124</v>
      </c>
      <c r="J360" s="11">
        <f t="shared" ca="1" si="13"/>
        <v>46118</v>
      </c>
      <c r="K360" s="13"/>
    </row>
    <row r="361" spans="1:11" ht="18" x14ac:dyDescent="0.4">
      <c r="A361" s="7" t="s">
        <v>0</v>
      </c>
      <c r="B361" s="81" t="s">
        <v>137</v>
      </c>
      <c r="C361" s="57">
        <v>36019</v>
      </c>
      <c r="D361" s="70">
        <v>143078240</v>
      </c>
      <c r="E361" s="57">
        <v>350</v>
      </c>
      <c r="F361" s="71" t="s">
        <v>346</v>
      </c>
      <c r="G361" s="61">
        <v>0</v>
      </c>
      <c r="H361" s="70">
        <f t="shared" si="16"/>
        <v>0</v>
      </c>
      <c r="I361" s="11">
        <f t="shared" ca="1" si="15"/>
        <v>46124</v>
      </c>
      <c r="J361" s="11">
        <f t="shared" ca="1" si="13"/>
        <v>46118</v>
      </c>
      <c r="K361" s="13"/>
    </row>
    <row r="362" spans="1:11" ht="18" x14ac:dyDescent="0.4">
      <c r="A362" s="7" t="s">
        <v>0</v>
      </c>
      <c r="B362" s="81" t="s">
        <v>137</v>
      </c>
      <c r="C362" s="57">
        <v>36019</v>
      </c>
      <c r="D362" s="70">
        <v>159720240</v>
      </c>
      <c r="E362" s="57">
        <v>130</v>
      </c>
      <c r="F362" s="71" t="s">
        <v>347</v>
      </c>
      <c r="G362" s="61">
        <v>0</v>
      </c>
      <c r="H362" s="70">
        <f t="shared" si="16"/>
        <v>0</v>
      </c>
      <c r="I362" s="11">
        <f t="shared" ca="1" si="15"/>
        <v>46124</v>
      </c>
      <c r="J362" s="11">
        <f t="shared" ca="1" si="13"/>
        <v>46118</v>
      </c>
      <c r="K362" s="13"/>
    </row>
    <row r="363" spans="1:11" ht="18" x14ac:dyDescent="0.4">
      <c r="A363" s="7" t="s">
        <v>0</v>
      </c>
      <c r="B363" s="81" t="s">
        <v>137</v>
      </c>
      <c r="C363" s="57">
        <v>36019</v>
      </c>
      <c r="D363" s="70">
        <v>187502240</v>
      </c>
      <c r="E363" s="57">
        <v>1400</v>
      </c>
      <c r="F363" s="71" t="s">
        <v>348</v>
      </c>
      <c r="G363" s="61">
        <v>0</v>
      </c>
      <c r="H363" s="70">
        <f t="shared" si="16"/>
        <v>0</v>
      </c>
      <c r="I363" s="11">
        <f t="shared" ca="1" si="15"/>
        <v>46124</v>
      </c>
      <c r="J363" s="11">
        <f t="shared" ca="1" si="13"/>
        <v>46118</v>
      </c>
      <c r="K363" s="13"/>
    </row>
    <row r="364" spans="1:11" ht="18" x14ac:dyDescent="0.4">
      <c r="A364" s="7" t="s">
        <v>0</v>
      </c>
      <c r="B364" s="81" t="s">
        <v>137</v>
      </c>
      <c r="C364" s="57">
        <v>36019</v>
      </c>
      <c r="D364" s="70">
        <v>187528210</v>
      </c>
      <c r="E364" s="57">
        <v>1400</v>
      </c>
      <c r="F364" s="71" t="s">
        <v>349</v>
      </c>
      <c r="G364" s="61">
        <v>0</v>
      </c>
      <c r="H364" s="70">
        <f t="shared" si="16"/>
        <v>0</v>
      </c>
      <c r="I364" s="11">
        <f t="shared" ca="1" si="15"/>
        <v>46124</v>
      </c>
      <c r="J364" s="11">
        <f t="shared" ca="1" si="13"/>
        <v>46118</v>
      </c>
      <c r="K364" s="13"/>
    </row>
    <row r="365" spans="1:11" ht="18" x14ac:dyDescent="0.4">
      <c r="A365" s="7" t="s">
        <v>0</v>
      </c>
      <c r="B365" s="81" t="s">
        <v>137</v>
      </c>
      <c r="C365" s="57">
        <v>36019</v>
      </c>
      <c r="D365" s="70">
        <v>463472570</v>
      </c>
      <c r="E365" s="57">
        <v>1200</v>
      </c>
      <c r="F365" s="71" t="s">
        <v>350</v>
      </c>
      <c r="G365" s="61">
        <v>0</v>
      </c>
      <c r="H365" s="70">
        <f t="shared" si="16"/>
        <v>0</v>
      </c>
      <c r="I365" s="11">
        <f t="shared" ca="1" si="15"/>
        <v>46124</v>
      </c>
      <c r="J365" s="11">
        <f t="shared" ca="1" si="13"/>
        <v>46118</v>
      </c>
      <c r="K365" s="13"/>
    </row>
    <row r="366" spans="1:11" ht="18" x14ac:dyDescent="0.4">
      <c r="A366" s="7" t="s">
        <v>0</v>
      </c>
      <c r="B366" s="81" t="s">
        <v>137</v>
      </c>
      <c r="C366" s="57">
        <v>36019</v>
      </c>
      <c r="D366" s="70">
        <v>551877370</v>
      </c>
      <c r="E366" s="57">
        <v>3600</v>
      </c>
      <c r="F366" s="71" t="s">
        <v>351</v>
      </c>
      <c r="G366" s="61">
        <v>0</v>
      </c>
      <c r="H366" s="70">
        <f t="shared" si="16"/>
        <v>0</v>
      </c>
      <c r="I366" s="11">
        <f t="shared" ca="1" si="15"/>
        <v>46124</v>
      </c>
      <c r="J366" s="11">
        <f t="shared" ca="1" si="13"/>
        <v>46118</v>
      </c>
      <c r="K366" s="13"/>
    </row>
    <row r="367" spans="1:11" ht="18" x14ac:dyDescent="0.4">
      <c r="A367" s="7" t="s">
        <v>0</v>
      </c>
      <c r="B367" s="81" t="s">
        <v>137</v>
      </c>
      <c r="C367" s="57">
        <v>36019</v>
      </c>
      <c r="D367" s="70">
        <v>552501310</v>
      </c>
      <c r="E367" s="57">
        <v>350</v>
      </c>
      <c r="F367" s="71" t="s">
        <v>352</v>
      </c>
      <c r="G367" s="61">
        <v>0</v>
      </c>
      <c r="H367" s="70">
        <f t="shared" si="16"/>
        <v>0</v>
      </c>
      <c r="I367" s="11">
        <f t="shared" ca="1" si="15"/>
        <v>46124</v>
      </c>
      <c r="J367" s="11">
        <f t="shared" ca="1" si="13"/>
        <v>46118</v>
      </c>
      <c r="K367" s="13"/>
    </row>
    <row r="368" spans="1:11" ht="18" x14ac:dyDescent="0.4">
      <c r="A368" s="7" t="s">
        <v>0</v>
      </c>
      <c r="B368" s="81" t="s">
        <v>137</v>
      </c>
      <c r="C368" s="57">
        <v>36019</v>
      </c>
      <c r="D368" s="70">
        <v>552261740</v>
      </c>
      <c r="E368" s="57">
        <v>250</v>
      </c>
      <c r="F368" s="71" t="s">
        <v>353</v>
      </c>
      <c r="G368" s="61">
        <v>0</v>
      </c>
      <c r="H368" s="70">
        <f t="shared" si="16"/>
        <v>0</v>
      </c>
      <c r="I368" s="11">
        <f t="shared" ca="1" si="15"/>
        <v>46124</v>
      </c>
      <c r="J368" s="11">
        <f t="shared" ca="1" si="13"/>
        <v>46118</v>
      </c>
      <c r="K368" s="13"/>
    </row>
    <row r="369" spans="1:11" ht="18" x14ac:dyDescent="0.4">
      <c r="A369" s="7" t="s">
        <v>0</v>
      </c>
      <c r="B369" s="81" t="s">
        <v>137</v>
      </c>
      <c r="C369" s="57">
        <v>36019</v>
      </c>
      <c r="D369" s="70">
        <v>463507860</v>
      </c>
      <c r="E369" s="57">
        <v>150</v>
      </c>
      <c r="F369" s="71" t="s">
        <v>127</v>
      </c>
      <c r="G369" s="61">
        <v>0</v>
      </c>
      <c r="H369" s="70">
        <f t="shared" si="16"/>
        <v>0</v>
      </c>
      <c r="I369" s="11">
        <f t="shared" ca="1" si="15"/>
        <v>46124</v>
      </c>
      <c r="J369" s="11">
        <f t="shared" ca="1" si="13"/>
        <v>46118</v>
      </c>
      <c r="K369" s="13"/>
    </row>
    <row r="370" spans="1:11" ht="18" x14ac:dyDescent="0.4">
      <c r="A370" s="14" t="s">
        <v>0</v>
      </c>
      <c r="B370" s="84" t="s">
        <v>137</v>
      </c>
      <c r="C370" s="78">
        <v>36019</v>
      </c>
      <c r="D370" s="79">
        <v>552589360</v>
      </c>
      <c r="E370" s="78">
        <v>230</v>
      </c>
      <c r="F370" s="80" t="s">
        <v>127</v>
      </c>
      <c r="G370" s="90">
        <v>0</v>
      </c>
      <c r="H370" s="72">
        <f t="shared" si="16"/>
        <v>0</v>
      </c>
      <c r="I370" s="36">
        <f t="shared" ca="1" si="15"/>
        <v>46124</v>
      </c>
      <c r="J370" s="36">
        <f t="shared" ca="1" si="13"/>
        <v>46118</v>
      </c>
      <c r="K370" s="15"/>
    </row>
    <row r="371" spans="1:11" ht="18" x14ac:dyDescent="0.4">
      <c r="A371" s="60" t="s">
        <v>719</v>
      </c>
      <c r="B371" s="7" t="s">
        <v>354</v>
      </c>
      <c r="C371" s="8">
        <v>30464</v>
      </c>
      <c r="D371" s="9">
        <v>76272340</v>
      </c>
      <c r="E371" s="57">
        <v>400</v>
      </c>
      <c r="F371" s="10" t="s">
        <v>355</v>
      </c>
      <c r="G371" s="9">
        <v>0</v>
      </c>
      <c r="H371" s="9">
        <f t="shared" ref="H371:H434" si="17">G371/E371</f>
        <v>0</v>
      </c>
      <c r="I371" s="11">
        <f t="shared" ca="1" si="15"/>
        <v>46124</v>
      </c>
      <c r="J371" s="11">
        <f t="shared" ca="1" si="13"/>
        <v>46118</v>
      </c>
      <c r="K371" s="17"/>
    </row>
    <row r="372" spans="1:11" ht="18" x14ac:dyDescent="0.4">
      <c r="A372" s="7" t="s">
        <v>719</v>
      </c>
      <c r="B372" s="7" t="s">
        <v>354</v>
      </c>
      <c r="C372" s="8">
        <v>30464</v>
      </c>
      <c r="D372" s="9">
        <v>463444260</v>
      </c>
      <c r="E372" s="57">
        <v>200</v>
      </c>
      <c r="F372" s="10" t="s">
        <v>356</v>
      </c>
      <c r="G372" s="9">
        <v>0</v>
      </c>
      <c r="H372" s="9">
        <f t="shared" si="17"/>
        <v>0</v>
      </c>
      <c r="I372" s="11">
        <f t="shared" ca="1" si="15"/>
        <v>46124</v>
      </c>
      <c r="J372" s="11">
        <f t="shared" ca="1" si="13"/>
        <v>46118</v>
      </c>
      <c r="K372" s="13"/>
    </row>
    <row r="373" spans="1:11" ht="18" x14ac:dyDescent="0.4">
      <c r="A373" s="7" t="s">
        <v>719</v>
      </c>
      <c r="B373" s="7" t="s">
        <v>357</v>
      </c>
      <c r="C373" s="8">
        <v>19414</v>
      </c>
      <c r="D373" s="9">
        <v>552679400</v>
      </c>
      <c r="E373" s="57">
        <v>1500</v>
      </c>
      <c r="F373" s="10" t="s">
        <v>168</v>
      </c>
      <c r="G373" s="9">
        <v>0</v>
      </c>
      <c r="H373" s="9">
        <f t="shared" si="17"/>
        <v>0</v>
      </c>
      <c r="I373" s="11">
        <f t="shared" ca="1" si="15"/>
        <v>46124</v>
      </c>
      <c r="J373" s="11">
        <f t="shared" ca="1" si="13"/>
        <v>46118</v>
      </c>
      <c r="K373" s="13"/>
    </row>
    <row r="374" spans="1:11" ht="18" x14ac:dyDescent="0.4">
      <c r="A374" s="7" t="s">
        <v>719</v>
      </c>
      <c r="B374" s="7" t="s">
        <v>357</v>
      </c>
      <c r="C374" s="8">
        <v>19414</v>
      </c>
      <c r="D374" s="9">
        <v>463584330</v>
      </c>
      <c r="E374" s="57">
        <v>1500</v>
      </c>
      <c r="F374" s="10" t="s">
        <v>168</v>
      </c>
      <c r="G374" s="9">
        <v>0</v>
      </c>
      <c r="H374" s="9">
        <f t="shared" si="17"/>
        <v>0</v>
      </c>
      <c r="I374" s="11">
        <f t="shared" ca="1" si="15"/>
        <v>46124</v>
      </c>
      <c r="J374" s="11">
        <f t="shared" ca="1" si="13"/>
        <v>46118</v>
      </c>
      <c r="K374" s="13"/>
    </row>
    <row r="375" spans="1:11" ht="18" x14ac:dyDescent="0.4">
      <c r="A375" s="7" t="s">
        <v>719</v>
      </c>
      <c r="B375" s="7" t="s">
        <v>357</v>
      </c>
      <c r="C375" s="8">
        <v>19414</v>
      </c>
      <c r="D375" s="9">
        <v>552709810</v>
      </c>
      <c r="E375" s="57">
        <v>100</v>
      </c>
      <c r="F375" s="10" t="s">
        <v>358</v>
      </c>
      <c r="G375" s="9">
        <v>10000</v>
      </c>
      <c r="H375" s="9">
        <f t="shared" si="17"/>
        <v>100</v>
      </c>
      <c r="I375" s="11">
        <f ca="1">I373</f>
        <v>46124</v>
      </c>
      <c r="J375" s="11">
        <f t="shared" ca="1" si="13"/>
        <v>46118</v>
      </c>
      <c r="K375" s="13"/>
    </row>
    <row r="376" spans="1:11" ht="18" x14ac:dyDescent="0.4">
      <c r="A376" s="7" t="s">
        <v>719</v>
      </c>
      <c r="B376" s="7" t="s">
        <v>357</v>
      </c>
      <c r="C376" s="8">
        <v>19414</v>
      </c>
      <c r="D376" s="9">
        <v>552679990</v>
      </c>
      <c r="E376" s="57">
        <v>600</v>
      </c>
      <c r="F376" s="10" t="s">
        <v>359</v>
      </c>
      <c r="G376" s="9">
        <v>0</v>
      </c>
      <c r="H376" s="9">
        <f t="shared" si="17"/>
        <v>0</v>
      </c>
      <c r="I376" s="11">
        <f t="shared" ca="1" si="15"/>
        <v>46124</v>
      </c>
      <c r="J376" s="11">
        <f t="shared" ca="1" si="13"/>
        <v>46118</v>
      </c>
      <c r="K376" s="13"/>
    </row>
    <row r="377" spans="1:11" ht="18" x14ac:dyDescent="0.4">
      <c r="A377" s="7" t="s">
        <v>719</v>
      </c>
      <c r="B377" s="7" t="s">
        <v>357</v>
      </c>
      <c r="C377" s="8">
        <v>19414</v>
      </c>
      <c r="D377" s="9">
        <v>552819860</v>
      </c>
      <c r="E377" s="57">
        <v>50</v>
      </c>
      <c r="F377" s="10" t="s">
        <v>360</v>
      </c>
      <c r="G377" s="9">
        <v>0</v>
      </c>
      <c r="H377" s="9">
        <f t="shared" si="17"/>
        <v>0</v>
      </c>
      <c r="I377" s="11">
        <f t="shared" ref="I377:I440" ca="1" si="18">I376</f>
        <v>46124</v>
      </c>
      <c r="J377" s="11">
        <f t="shared" ca="1" si="13"/>
        <v>46118</v>
      </c>
      <c r="K377" s="13"/>
    </row>
    <row r="378" spans="1:11" ht="18" x14ac:dyDescent="0.4">
      <c r="A378" s="7" t="s">
        <v>719</v>
      </c>
      <c r="B378" s="7" t="s">
        <v>357</v>
      </c>
      <c r="C378" s="8">
        <v>19414</v>
      </c>
      <c r="D378" s="9">
        <v>552584580</v>
      </c>
      <c r="E378" s="57">
        <v>600</v>
      </c>
      <c r="F378" s="10" t="s">
        <v>361</v>
      </c>
      <c r="G378" s="9">
        <v>0</v>
      </c>
      <c r="H378" s="9">
        <f t="shared" si="17"/>
        <v>0</v>
      </c>
      <c r="I378" s="11">
        <f t="shared" ca="1" si="18"/>
        <v>46124</v>
      </c>
      <c r="J378" s="11">
        <f t="shared" ca="1" si="13"/>
        <v>46118</v>
      </c>
      <c r="K378" s="13"/>
    </row>
    <row r="379" spans="1:11" ht="18" x14ac:dyDescent="0.4">
      <c r="A379" s="7" t="s">
        <v>719</v>
      </c>
      <c r="B379" s="7" t="s">
        <v>357</v>
      </c>
      <c r="C379" s="8">
        <v>19414</v>
      </c>
      <c r="D379" s="9">
        <v>552691000</v>
      </c>
      <c r="E379" s="57">
        <v>800</v>
      </c>
      <c r="F379" s="10" t="s">
        <v>362</v>
      </c>
      <c r="G379" s="9">
        <v>0</v>
      </c>
      <c r="H379" s="9">
        <f t="shared" si="17"/>
        <v>0</v>
      </c>
      <c r="I379" s="11">
        <f t="shared" ca="1" si="18"/>
        <v>46124</v>
      </c>
      <c r="J379" s="11">
        <f t="shared" ca="1" si="13"/>
        <v>46118</v>
      </c>
      <c r="K379" s="13"/>
    </row>
    <row r="380" spans="1:11" ht="18" x14ac:dyDescent="0.4">
      <c r="A380" s="7" t="s">
        <v>719</v>
      </c>
      <c r="B380" s="7" t="s">
        <v>357</v>
      </c>
      <c r="C380" s="8">
        <v>19414</v>
      </c>
      <c r="D380" s="9">
        <v>187529240</v>
      </c>
      <c r="E380" s="57">
        <v>400</v>
      </c>
      <c r="F380" s="10" t="s">
        <v>363</v>
      </c>
      <c r="G380" s="9">
        <v>0</v>
      </c>
      <c r="H380" s="9">
        <f t="shared" si="17"/>
        <v>0</v>
      </c>
      <c r="I380" s="11">
        <f t="shared" ca="1" si="18"/>
        <v>46124</v>
      </c>
      <c r="J380" s="11">
        <f t="shared" ca="1" si="13"/>
        <v>46118</v>
      </c>
      <c r="K380" s="13"/>
    </row>
    <row r="381" spans="1:11" ht="18" x14ac:dyDescent="0.4">
      <c r="A381" s="7" t="s">
        <v>719</v>
      </c>
      <c r="B381" s="7" t="s">
        <v>357</v>
      </c>
      <c r="C381" s="8">
        <v>19414</v>
      </c>
      <c r="D381" s="9">
        <v>552836160</v>
      </c>
      <c r="E381" s="57">
        <v>800</v>
      </c>
      <c r="F381" s="10" t="s">
        <v>364</v>
      </c>
      <c r="G381" s="9">
        <v>0</v>
      </c>
      <c r="H381" s="9">
        <f t="shared" si="17"/>
        <v>0</v>
      </c>
      <c r="I381" s="11">
        <f t="shared" ca="1" si="18"/>
        <v>46124</v>
      </c>
      <c r="J381" s="11">
        <f t="shared" ca="1" si="13"/>
        <v>46118</v>
      </c>
      <c r="K381" s="13"/>
    </row>
    <row r="382" spans="1:11" ht="18" x14ac:dyDescent="0.4">
      <c r="A382" s="7" t="s">
        <v>719</v>
      </c>
      <c r="B382" s="7" t="s">
        <v>357</v>
      </c>
      <c r="C382" s="8">
        <v>19414</v>
      </c>
      <c r="D382" s="9">
        <v>187505240</v>
      </c>
      <c r="E382" s="57">
        <v>1000</v>
      </c>
      <c r="F382" s="10" t="s">
        <v>365</v>
      </c>
      <c r="G382" s="9">
        <v>0</v>
      </c>
      <c r="H382" s="9">
        <f t="shared" si="17"/>
        <v>0</v>
      </c>
      <c r="I382" s="11">
        <f t="shared" ca="1" si="18"/>
        <v>46124</v>
      </c>
      <c r="J382" s="11">
        <f t="shared" ca="1" si="13"/>
        <v>46118</v>
      </c>
      <c r="K382" s="13"/>
    </row>
    <row r="383" spans="1:11" ht="18" x14ac:dyDescent="0.4">
      <c r="A383" s="7" t="s">
        <v>719</v>
      </c>
      <c r="B383" s="7" t="s">
        <v>357</v>
      </c>
      <c r="C383" s="8">
        <v>19414</v>
      </c>
      <c r="D383" s="9">
        <v>187517240</v>
      </c>
      <c r="E383" s="57">
        <v>1200</v>
      </c>
      <c r="F383" s="10" t="s">
        <v>366</v>
      </c>
      <c r="G383" s="9">
        <v>0</v>
      </c>
      <c r="H383" s="9">
        <f t="shared" si="17"/>
        <v>0</v>
      </c>
      <c r="I383" s="11">
        <f t="shared" ca="1" si="18"/>
        <v>46124</v>
      </c>
      <c r="J383" s="11">
        <f t="shared" ca="1" si="13"/>
        <v>46118</v>
      </c>
      <c r="K383" s="13"/>
    </row>
    <row r="384" spans="1:11" ht="18" x14ac:dyDescent="0.4">
      <c r="A384" s="7" t="s">
        <v>719</v>
      </c>
      <c r="B384" s="7" t="s">
        <v>357</v>
      </c>
      <c r="C384" s="8">
        <v>19414</v>
      </c>
      <c r="D384" s="9">
        <v>463479880</v>
      </c>
      <c r="E384" s="57">
        <v>1000</v>
      </c>
      <c r="F384" s="10" t="s">
        <v>127</v>
      </c>
      <c r="G384" s="9">
        <v>0</v>
      </c>
      <c r="H384" s="9">
        <f t="shared" si="17"/>
        <v>0</v>
      </c>
      <c r="I384" s="11">
        <f t="shared" ca="1" si="18"/>
        <v>46124</v>
      </c>
      <c r="J384" s="11">
        <f t="shared" ca="1" si="13"/>
        <v>46118</v>
      </c>
      <c r="K384" s="13"/>
    </row>
    <row r="385" spans="1:11" ht="18" x14ac:dyDescent="0.4">
      <c r="A385" s="7" t="s">
        <v>719</v>
      </c>
      <c r="B385" s="7" t="s">
        <v>367</v>
      </c>
      <c r="C385" s="8">
        <v>20419</v>
      </c>
      <c r="D385" s="9">
        <v>552681860</v>
      </c>
      <c r="E385" s="57">
        <v>560</v>
      </c>
      <c r="F385" s="10" t="s">
        <v>234</v>
      </c>
      <c r="G385" s="9">
        <v>1120</v>
      </c>
      <c r="H385" s="9">
        <f t="shared" si="17"/>
        <v>2</v>
      </c>
      <c r="I385" s="11">
        <f t="shared" ca="1" si="18"/>
        <v>46124</v>
      </c>
      <c r="J385" s="11">
        <f t="shared" ca="1" si="13"/>
        <v>46118</v>
      </c>
      <c r="K385" s="13"/>
    </row>
    <row r="386" spans="1:11" ht="18" x14ac:dyDescent="0.4">
      <c r="A386" s="7" t="s">
        <v>719</v>
      </c>
      <c r="B386" s="7" t="s">
        <v>367</v>
      </c>
      <c r="C386" s="8">
        <v>20419</v>
      </c>
      <c r="D386" s="9">
        <v>552678480</v>
      </c>
      <c r="E386" s="57">
        <v>800</v>
      </c>
      <c r="F386" s="10" t="s">
        <v>234</v>
      </c>
      <c r="G386" s="9">
        <v>800</v>
      </c>
      <c r="H386" s="9">
        <f>G386/E386</f>
        <v>1</v>
      </c>
      <c r="I386" s="11">
        <f ca="1">I385</f>
        <v>46124</v>
      </c>
      <c r="J386" s="11">
        <f t="shared" ca="1" si="13"/>
        <v>46118</v>
      </c>
      <c r="K386" s="13"/>
    </row>
    <row r="387" spans="1:11" ht="18" x14ac:dyDescent="0.4">
      <c r="A387" s="7" t="s">
        <v>719</v>
      </c>
      <c r="B387" s="7" t="s">
        <v>368</v>
      </c>
      <c r="C387" s="8">
        <v>32059</v>
      </c>
      <c r="D387" s="9">
        <v>552677450</v>
      </c>
      <c r="E387" s="57">
        <v>4500</v>
      </c>
      <c r="F387" s="10" t="s">
        <v>230</v>
      </c>
      <c r="G387" s="9">
        <v>9000</v>
      </c>
      <c r="H387" s="9">
        <f>G387/E387</f>
        <v>2</v>
      </c>
      <c r="I387" s="11">
        <f ca="1">I386</f>
        <v>46124</v>
      </c>
      <c r="J387" s="11">
        <f t="shared" ca="1" si="13"/>
        <v>46118</v>
      </c>
      <c r="K387" s="13"/>
    </row>
    <row r="388" spans="1:11" ht="18" x14ac:dyDescent="0.4">
      <c r="A388" s="7" t="s">
        <v>719</v>
      </c>
      <c r="B388" s="7" t="s">
        <v>369</v>
      </c>
      <c r="C388" s="8">
        <v>14928</v>
      </c>
      <c r="D388" s="9">
        <v>463404710</v>
      </c>
      <c r="E388" s="57">
        <v>100</v>
      </c>
      <c r="F388" s="10" t="s">
        <v>370</v>
      </c>
      <c r="G388" s="61">
        <v>3000</v>
      </c>
      <c r="H388" s="9">
        <f t="shared" si="17"/>
        <v>30</v>
      </c>
      <c r="I388" s="11">
        <f ca="1">I387</f>
        <v>46124</v>
      </c>
      <c r="J388" s="11">
        <f t="shared" ca="1" si="13"/>
        <v>46118</v>
      </c>
      <c r="K388" s="13"/>
    </row>
    <row r="389" spans="1:11" ht="18" x14ac:dyDescent="0.4">
      <c r="A389" s="7" t="s">
        <v>719</v>
      </c>
      <c r="B389" s="7" t="s">
        <v>371</v>
      </c>
      <c r="C389" s="8">
        <v>78605</v>
      </c>
      <c r="D389" s="9">
        <v>552679850</v>
      </c>
      <c r="E389" s="57">
        <v>300</v>
      </c>
      <c r="F389" s="10" t="s">
        <v>281</v>
      </c>
      <c r="G389" s="9">
        <v>1500</v>
      </c>
      <c r="H389" s="9">
        <f t="shared" si="17"/>
        <v>5</v>
      </c>
      <c r="I389" s="11">
        <f t="shared" ca="1" si="18"/>
        <v>46124</v>
      </c>
      <c r="J389" s="11">
        <f t="shared" ca="1" si="13"/>
        <v>46118</v>
      </c>
      <c r="K389" s="13"/>
    </row>
    <row r="390" spans="1:11" ht="18" x14ac:dyDescent="0.4">
      <c r="A390" s="7" t="s">
        <v>719</v>
      </c>
      <c r="B390" s="7" t="s">
        <v>372</v>
      </c>
      <c r="C390" s="8">
        <v>27951</v>
      </c>
      <c r="D390" s="9">
        <v>463411550</v>
      </c>
      <c r="E390" s="57">
        <v>1100</v>
      </c>
      <c r="F390" s="10" t="s">
        <v>373</v>
      </c>
      <c r="G390" s="9">
        <v>0</v>
      </c>
      <c r="H390" s="9">
        <f t="shared" si="17"/>
        <v>0</v>
      </c>
      <c r="I390" s="11">
        <f t="shared" ca="1" si="18"/>
        <v>46124</v>
      </c>
      <c r="J390" s="11">
        <f t="shared" ca="1" si="13"/>
        <v>46118</v>
      </c>
      <c r="K390" s="13"/>
    </row>
    <row r="391" spans="1:11" ht="18" x14ac:dyDescent="0.4">
      <c r="A391" s="7" t="s">
        <v>719</v>
      </c>
      <c r="B391" s="7" t="s">
        <v>372</v>
      </c>
      <c r="C391" s="8">
        <v>27951</v>
      </c>
      <c r="D391" s="9">
        <v>463415550</v>
      </c>
      <c r="E391" s="57">
        <v>800</v>
      </c>
      <c r="F391" s="10" t="s">
        <v>374</v>
      </c>
      <c r="G391" s="9">
        <v>0</v>
      </c>
      <c r="H391" s="9">
        <f t="shared" si="17"/>
        <v>0</v>
      </c>
      <c r="I391" s="11">
        <f t="shared" ca="1" si="18"/>
        <v>46124</v>
      </c>
      <c r="J391" s="11">
        <f t="shared" ca="1" si="13"/>
        <v>46118</v>
      </c>
      <c r="K391" s="13"/>
    </row>
    <row r="392" spans="1:11" ht="18" x14ac:dyDescent="0.4">
      <c r="A392" s="7" t="s">
        <v>719</v>
      </c>
      <c r="B392" s="7" t="s">
        <v>375</v>
      </c>
      <c r="C392" s="8">
        <v>24229</v>
      </c>
      <c r="D392" s="9">
        <v>463471630</v>
      </c>
      <c r="E392" s="57">
        <v>200</v>
      </c>
      <c r="F392" s="10" t="s">
        <v>376</v>
      </c>
      <c r="G392" s="9">
        <v>3200</v>
      </c>
      <c r="H392" s="9">
        <f t="shared" si="17"/>
        <v>16</v>
      </c>
      <c r="I392" s="11">
        <f t="shared" ca="1" si="18"/>
        <v>46124</v>
      </c>
      <c r="J392" s="11">
        <f t="shared" ca="1" si="13"/>
        <v>46118</v>
      </c>
      <c r="K392" s="13"/>
    </row>
    <row r="393" spans="1:11" ht="18" x14ac:dyDescent="0.4">
      <c r="A393" s="7" t="s">
        <v>719</v>
      </c>
      <c r="B393" s="7" t="s">
        <v>375</v>
      </c>
      <c r="C393" s="8">
        <v>24229</v>
      </c>
      <c r="D393" s="9">
        <v>463508000</v>
      </c>
      <c r="E393" s="57">
        <v>120</v>
      </c>
      <c r="F393" s="10" t="s">
        <v>271</v>
      </c>
      <c r="G393" s="9">
        <v>0</v>
      </c>
      <c r="H393" s="9">
        <f t="shared" si="17"/>
        <v>0</v>
      </c>
      <c r="I393" s="11">
        <f t="shared" ca="1" si="18"/>
        <v>46124</v>
      </c>
      <c r="J393" s="11">
        <f t="shared" ca="1" si="13"/>
        <v>46118</v>
      </c>
      <c r="K393" s="13"/>
    </row>
    <row r="394" spans="1:11" ht="18" x14ac:dyDescent="0.4">
      <c r="A394" s="7" t="s">
        <v>719</v>
      </c>
      <c r="B394" s="7" t="s">
        <v>377</v>
      </c>
      <c r="C394" s="8">
        <v>36019</v>
      </c>
      <c r="D394" s="9">
        <v>552768830</v>
      </c>
      <c r="E394" s="57">
        <v>2200</v>
      </c>
      <c r="F394" s="10" t="s">
        <v>378</v>
      </c>
      <c r="G394" s="9">
        <v>2200</v>
      </c>
      <c r="H394" s="9">
        <f t="shared" si="17"/>
        <v>1</v>
      </c>
      <c r="I394" s="11">
        <f t="shared" ca="1" si="18"/>
        <v>46124</v>
      </c>
      <c r="J394" s="11">
        <f t="shared" ca="1" si="13"/>
        <v>46118</v>
      </c>
      <c r="K394" s="13"/>
    </row>
    <row r="395" spans="1:11" ht="18" x14ac:dyDescent="0.4">
      <c r="A395" s="7" t="s">
        <v>719</v>
      </c>
      <c r="B395" s="7" t="s">
        <v>377</v>
      </c>
      <c r="C395" s="8">
        <v>36019</v>
      </c>
      <c r="D395" s="9">
        <v>552686720</v>
      </c>
      <c r="E395" s="57">
        <v>250</v>
      </c>
      <c r="F395" s="10" t="s">
        <v>379</v>
      </c>
      <c r="G395" s="9">
        <v>5750</v>
      </c>
      <c r="H395" s="9">
        <f t="shared" si="17"/>
        <v>23</v>
      </c>
      <c r="I395" s="11">
        <f t="shared" ca="1" si="18"/>
        <v>46124</v>
      </c>
      <c r="J395" s="11">
        <f t="shared" ca="1" si="13"/>
        <v>46118</v>
      </c>
      <c r="K395" s="13"/>
    </row>
    <row r="396" spans="1:11" ht="18" x14ac:dyDescent="0.4">
      <c r="A396" s="7" t="s">
        <v>719</v>
      </c>
      <c r="B396" s="7" t="s">
        <v>377</v>
      </c>
      <c r="C396" s="8">
        <v>36019</v>
      </c>
      <c r="D396" s="9">
        <v>552693200</v>
      </c>
      <c r="E396" s="57">
        <v>1000</v>
      </c>
      <c r="F396" s="10" t="s">
        <v>380</v>
      </c>
      <c r="G396" s="9">
        <v>0</v>
      </c>
      <c r="H396" s="9">
        <f t="shared" si="17"/>
        <v>0</v>
      </c>
      <c r="I396" s="11">
        <f t="shared" ca="1" si="18"/>
        <v>46124</v>
      </c>
      <c r="J396" s="11">
        <f t="shared" ca="1" si="13"/>
        <v>46118</v>
      </c>
      <c r="K396" s="13"/>
    </row>
    <row r="397" spans="1:11" ht="18" x14ac:dyDescent="0.4">
      <c r="A397" s="7" t="s">
        <v>719</v>
      </c>
      <c r="B397" s="7" t="s">
        <v>377</v>
      </c>
      <c r="C397" s="8">
        <v>36019</v>
      </c>
      <c r="D397" s="9">
        <v>552728620</v>
      </c>
      <c r="E397" s="57">
        <v>1500</v>
      </c>
      <c r="F397" s="10" t="s">
        <v>381</v>
      </c>
      <c r="G397" s="9">
        <v>3000</v>
      </c>
      <c r="H397" s="9">
        <f t="shared" si="17"/>
        <v>2</v>
      </c>
      <c r="I397" s="11">
        <f t="shared" ca="1" si="18"/>
        <v>46124</v>
      </c>
      <c r="J397" s="11">
        <f t="shared" ca="1" si="13"/>
        <v>46118</v>
      </c>
      <c r="K397" s="13"/>
    </row>
    <row r="398" spans="1:11" ht="18" x14ac:dyDescent="0.4">
      <c r="A398" s="7" t="s">
        <v>719</v>
      </c>
      <c r="B398" s="7" t="s">
        <v>377</v>
      </c>
      <c r="C398" s="8">
        <v>36019</v>
      </c>
      <c r="D398" s="9">
        <v>552679970</v>
      </c>
      <c r="E398" s="57">
        <v>1200</v>
      </c>
      <c r="F398" s="10" t="s">
        <v>382</v>
      </c>
      <c r="G398" s="9">
        <v>3600</v>
      </c>
      <c r="H398" s="9">
        <f t="shared" si="17"/>
        <v>3</v>
      </c>
      <c r="I398" s="11">
        <f t="shared" ca="1" si="18"/>
        <v>46124</v>
      </c>
      <c r="J398" s="11">
        <f t="shared" ca="1" si="13"/>
        <v>46118</v>
      </c>
      <c r="K398" s="13"/>
    </row>
    <row r="399" spans="1:11" ht="18" x14ac:dyDescent="0.4">
      <c r="A399" s="7" t="s">
        <v>719</v>
      </c>
      <c r="B399" s="7" t="s">
        <v>377</v>
      </c>
      <c r="C399" s="8">
        <v>36019</v>
      </c>
      <c r="D399" s="9">
        <v>552677410</v>
      </c>
      <c r="E399" s="57">
        <v>200</v>
      </c>
      <c r="F399" s="10" t="s">
        <v>383</v>
      </c>
      <c r="G399" s="9">
        <v>0</v>
      </c>
      <c r="H399" s="9">
        <f t="shared" si="17"/>
        <v>0</v>
      </c>
      <c r="I399" s="11">
        <f t="shared" ca="1" si="18"/>
        <v>46124</v>
      </c>
      <c r="J399" s="11">
        <f t="shared" ca="1" si="13"/>
        <v>46118</v>
      </c>
      <c r="K399" s="13"/>
    </row>
    <row r="400" spans="1:11" ht="18" x14ac:dyDescent="0.4">
      <c r="A400" s="7" t="s">
        <v>719</v>
      </c>
      <c r="B400" s="7" t="s">
        <v>377</v>
      </c>
      <c r="C400" s="8">
        <v>36019</v>
      </c>
      <c r="D400" s="9">
        <v>463535790</v>
      </c>
      <c r="E400" s="57">
        <v>700</v>
      </c>
      <c r="F400" s="10" t="s">
        <v>384</v>
      </c>
      <c r="G400" s="9">
        <v>7700</v>
      </c>
      <c r="H400" s="9">
        <f t="shared" si="17"/>
        <v>11</v>
      </c>
      <c r="I400" s="11">
        <f ca="1">I398</f>
        <v>46124</v>
      </c>
      <c r="J400" s="11">
        <f t="shared" ca="1" si="13"/>
        <v>46118</v>
      </c>
      <c r="K400" s="13"/>
    </row>
    <row r="401" spans="1:11" ht="18" x14ac:dyDescent="0.4">
      <c r="A401" s="7" t="s">
        <v>719</v>
      </c>
      <c r="B401" s="7" t="s">
        <v>377</v>
      </c>
      <c r="C401" s="8">
        <v>36019</v>
      </c>
      <c r="D401" s="9">
        <v>463589540</v>
      </c>
      <c r="E401" s="57">
        <v>150</v>
      </c>
      <c r="F401" s="10" t="s">
        <v>385</v>
      </c>
      <c r="G401" s="9">
        <v>0</v>
      </c>
      <c r="H401" s="9">
        <f t="shared" si="17"/>
        <v>0</v>
      </c>
      <c r="I401" s="11">
        <f t="shared" ca="1" si="18"/>
        <v>46124</v>
      </c>
      <c r="J401" s="11">
        <f t="shared" ca="1" si="13"/>
        <v>46118</v>
      </c>
      <c r="K401" s="13"/>
    </row>
    <row r="402" spans="1:11" ht="18" x14ac:dyDescent="0.4">
      <c r="A402" s="7" t="s">
        <v>719</v>
      </c>
      <c r="B402" s="7" t="s">
        <v>377</v>
      </c>
      <c r="C402" s="8">
        <v>36019</v>
      </c>
      <c r="D402" s="9">
        <v>463586380</v>
      </c>
      <c r="E402" s="57">
        <v>3000</v>
      </c>
      <c r="F402" s="10" t="s">
        <v>386</v>
      </c>
      <c r="G402" s="9">
        <v>3000</v>
      </c>
      <c r="H402" s="9">
        <f t="shared" si="17"/>
        <v>1</v>
      </c>
      <c r="I402" s="11">
        <f t="shared" ca="1" si="18"/>
        <v>46124</v>
      </c>
      <c r="J402" s="11">
        <f t="shared" ca="1" si="13"/>
        <v>46118</v>
      </c>
      <c r="K402" s="13"/>
    </row>
    <row r="403" spans="1:11" ht="18" x14ac:dyDescent="0.4">
      <c r="A403" s="7" t="s">
        <v>719</v>
      </c>
      <c r="B403" s="7" t="s">
        <v>377</v>
      </c>
      <c r="C403" s="8">
        <v>36019</v>
      </c>
      <c r="D403" s="9">
        <v>552636100</v>
      </c>
      <c r="E403" s="57">
        <v>200</v>
      </c>
      <c r="F403" s="10" t="s">
        <v>387</v>
      </c>
      <c r="G403" s="9">
        <v>3400</v>
      </c>
      <c r="H403" s="9">
        <f t="shared" si="17"/>
        <v>17</v>
      </c>
      <c r="I403" s="11">
        <f t="shared" ca="1" si="18"/>
        <v>46124</v>
      </c>
      <c r="J403" s="11">
        <f t="shared" ca="1" si="13"/>
        <v>46118</v>
      </c>
      <c r="K403" s="13"/>
    </row>
    <row r="404" spans="1:11" ht="18" x14ac:dyDescent="0.4">
      <c r="A404" s="7" t="s">
        <v>719</v>
      </c>
      <c r="B404" s="7" t="s">
        <v>377</v>
      </c>
      <c r="C404" s="8">
        <v>36019</v>
      </c>
      <c r="D404" s="9">
        <v>135435340</v>
      </c>
      <c r="E404" s="57">
        <v>900</v>
      </c>
      <c r="F404" s="10" t="s">
        <v>388</v>
      </c>
      <c r="G404" s="9">
        <v>4500</v>
      </c>
      <c r="H404" s="9">
        <f t="shared" si="17"/>
        <v>5</v>
      </c>
      <c r="I404" s="11">
        <f t="shared" ca="1" si="18"/>
        <v>46124</v>
      </c>
      <c r="J404" s="11">
        <f t="shared" ca="1" si="13"/>
        <v>46118</v>
      </c>
      <c r="K404" s="13"/>
    </row>
    <row r="405" spans="1:11" ht="18" x14ac:dyDescent="0.4">
      <c r="A405" s="7" t="s">
        <v>719</v>
      </c>
      <c r="B405" s="7" t="s">
        <v>377</v>
      </c>
      <c r="C405" s="8">
        <v>36019</v>
      </c>
      <c r="D405" s="9">
        <v>552739160</v>
      </c>
      <c r="E405" s="57">
        <v>500</v>
      </c>
      <c r="F405" s="10" t="s">
        <v>389</v>
      </c>
      <c r="G405" s="9">
        <v>16000</v>
      </c>
      <c r="H405" s="9">
        <f t="shared" si="17"/>
        <v>32</v>
      </c>
      <c r="I405" s="11">
        <f t="shared" ca="1" si="18"/>
        <v>46124</v>
      </c>
      <c r="J405" s="11">
        <f t="shared" ca="1" si="13"/>
        <v>46118</v>
      </c>
      <c r="K405" s="13"/>
    </row>
    <row r="406" spans="1:11" ht="18" x14ac:dyDescent="0.4">
      <c r="A406" s="7" t="s">
        <v>719</v>
      </c>
      <c r="B406" s="7" t="s">
        <v>377</v>
      </c>
      <c r="C406" s="8">
        <v>36019</v>
      </c>
      <c r="D406" s="9">
        <v>187502240</v>
      </c>
      <c r="E406" s="57">
        <v>1400</v>
      </c>
      <c r="F406" s="10" t="s">
        <v>348</v>
      </c>
      <c r="G406" s="9">
        <v>1400</v>
      </c>
      <c r="H406" s="9">
        <f t="shared" si="17"/>
        <v>1</v>
      </c>
      <c r="I406" s="11">
        <f t="shared" ca="1" si="18"/>
        <v>46124</v>
      </c>
      <c r="J406" s="11">
        <f t="shared" ca="1" si="13"/>
        <v>46118</v>
      </c>
      <c r="K406" s="13"/>
    </row>
    <row r="407" spans="1:11" ht="18" x14ac:dyDescent="0.4">
      <c r="A407" s="7" t="s">
        <v>719</v>
      </c>
      <c r="B407" s="7" t="s">
        <v>377</v>
      </c>
      <c r="C407" s="8">
        <v>36019</v>
      </c>
      <c r="D407" s="9">
        <v>463375300</v>
      </c>
      <c r="E407" s="57">
        <v>1000</v>
      </c>
      <c r="F407" s="10" t="s">
        <v>390</v>
      </c>
      <c r="G407" s="9">
        <v>0</v>
      </c>
      <c r="H407" s="9">
        <f t="shared" si="17"/>
        <v>0</v>
      </c>
      <c r="I407" s="11">
        <f t="shared" ca="1" si="18"/>
        <v>46124</v>
      </c>
      <c r="J407" s="11">
        <f t="shared" ca="1" si="13"/>
        <v>46118</v>
      </c>
      <c r="K407" s="13"/>
    </row>
    <row r="408" spans="1:11" ht="18" x14ac:dyDescent="0.4">
      <c r="A408" s="7" t="s">
        <v>719</v>
      </c>
      <c r="B408" s="7" t="s">
        <v>391</v>
      </c>
      <c r="C408" s="8">
        <v>43416</v>
      </c>
      <c r="D408" s="9">
        <v>463361830</v>
      </c>
      <c r="E408" s="57">
        <v>240</v>
      </c>
      <c r="F408" s="10" t="s">
        <v>23</v>
      </c>
      <c r="G408" s="9">
        <v>720</v>
      </c>
      <c r="H408" s="9">
        <f t="shared" si="17"/>
        <v>3</v>
      </c>
      <c r="I408" s="11">
        <f t="shared" ca="1" si="18"/>
        <v>46124</v>
      </c>
      <c r="J408" s="11">
        <f t="shared" ca="1" si="13"/>
        <v>46118</v>
      </c>
      <c r="K408" s="13"/>
    </row>
    <row r="409" spans="1:11" ht="18" x14ac:dyDescent="0.4">
      <c r="A409" s="7" t="s">
        <v>719</v>
      </c>
      <c r="B409" s="7" t="s">
        <v>391</v>
      </c>
      <c r="C409" s="8">
        <v>43416</v>
      </c>
      <c r="D409" s="9">
        <v>463361840</v>
      </c>
      <c r="E409" s="57">
        <v>240</v>
      </c>
      <c r="F409" s="10" t="s">
        <v>23</v>
      </c>
      <c r="G409" s="9">
        <v>720</v>
      </c>
      <c r="H409" s="9">
        <f t="shared" si="17"/>
        <v>3</v>
      </c>
      <c r="I409" s="11">
        <f t="shared" ca="1" si="18"/>
        <v>46124</v>
      </c>
      <c r="J409" s="11">
        <f t="shared" ca="1" si="13"/>
        <v>46118</v>
      </c>
      <c r="K409" s="13"/>
    </row>
    <row r="410" spans="1:11" ht="18" x14ac:dyDescent="0.4">
      <c r="A410" s="7" t="s">
        <v>719</v>
      </c>
      <c r="B410" s="7" t="s">
        <v>250</v>
      </c>
      <c r="C410" s="8">
        <v>37866</v>
      </c>
      <c r="D410" s="9">
        <v>463518860</v>
      </c>
      <c r="E410" s="57">
        <v>120</v>
      </c>
      <c r="F410" s="10" t="s">
        <v>392</v>
      </c>
      <c r="G410" s="9">
        <v>0</v>
      </c>
      <c r="H410" s="9">
        <f t="shared" si="17"/>
        <v>0</v>
      </c>
      <c r="I410" s="11">
        <f t="shared" ca="1" si="18"/>
        <v>46124</v>
      </c>
      <c r="J410" s="11">
        <f t="shared" ca="1" si="13"/>
        <v>46118</v>
      </c>
      <c r="K410" s="13"/>
    </row>
    <row r="411" spans="1:11" ht="18" x14ac:dyDescent="0.4">
      <c r="A411" s="7" t="s">
        <v>719</v>
      </c>
      <c r="B411" s="7" t="s">
        <v>250</v>
      </c>
      <c r="C411" s="8">
        <v>37866</v>
      </c>
      <c r="D411" s="9">
        <v>463550740</v>
      </c>
      <c r="E411" s="57">
        <v>120</v>
      </c>
      <c r="F411" s="10" t="s">
        <v>392</v>
      </c>
      <c r="G411" s="9">
        <v>0</v>
      </c>
      <c r="H411" s="9">
        <f t="shared" si="17"/>
        <v>0</v>
      </c>
      <c r="I411" s="11">
        <f t="shared" ca="1" si="18"/>
        <v>46124</v>
      </c>
      <c r="J411" s="11">
        <f t="shared" ca="1" si="13"/>
        <v>46118</v>
      </c>
      <c r="K411" s="13"/>
    </row>
    <row r="412" spans="1:11" ht="18" x14ac:dyDescent="0.4">
      <c r="A412" s="7" t="s">
        <v>719</v>
      </c>
      <c r="B412" s="7" t="s">
        <v>250</v>
      </c>
      <c r="C412" s="8">
        <v>37866</v>
      </c>
      <c r="D412" s="9">
        <v>463528570</v>
      </c>
      <c r="E412" s="57">
        <v>120</v>
      </c>
      <c r="F412" s="10" t="s">
        <v>393</v>
      </c>
      <c r="G412" s="9">
        <v>0</v>
      </c>
      <c r="H412" s="9">
        <f t="shared" si="17"/>
        <v>0</v>
      </c>
      <c r="I412" s="11">
        <f t="shared" ca="1" si="18"/>
        <v>46124</v>
      </c>
      <c r="J412" s="11">
        <f t="shared" ca="1" si="13"/>
        <v>46118</v>
      </c>
      <c r="K412" s="13"/>
    </row>
    <row r="413" spans="1:11" ht="18" x14ac:dyDescent="0.4">
      <c r="A413" s="7" t="s">
        <v>719</v>
      </c>
      <c r="B413" s="7" t="s">
        <v>250</v>
      </c>
      <c r="C413" s="8">
        <v>37866</v>
      </c>
      <c r="D413" s="9">
        <v>463584820</v>
      </c>
      <c r="E413" s="57">
        <v>120</v>
      </c>
      <c r="F413" s="10" t="s">
        <v>394</v>
      </c>
      <c r="G413" s="9">
        <v>0</v>
      </c>
      <c r="H413" s="9">
        <f t="shared" si="17"/>
        <v>0</v>
      </c>
      <c r="I413" s="11">
        <f t="shared" ca="1" si="18"/>
        <v>46124</v>
      </c>
      <c r="J413" s="11">
        <f t="shared" ca="1" si="13"/>
        <v>46118</v>
      </c>
      <c r="K413" s="13"/>
    </row>
    <row r="414" spans="1:11" ht="18" x14ac:dyDescent="0.4">
      <c r="A414" s="7" t="s">
        <v>719</v>
      </c>
      <c r="B414" s="7" t="s">
        <v>250</v>
      </c>
      <c r="C414" s="8">
        <v>37866</v>
      </c>
      <c r="D414" s="9">
        <v>463584840</v>
      </c>
      <c r="E414" s="57">
        <v>120</v>
      </c>
      <c r="F414" s="10" t="s">
        <v>394</v>
      </c>
      <c r="G414" s="9">
        <v>120</v>
      </c>
      <c r="H414" s="9">
        <f t="shared" si="17"/>
        <v>1</v>
      </c>
      <c r="I414" s="11">
        <f t="shared" ca="1" si="18"/>
        <v>46124</v>
      </c>
      <c r="J414" s="11">
        <f t="shared" ca="1" si="13"/>
        <v>46118</v>
      </c>
      <c r="K414" s="13"/>
    </row>
    <row r="415" spans="1:11" ht="18" x14ac:dyDescent="0.4">
      <c r="A415" s="7" t="s">
        <v>719</v>
      </c>
      <c r="B415" s="7" t="s">
        <v>250</v>
      </c>
      <c r="C415" s="8">
        <v>37866</v>
      </c>
      <c r="D415" s="9">
        <v>463510130</v>
      </c>
      <c r="E415" s="57">
        <v>120</v>
      </c>
      <c r="F415" s="10" t="s">
        <v>394</v>
      </c>
      <c r="G415" s="9">
        <v>0</v>
      </c>
      <c r="H415" s="9">
        <f t="shared" si="17"/>
        <v>0</v>
      </c>
      <c r="I415" s="11">
        <f t="shared" ca="1" si="18"/>
        <v>46124</v>
      </c>
      <c r="J415" s="11">
        <f t="shared" ca="1" si="13"/>
        <v>46118</v>
      </c>
      <c r="K415" s="13"/>
    </row>
    <row r="416" spans="1:11" ht="18" x14ac:dyDescent="0.4">
      <c r="A416" s="7" t="s">
        <v>719</v>
      </c>
      <c r="B416" s="7" t="s">
        <v>250</v>
      </c>
      <c r="C416" s="8">
        <v>37866</v>
      </c>
      <c r="D416" s="9">
        <v>463584860</v>
      </c>
      <c r="E416" s="57">
        <v>120</v>
      </c>
      <c r="F416" s="37" t="s">
        <v>394</v>
      </c>
      <c r="G416" s="9">
        <v>0</v>
      </c>
      <c r="H416" s="9">
        <f t="shared" si="17"/>
        <v>0</v>
      </c>
      <c r="I416" s="11">
        <f t="shared" ca="1" si="18"/>
        <v>46124</v>
      </c>
      <c r="J416" s="11">
        <f t="shared" ca="1" si="13"/>
        <v>46118</v>
      </c>
      <c r="K416" s="13"/>
    </row>
    <row r="417" spans="1:11" ht="18" x14ac:dyDescent="0.4">
      <c r="A417" s="7" t="s">
        <v>719</v>
      </c>
      <c r="B417" s="7" t="s">
        <v>250</v>
      </c>
      <c r="C417" s="8">
        <v>37866</v>
      </c>
      <c r="D417" s="9">
        <v>463584880</v>
      </c>
      <c r="E417" s="57">
        <v>120</v>
      </c>
      <c r="F417" s="10" t="s">
        <v>394</v>
      </c>
      <c r="G417" s="9">
        <v>0</v>
      </c>
      <c r="H417" s="9">
        <f t="shared" si="17"/>
        <v>0</v>
      </c>
      <c r="I417" s="11">
        <f t="shared" ca="1" si="18"/>
        <v>46124</v>
      </c>
      <c r="J417" s="11">
        <f t="shared" ca="1" si="13"/>
        <v>46118</v>
      </c>
      <c r="K417" s="13"/>
    </row>
    <row r="418" spans="1:11" ht="18" x14ac:dyDescent="0.4">
      <c r="A418" s="7" t="s">
        <v>719</v>
      </c>
      <c r="B418" s="7" t="s">
        <v>250</v>
      </c>
      <c r="C418" s="8">
        <v>37866</v>
      </c>
      <c r="D418" s="9">
        <v>463584830</v>
      </c>
      <c r="E418" s="57">
        <v>120</v>
      </c>
      <c r="F418" s="37" t="s">
        <v>394</v>
      </c>
      <c r="G418" s="9">
        <v>0</v>
      </c>
      <c r="H418" s="9">
        <f t="shared" si="17"/>
        <v>0</v>
      </c>
      <c r="I418" s="11">
        <f t="shared" ca="1" si="18"/>
        <v>46124</v>
      </c>
      <c r="J418" s="11">
        <f t="shared" ca="1" si="13"/>
        <v>46118</v>
      </c>
      <c r="K418" s="13"/>
    </row>
    <row r="419" spans="1:11" ht="18" x14ac:dyDescent="0.4">
      <c r="A419" s="7" t="s">
        <v>719</v>
      </c>
      <c r="B419" s="7" t="s">
        <v>250</v>
      </c>
      <c r="C419" s="8">
        <v>37866</v>
      </c>
      <c r="D419" s="9">
        <v>463584870</v>
      </c>
      <c r="E419" s="57">
        <v>120</v>
      </c>
      <c r="F419" s="10" t="s">
        <v>394</v>
      </c>
      <c r="G419" s="9">
        <v>120</v>
      </c>
      <c r="H419" s="9">
        <f t="shared" si="17"/>
        <v>1</v>
      </c>
      <c r="I419" s="11">
        <f t="shared" ca="1" si="18"/>
        <v>46124</v>
      </c>
      <c r="J419" s="11">
        <f t="shared" ca="1" si="13"/>
        <v>46118</v>
      </c>
      <c r="K419" s="13"/>
    </row>
    <row r="420" spans="1:11" ht="18" x14ac:dyDescent="0.4">
      <c r="A420" s="7" t="s">
        <v>719</v>
      </c>
      <c r="B420" s="7" t="s">
        <v>250</v>
      </c>
      <c r="C420" s="8">
        <v>37866</v>
      </c>
      <c r="D420" s="9">
        <v>463569360</v>
      </c>
      <c r="E420" s="57">
        <v>120</v>
      </c>
      <c r="F420" s="10" t="s">
        <v>394</v>
      </c>
      <c r="G420" s="9">
        <v>0</v>
      </c>
      <c r="H420" s="9">
        <f t="shared" si="17"/>
        <v>0</v>
      </c>
      <c r="I420" s="11">
        <f t="shared" ca="1" si="18"/>
        <v>46124</v>
      </c>
      <c r="J420" s="11">
        <f t="shared" ca="1" si="13"/>
        <v>46118</v>
      </c>
      <c r="K420" s="13"/>
    </row>
    <row r="421" spans="1:11" ht="18" x14ac:dyDescent="0.4">
      <c r="A421" s="7" t="s">
        <v>719</v>
      </c>
      <c r="B421" s="7" t="s">
        <v>250</v>
      </c>
      <c r="C421" s="8">
        <v>37866</v>
      </c>
      <c r="D421" s="9">
        <v>463579240</v>
      </c>
      <c r="E421" s="57">
        <v>120</v>
      </c>
      <c r="F421" s="10" t="s">
        <v>394</v>
      </c>
      <c r="G421" s="9">
        <v>0</v>
      </c>
      <c r="H421" s="9">
        <f t="shared" si="17"/>
        <v>0</v>
      </c>
      <c r="I421" s="11">
        <f t="shared" ca="1" si="18"/>
        <v>46124</v>
      </c>
      <c r="J421" s="11">
        <f t="shared" ca="1" si="13"/>
        <v>46118</v>
      </c>
      <c r="K421" s="13"/>
    </row>
    <row r="422" spans="1:11" ht="18" x14ac:dyDescent="0.4">
      <c r="A422" s="7" t="s">
        <v>719</v>
      </c>
      <c r="B422" s="7" t="s">
        <v>250</v>
      </c>
      <c r="C422" s="8">
        <v>37866</v>
      </c>
      <c r="D422" s="9">
        <v>463579360</v>
      </c>
      <c r="E422" s="57">
        <v>120</v>
      </c>
      <c r="F422" s="10" t="s">
        <v>394</v>
      </c>
      <c r="G422" s="9">
        <v>480</v>
      </c>
      <c r="H422" s="9">
        <f t="shared" si="17"/>
        <v>4</v>
      </c>
      <c r="I422" s="11">
        <f t="shared" ca="1" si="18"/>
        <v>46124</v>
      </c>
      <c r="J422" s="11">
        <f t="shared" ca="1" si="13"/>
        <v>46118</v>
      </c>
      <c r="K422" s="13"/>
    </row>
    <row r="423" spans="1:11" ht="18" x14ac:dyDescent="0.4">
      <c r="A423" s="7" t="s">
        <v>719</v>
      </c>
      <c r="B423" s="7" t="s">
        <v>250</v>
      </c>
      <c r="C423" s="8">
        <v>37866</v>
      </c>
      <c r="D423" s="9">
        <v>463579680</v>
      </c>
      <c r="E423" s="57">
        <v>120</v>
      </c>
      <c r="F423" s="10" t="s">
        <v>394</v>
      </c>
      <c r="G423" s="9">
        <v>240</v>
      </c>
      <c r="H423" s="9">
        <f t="shared" si="17"/>
        <v>2</v>
      </c>
      <c r="I423" s="11">
        <f t="shared" ca="1" si="18"/>
        <v>46124</v>
      </c>
      <c r="J423" s="11">
        <f t="shared" ca="1" si="13"/>
        <v>46118</v>
      </c>
      <c r="K423" s="13"/>
    </row>
    <row r="424" spans="1:11" ht="18" x14ac:dyDescent="0.4">
      <c r="A424" s="7" t="s">
        <v>719</v>
      </c>
      <c r="B424" s="7" t="s">
        <v>250</v>
      </c>
      <c r="C424" s="8">
        <v>37866</v>
      </c>
      <c r="D424" s="9">
        <v>463579760</v>
      </c>
      <c r="E424" s="57">
        <v>120</v>
      </c>
      <c r="F424" s="10" t="s">
        <v>394</v>
      </c>
      <c r="G424" s="9">
        <v>240</v>
      </c>
      <c r="H424" s="9">
        <f t="shared" si="17"/>
        <v>2</v>
      </c>
      <c r="I424" s="11">
        <f t="shared" ca="1" si="18"/>
        <v>46124</v>
      </c>
      <c r="J424" s="11">
        <f t="shared" ca="1" si="13"/>
        <v>46118</v>
      </c>
      <c r="K424" s="13"/>
    </row>
    <row r="425" spans="1:11" ht="18" x14ac:dyDescent="0.4">
      <c r="A425" s="7" t="s">
        <v>719</v>
      </c>
      <c r="B425" s="7" t="s">
        <v>250</v>
      </c>
      <c r="C425" s="8">
        <v>37866</v>
      </c>
      <c r="D425" s="9">
        <v>463579900</v>
      </c>
      <c r="E425" s="57">
        <v>120</v>
      </c>
      <c r="F425" s="10" t="s">
        <v>394</v>
      </c>
      <c r="G425" s="9">
        <v>240</v>
      </c>
      <c r="H425" s="9">
        <f t="shared" si="17"/>
        <v>2</v>
      </c>
      <c r="I425" s="11">
        <f t="shared" ca="1" si="18"/>
        <v>46124</v>
      </c>
      <c r="J425" s="11">
        <f t="shared" ca="1" si="13"/>
        <v>46118</v>
      </c>
      <c r="K425" s="13"/>
    </row>
    <row r="426" spans="1:11" ht="18" x14ac:dyDescent="0.4">
      <c r="A426" s="7" t="s">
        <v>719</v>
      </c>
      <c r="B426" s="7" t="s">
        <v>250</v>
      </c>
      <c r="C426" s="8">
        <v>37866</v>
      </c>
      <c r="D426" s="9">
        <v>463580810</v>
      </c>
      <c r="E426" s="57">
        <v>120</v>
      </c>
      <c r="F426" s="10" t="s">
        <v>394</v>
      </c>
      <c r="G426" s="9">
        <v>0</v>
      </c>
      <c r="H426" s="9">
        <f t="shared" si="17"/>
        <v>0</v>
      </c>
      <c r="I426" s="11">
        <f t="shared" ca="1" si="18"/>
        <v>46124</v>
      </c>
      <c r="J426" s="11">
        <f t="shared" ca="1" si="13"/>
        <v>46118</v>
      </c>
      <c r="K426" s="13"/>
    </row>
    <row r="427" spans="1:11" ht="18" x14ac:dyDescent="0.4">
      <c r="A427" s="7" t="s">
        <v>719</v>
      </c>
      <c r="B427" s="7" t="s">
        <v>250</v>
      </c>
      <c r="C427" s="8">
        <v>37866</v>
      </c>
      <c r="D427" s="9">
        <v>463513260</v>
      </c>
      <c r="E427" s="57">
        <v>120</v>
      </c>
      <c r="F427" s="10" t="s">
        <v>395</v>
      </c>
      <c r="G427" s="9">
        <v>0</v>
      </c>
      <c r="H427" s="9">
        <f t="shared" si="17"/>
        <v>0</v>
      </c>
      <c r="I427" s="11">
        <f t="shared" ca="1" si="18"/>
        <v>46124</v>
      </c>
      <c r="J427" s="11">
        <f t="shared" ca="1" si="13"/>
        <v>46118</v>
      </c>
      <c r="K427" s="13"/>
    </row>
    <row r="428" spans="1:11" ht="18" x14ac:dyDescent="0.4">
      <c r="A428" s="7" t="s">
        <v>719</v>
      </c>
      <c r="B428" s="7" t="s">
        <v>396</v>
      </c>
      <c r="C428" s="8">
        <v>10675</v>
      </c>
      <c r="D428" s="9">
        <v>552678530</v>
      </c>
      <c r="E428" s="57">
        <v>2160</v>
      </c>
      <c r="F428" s="10" t="s">
        <v>397</v>
      </c>
      <c r="G428" s="9">
        <v>10800</v>
      </c>
      <c r="H428" s="9">
        <f t="shared" si="17"/>
        <v>5</v>
      </c>
      <c r="I428" s="11">
        <f t="shared" ca="1" si="18"/>
        <v>46124</v>
      </c>
      <c r="J428" s="11">
        <f t="shared" ca="1" si="13"/>
        <v>46118</v>
      </c>
      <c r="K428" s="13"/>
    </row>
    <row r="429" spans="1:11" ht="18" x14ac:dyDescent="0.4">
      <c r="A429" s="7" t="s">
        <v>719</v>
      </c>
      <c r="B429" s="7" t="s">
        <v>396</v>
      </c>
      <c r="C429" s="8">
        <v>10675</v>
      </c>
      <c r="D429" s="9">
        <v>552755990</v>
      </c>
      <c r="E429" s="57">
        <v>2160</v>
      </c>
      <c r="F429" s="10" t="s">
        <v>398</v>
      </c>
      <c r="G429" s="9">
        <v>7200</v>
      </c>
      <c r="H429" s="9">
        <f t="shared" si="17"/>
        <v>3.3333333333333335</v>
      </c>
      <c r="I429" s="11">
        <f t="shared" ca="1" si="18"/>
        <v>46124</v>
      </c>
      <c r="J429" s="11">
        <f t="shared" ca="1" si="13"/>
        <v>46118</v>
      </c>
      <c r="K429" s="13"/>
    </row>
    <row r="430" spans="1:11" ht="18" x14ac:dyDescent="0.4">
      <c r="A430" s="7" t="s">
        <v>719</v>
      </c>
      <c r="B430" s="7" t="s">
        <v>399</v>
      </c>
      <c r="C430" s="8">
        <v>32572</v>
      </c>
      <c r="D430" s="9">
        <v>552679980</v>
      </c>
      <c r="E430" s="57">
        <v>720</v>
      </c>
      <c r="F430" s="10" t="s">
        <v>400</v>
      </c>
      <c r="G430" s="9">
        <v>3600</v>
      </c>
      <c r="H430" s="9">
        <f t="shared" si="17"/>
        <v>5</v>
      </c>
      <c r="I430" s="11">
        <f t="shared" ca="1" si="18"/>
        <v>46124</v>
      </c>
      <c r="J430" s="11">
        <f t="shared" ca="1" si="13"/>
        <v>46118</v>
      </c>
      <c r="K430" s="13"/>
    </row>
    <row r="431" spans="1:11" ht="18" x14ac:dyDescent="0.4">
      <c r="A431" s="7" t="s">
        <v>719</v>
      </c>
      <c r="B431" s="7" t="s">
        <v>401</v>
      </c>
      <c r="C431" s="8">
        <v>31610</v>
      </c>
      <c r="D431" s="9">
        <v>552681700</v>
      </c>
      <c r="E431" s="57">
        <v>420</v>
      </c>
      <c r="F431" s="10" t="s">
        <v>402</v>
      </c>
      <c r="G431" s="9">
        <v>0</v>
      </c>
      <c r="H431" s="9">
        <f t="shared" si="17"/>
        <v>0</v>
      </c>
      <c r="I431" s="11">
        <f ca="1">I421</f>
        <v>46124</v>
      </c>
      <c r="J431" s="11">
        <f t="shared" ca="1" si="13"/>
        <v>46118</v>
      </c>
      <c r="K431" s="13"/>
    </row>
    <row r="432" spans="1:11" ht="18" x14ac:dyDescent="0.4">
      <c r="A432" s="7" t="s">
        <v>719</v>
      </c>
      <c r="B432" s="7" t="s">
        <v>401</v>
      </c>
      <c r="C432" s="8">
        <v>31610</v>
      </c>
      <c r="D432" s="9">
        <v>552678490</v>
      </c>
      <c r="E432" s="57">
        <v>520</v>
      </c>
      <c r="F432" s="10" t="s">
        <v>402</v>
      </c>
      <c r="G432" s="9">
        <v>1040</v>
      </c>
      <c r="H432" s="9">
        <f t="shared" si="17"/>
        <v>2</v>
      </c>
      <c r="I432" s="11">
        <f t="shared" ca="1" si="18"/>
        <v>46124</v>
      </c>
      <c r="J432" s="11">
        <f t="shared" ca="1" si="13"/>
        <v>46118</v>
      </c>
      <c r="K432" s="13"/>
    </row>
    <row r="433" spans="1:11" ht="18" x14ac:dyDescent="0.4">
      <c r="A433" s="7" t="s">
        <v>719</v>
      </c>
      <c r="B433" s="7" t="s">
        <v>403</v>
      </c>
      <c r="C433" s="8">
        <v>34836</v>
      </c>
      <c r="D433" s="9">
        <v>552793140</v>
      </c>
      <c r="E433" s="57">
        <v>720</v>
      </c>
      <c r="F433" s="10" t="s">
        <v>404</v>
      </c>
      <c r="G433" s="9">
        <v>5760</v>
      </c>
      <c r="H433" s="9">
        <f t="shared" si="17"/>
        <v>8</v>
      </c>
      <c r="I433" s="11">
        <f t="shared" ca="1" si="18"/>
        <v>46124</v>
      </c>
      <c r="J433" s="11">
        <f t="shared" ca="1" si="13"/>
        <v>46118</v>
      </c>
      <c r="K433" s="13"/>
    </row>
    <row r="434" spans="1:11" ht="18" x14ac:dyDescent="0.4">
      <c r="A434" s="7" t="s">
        <v>719</v>
      </c>
      <c r="B434" s="7" t="s">
        <v>403</v>
      </c>
      <c r="C434" s="8">
        <v>34836</v>
      </c>
      <c r="D434" s="9">
        <v>552793150</v>
      </c>
      <c r="E434" s="57">
        <v>720</v>
      </c>
      <c r="F434" s="10" t="s">
        <v>405</v>
      </c>
      <c r="G434" s="9">
        <v>43920</v>
      </c>
      <c r="H434" s="9">
        <f t="shared" si="17"/>
        <v>61</v>
      </c>
      <c r="I434" s="11">
        <f t="shared" ca="1" si="18"/>
        <v>46124</v>
      </c>
      <c r="J434" s="11">
        <f t="shared" ca="1" si="13"/>
        <v>46118</v>
      </c>
      <c r="K434" s="13"/>
    </row>
    <row r="435" spans="1:11" ht="18" x14ac:dyDescent="0.4">
      <c r="A435" s="7" t="s">
        <v>719</v>
      </c>
      <c r="B435" s="7" t="s">
        <v>403</v>
      </c>
      <c r="C435" s="8">
        <v>34836</v>
      </c>
      <c r="D435" s="9">
        <v>552793160</v>
      </c>
      <c r="E435" s="57">
        <v>720</v>
      </c>
      <c r="F435" s="10" t="s">
        <v>406</v>
      </c>
      <c r="G435" s="9">
        <v>6480</v>
      </c>
      <c r="H435" s="9">
        <f t="shared" ref="H435:H498" si="19">G435/E435</f>
        <v>9</v>
      </c>
      <c r="I435" s="11">
        <f t="shared" ca="1" si="18"/>
        <v>46124</v>
      </c>
      <c r="J435" s="11">
        <f t="shared" ca="1" si="13"/>
        <v>46118</v>
      </c>
      <c r="K435" s="13"/>
    </row>
    <row r="436" spans="1:11" ht="18" x14ac:dyDescent="0.4">
      <c r="A436" s="7" t="s">
        <v>719</v>
      </c>
      <c r="B436" s="7" t="s">
        <v>403</v>
      </c>
      <c r="C436" s="8">
        <v>34836</v>
      </c>
      <c r="D436" s="9">
        <v>552677750</v>
      </c>
      <c r="E436" s="57">
        <v>480</v>
      </c>
      <c r="F436" s="10" t="s">
        <v>144</v>
      </c>
      <c r="G436" s="9">
        <v>0</v>
      </c>
      <c r="H436" s="9">
        <f t="shared" si="19"/>
        <v>0</v>
      </c>
      <c r="I436" s="11">
        <f t="shared" ca="1" si="18"/>
        <v>46124</v>
      </c>
      <c r="J436" s="11">
        <f t="shared" ca="1" si="13"/>
        <v>46118</v>
      </c>
      <c r="K436" s="13"/>
    </row>
    <row r="437" spans="1:11" ht="18" x14ac:dyDescent="0.4">
      <c r="A437" s="7" t="s">
        <v>719</v>
      </c>
      <c r="B437" s="7" t="s">
        <v>403</v>
      </c>
      <c r="C437" s="8">
        <v>34836</v>
      </c>
      <c r="D437" s="9">
        <v>552677760</v>
      </c>
      <c r="E437" s="57">
        <v>480</v>
      </c>
      <c r="F437" s="10" t="s">
        <v>145</v>
      </c>
      <c r="G437" s="9">
        <v>31200</v>
      </c>
      <c r="H437" s="9">
        <f t="shared" si="19"/>
        <v>65</v>
      </c>
      <c r="I437" s="11">
        <f t="shared" ca="1" si="18"/>
        <v>46124</v>
      </c>
      <c r="J437" s="11">
        <f t="shared" ca="1" si="13"/>
        <v>46118</v>
      </c>
      <c r="K437" s="13"/>
    </row>
    <row r="438" spans="1:11" ht="18" x14ac:dyDescent="0.4">
      <c r="A438" s="7" t="s">
        <v>719</v>
      </c>
      <c r="B438" s="7" t="s">
        <v>403</v>
      </c>
      <c r="C438" s="8">
        <v>34836</v>
      </c>
      <c r="D438" s="9">
        <v>552677770</v>
      </c>
      <c r="E438" s="57">
        <v>480</v>
      </c>
      <c r="F438" s="10" t="s">
        <v>146</v>
      </c>
      <c r="G438" s="9">
        <v>5760</v>
      </c>
      <c r="H438" s="9">
        <f t="shared" si="19"/>
        <v>12</v>
      </c>
      <c r="I438" s="11">
        <f t="shared" ca="1" si="18"/>
        <v>46124</v>
      </c>
      <c r="J438" s="11">
        <f t="shared" ca="1" si="13"/>
        <v>46118</v>
      </c>
      <c r="K438" s="13"/>
    </row>
    <row r="439" spans="1:11" ht="18" x14ac:dyDescent="0.4">
      <c r="A439" s="7" t="s">
        <v>719</v>
      </c>
      <c r="B439" s="7" t="s">
        <v>403</v>
      </c>
      <c r="C439" s="8">
        <v>34836</v>
      </c>
      <c r="D439" s="9">
        <v>552677810</v>
      </c>
      <c r="E439" s="57">
        <v>480</v>
      </c>
      <c r="F439" s="10" t="s">
        <v>147</v>
      </c>
      <c r="G439" s="9">
        <v>10080</v>
      </c>
      <c r="H439" s="9">
        <f t="shared" si="19"/>
        <v>21</v>
      </c>
      <c r="I439" s="11">
        <f t="shared" ca="1" si="18"/>
        <v>46124</v>
      </c>
      <c r="J439" s="11">
        <f t="shared" ca="1" si="13"/>
        <v>46118</v>
      </c>
      <c r="K439" s="13"/>
    </row>
    <row r="440" spans="1:11" ht="18" x14ac:dyDescent="0.4">
      <c r="A440" s="7" t="s">
        <v>719</v>
      </c>
      <c r="B440" s="7" t="s">
        <v>403</v>
      </c>
      <c r="C440" s="8">
        <v>34836</v>
      </c>
      <c r="D440" s="9">
        <v>552677820</v>
      </c>
      <c r="E440" s="57">
        <v>480</v>
      </c>
      <c r="F440" s="10" t="s">
        <v>148</v>
      </c>
      <c r="G440" s="9">
        <v>33600</v>
      </c>
      <c r="H440" s="9">
        <f t="shared" si="19"/>
        <v>70</v>
      </c>
      <c r="I440" s="11">
        <f t="shared" ca="1" si="18"/>
        <v>46124</v>
      </c>
      <c r="J440" s="11">
        <f t="shared" ca="1" si="13"/>
        <v>46118</v>
      </c>
      <c r="K440" s="13"/>
    </row>
    <row r="441" spans="1:11" ht="18" x14ac:dyDescent="0.4">
      <c r="A441" s="7" t="s">
        <v>719</v>
      </c>
      <c r="B441" s="7" t="s">
        <v>403</v>
      </c>
      <c r="C441" s="8">
        <v>34836</v>
      </c>
      <c r="D441" s="9">
        <v>552677830</v>
      </c>
      <c r="E441" s="57">
        <v>480</v>
      </c>
      <c r="F441" s="10" t="s">
        <v>149</v>
      </c>
      <c r="G441" s="9">
        <v>0</v>
      </c>
      <c r="H441" s="9">
        <f t="shared" si="19"/>
        <v>0</v>
      </c>
      <c r="I441" s="11">
        <f t="shared" ref="I441:I503" ca="1" si="20">I440</f>
        <v>46124</v>
      </c>
      <c r="J441" s="11">
        <f t="shared" ca="1" si="13"/>
        <v>46118</v>
      </c>
      <c r="K441" s="13"/>
    </row>
    <row r="442" spans="1:11" ht="18" x14ac:dyDescent="0.4">
      <c r="A442" s="7" t="s">
        <v>719</v>
      </c>
      <c r="B442" s="7" t="s">
        <v>403</v>
      </c>
      <c r="C442" s="8">
        <v>34836</v>
      </c>
      <c r="D442" s="9">
        <v>552679480</v>
      </c>
      <c r="E442" s="57">
        <v>600</v>
      </c>
      <c r="F442" s="10" t="s">
        <v>407</v>
      </c>
      <c r="G442" s="9">
        <v>0</v>
      </c>
      <c r="H442" s="9">
        <f t="shared" si="19"/>
        <v>0</v>
      </c>
      <c r="I442" s="11">
        <f t="shared" ca="1" si="20"/>
        <v>46124</v>
      </c>
      <c r="J442" s="11">
        <f t="shared" ca="1" si="13"/>
        <v>46118</v>
      </c>
      <c r="K442" s="13"/>
    </row>
    <row r="443" spans="1:11" ht="18" x14ac:dyDescent="0.4">
      <c r="A443" s="7" t="s">
        <v>719</v>
      </c>
      <c r="B443" s="7" t="s">
        <v>403</v>
      </c>
      <c r="C443" s="8">
        <v>34836</v>
      </c>
      <c r="D443" s="9">
        <v>552679440</v>
      </c>
      <c r="E443" s="57">
        <v>550</v>
      </c>
      <c r="F443" s="10" t="s">
        <v>408</v>
      </c>
      <c r="G443" s="9">
        <v>0</v>
      </c>
      <c r="H443" s="9">
        <f t="shared" si="19"/>
        <v>0</v>
      </c>
      <c r="I443" s="11">
        <f t="shared" ca="1" si="20"/>
        <v>46124</v>
      </c>
      <c r="J443" s="11">
        <f t="shared" ca="1" si="13"/>
        <v>46118</v>
      </c>
      <c r="K443" s="13"/>
    </row>
    <row r="444" spans="1:11" ht="18" x14ac:dyDescent="0.4">
      <c r="A444" s="7" t="s">
        <v>719</v>
      </c>
      <c r="B444" s="7" t="s">
        <v>403</v>
      </c>
      <c r="C444" s="8">
        <v>34836</v>
      </c>
      <c r="D444" s="9">
        <v>552786650</v>
      </c>
      <c r="E444" s="57">
        <v>180</v>
      </c>
      <c r="F444" s="10" t="s">
        <v>409</v>
      </c>
      <c r="G444" s="9">
        <v>720</v>
      </c>
      <c r="H444" s="9">
        <f t="shared" si="19"/>
        <v>4</v>
      </c>
      <c r="I444" s="11">
        <f t="shared" ca="1" si="20"/>
        <v>46124</v>
      </c>
      <c r="J444" s="11">
        <f t="shared" ca="1" si="13"/>
        <v>46118</v>
      </c>
      <c r="K444" s="13"/>
    </row>
    <row r="445" spans="1:11" ht="18" x14ac:dyDescent="0.4">
      <c r="A445" s="7" t="s">
        <v>719</v>
      </c>
      <c r="B445" s="7" t="s">
        <v>410</v>
      </c>
      <c r="C445" s="8">
        <v>28824</v>
      </c>
      <c r="D445" s="9">
        <v>552681400</v>
      </c>
      <c r="E445" s="57">
        <v>336</v>
      </c>
      <c r="F445" s="10" t="s">
        <v>411</v>
      </c>
      <c r="G445" s="9">
        <v>1344</v>
      </c>
      <c r="H445" s="9">
        <f t="shared" si="19"/>
        <v>4</v>
      </c>
      <c r="I445" s="11">
        <f t="shared" ca="1" si="20"/>
        <v>46124</v>
      </c>
      <c r="J445" s="11">
        <f t="shared" ca="1" si="13"/>
        <v>46118</v>
      </c>
      <c r="K445" s="13"/>
    </row>
    <row r="446" spans="1:11" ht="18" x14ac:dyDescent="0.4">
      <c r="A446" s="7" t="s">
        <v>719</v>
      </c>
      <c r="B446" s="7" t="s">
        <v>410</v>
      </c>
      <c r="C446" s="8">
        <v>28824</v>
      </c>
      <c r="D446" s="9">
        <v>552679510</v>
      </c>
      <c r="E446" s="57">
        <v>336</v>
      </c>
      <c r="F446" s="10" t="s">
        <v>411</v>
      </c>
      <c r="G446" s="9">
        <v>336</v>
      </c>
      <c r="H446" s="9">
        <f t="shared" si="19"/>
        <v>1</v>
      </c>
      <c r="I446" s="11">
        <f t="shared" ca="1" si="20"/>
        <v>46124</v>
      </c>
      <c r="J446" s="11">
        <f t="shared" ca="1" si="13"/>
        <v>46118</v>
      </c>
      <c r="K446" s="13"/>
    </row>
    <row r="447" spans="1:11" ht="18" x14ac:dyDescent="0.4">
      <c r="A447" s="7" t="s">
        <v>719</v>
      </c>
      <c r="B447" s="7" t="s">
        <v>412</v>
      </c>
      <c r="C447" s="8">
        <v>11431</v>
      </c>
      <c r="D447" s="9">
        <v>463365360</v>
      </c>
      <c r="E447" s="57">
        <v>1000</v>
      </c>
      <c r="F447" s="10" t="s">
        <v>413</v>
      </c>
      <c r="G447" s="9">
        <v>2000</v>
      </c>
      <c r="H447" s="9">
        <f t="shared" si="19"/>
        <v>2</v>
      </c>
      <c r="I447" s="11">
        <f t="shared" ca="1" si="20"/>
        <v>46124</v>
      </c>
      <c r="J447" s="11">
        <f t="shared" ca="1" si="13"/>
        <v>46118</v>
      </c>
      <c r="K447" s="13"/>
    </row>
    <row r="448" spans="1:11" ht="18" x14ac:dyDescent="0.4">
      <c r="A448" s="7" t="s">
        <v>719</v>
      </c>
      <c r="B448" s="7" t="s">
        <v>412</v>
      </c>
      <c r="C448" s="8">
        <v>11431</v>
      </c>
      <c r="D448" s="9">
        <v>463411530</v>
      </c>
      <c r="E448" s="57">
        <v>500</v>
      </c>
      <c r="F448" s="10" t="s">
        <v>413</v>
      </c>
      <c r="G448" s="9">
        <v>0</v>
      </c>
      <c r="H448" s="9">
        <f t="shared" si="19"/>
        <v>0</v>
      </c>
      <c r="I448" s="11">
        <f t="shared" ca="1" si="20"/>
        <v>46124</v>
      </c>
      <c r="J448" s="11">
        <f t="shared" ca="1" si="13"/>
        <v>46118</v>
      </c>
      <c r="K448" s="13"/>
    </row>
    <row r="449" spans="1:11" ht="18" x14ac:dyDescent="0.4">
      <c r="A449" s="7" t="s">
        <v>719</v>
      </c>
      <c r="B449" s="7" t="s">
        <v>414</v>
      </c>
      <c r="C449" s="8">
        <v>21570</v>
      </c>
      <c r="D449" s="9">
        <v>552754290</v>
      </c>
      <c r="E449" s="57">
        <v>800</v>
      </c>
      <c r="F449" s="10" t="s">
        <v>415</v>
      </c>
      <c r="G449" s="9">
        <v>12000</v>
      </c>
      <c r="H449" s="9">
        <f t="shared" si="19"/>
        <v>15</v>
      </c>
      <c r="I449" s="11">
        <f t="shared" ca="1" si="20"/>
        <v>46124</v>
      </c>
      <c r="J449" s="11">
        <f t="shared" ca="1" si="13"/>
        <v>46118</v>
      </c>
      <c r="K449" s="13"/>
    </row>
    <row r="450" spans="1:11" ht="18" x14ac:dyDescent="0.4">
      <c r="A450" s="7" t="s">
        <v>719</v>
      </c>
      <c r="B450" s="7" t="s">
        <v>414</v>
      </c>
      <c r="C450" s="8">
        <v>21570</v>
      </c>
      <c r="D450" s="9">
        <v>552682660</v>
      </c>
      <c r="E450" s="57">
        <v>1800</v>
      </c>
      <c r="F450" s="10" t="s">
        <v>416</v>
      </c>
      <c r="G450" s="9">
        <v>0</v>
      </c>
      <c r="H450" s="9">
        <f t="shared" si="19"/>
        <v>0</v>
      </c>
      <c r="I450" s="11">
        <f t="shared" ca="1" si="20"/>
        <v>46124</v>
      </c>
      <c r="J450" s="11">
        <f t="shared" ca="1" si="13"/>
        <v>46118</v>
      </c>
      <c r="K450" s="13"/>
    </row>
    <row r="451" spans="1:11" ht="18" x14ac:dyDescent="0.4">
      <c r="A451" s="7" t="s">
        <v>719</v>
      </c>
      <c r="B451" s="7" t="s">
        <v>417</v>
      </c>
      <c r="C451" s="8">
        <v>23480</v>
      </c>
      <c r="D451" s="9">
        <v>552677420</v>
      </c>
      <c r="E451" s="57">
        <v>2475</v>
      </c>
      <c r="F451" s="10" t="s">
        <v>418</v>
      </c>
      <c r="G451" s="9">
        <v>2475</v>
      </c>
      <c r="H451" s="9">
        <f t="shared" si="19"/>
        <v>1</v>
      </c>
      <c r="I451" s="11">
        <f t="shared" ca="1" si="20"/>
        <v>46124</v>
      </c>
      <c r="J451" s="11">
        <f t="shared" ca="1" si="13"/>
        <v>46118</v>
      </c>
      <c r="K451" s="13"/>
    </row>
    <row r="452" spans="1:11" ht="18" x14ac:dyDescent="0.4">
      <c r="A452" s="7" t="s">
        <v>719</v>
      </c>
      <c r="B452" s="7" t="s">
        <v>417</v>
      </c>
      <c r="C452" s="8">
        <v>23480</v>
      </c>
      <c r="D452" s="9">
        <v>144576800</v>
      </c>
      <c r="E452" s="57">
        <v>1000</v>
      </c>
      <c r="F452" s="10" t="s">
        <v>419</v>
      </c>
      <c r="G452" s="9">
        <v>0</v>
      </c>
      <c r="H452" s="9">
        <f t="shared" si="19"/>
        <v>0</v>
      </c>
      <c r="I452" s="11">
        <f t="shared" ca="1" si="20"/>
        <v>46124</v>
      </c>
      <c r="J452" s="11">
        <f t="shared" ca="1" si="13"/>
        <v>46118</v>
      </c>
      <c r="K452" s="13"/>
    </row>
    <row r="453" spans="1:11" ht="18" x14ac:dyDescent="0.4">
      <c r="A453" s="7" t="s">
        <v>719</v>
      </c>
      <c r="B453" s="7" t="s">
        <v>417</v>
      </c>
      <c r="C453" s="8">
        <v>23480</v>
      </c>
      <c r="D453" s="9">
        <v>144534810</v>
      </c>
      <c r="E453" s="57">
        <v>4000</v>
      </c>
      <c r="F453" s="10" t="s">
        <v>420</v>
      </c>
      <c r="G453" s="9">
        <v>0</v>
      </c>
      <c r="H453" s="9">
        <f t="shared" si="19"/>
        <v>0</v>
      </c>
      <c r="I453" s="11">
        <f t="shared" ca="1" si="20"/>
        <v>46124</v>
      </c>
      <c r="J453" s="11">
        <f t="shared" ca="1" si="13"/>
        <v>46118</v>
      </c>
      <c r="K453" s="13"/>
    </row>
    <row r="454" spans="1:11" ht="18" x14ac:dyDescent="0.4">
      <c r="A454" s="7" t="s">
        <v>719</v>
      </c>
      <c r="B454" s="7" t="s">
        <v>421</v>
      </c>
      <c r="C454" s="8">
        <v>23481</v>
      </c>
      <c r="D454" s="9">
        <v>463411500</v>
      </c>
      <c r="E454" s="57">
        <v>1200</v>
      </c>
      <c r="F454" s="10" t="s">
        <v>224</v>
      </c>
      <c r="G454" s="9">
        <v>0</v>
      </c>
      <c r="H454" s="9">
        <f t="shared" si="19"/>
        <v>0</v>
      </c>
      <c r="I454" s="11">
        <f t="shared" ca="1" si="20"/>
        <v>46124</v>
      </c>
      <c r="J454" s="11">
        <f t="shared" ca="1" si="13"/>
        <v>46118</v>
      </c>
      <c r="K454" s="13"/>
    </row>
    <row r="455" spans="1:11" ht="18" x14ac:dyDescent="0.4">
      <c r="A455" s="7" t="s">
        <v>719</v>
      </c>
      <c r="B455" s="7" t="s">
        <v>422</v>
      </c>
      <c r="C455" s="8">
        <v>21342</v>
      </c>
      <c r="D455" s="9">
        <v>463509950</v>
      </c>
      <c r="E455" s="57">
        <v>30</v>
      </c>
      <c r="F455" s="10" t="s">
        <v>423</v>
      </c>
      <c r="G455" s="9">
        <v>300</v>
      </c>
      <c r="H455" s="9">
        <f t="shared" si="19"/>
        <v>10</v>
      </c>
      <c r="I455" s="11">
        <f t="shared" ca="1" si="20"/>
        <v>46124</v>
      </c>
      <c r="J455" s="11">
        <f t="shared" ca="1" si="13"/>
        <v>46118</v>
      </c>
      <c r="K455" s="13"/>
    </row>
    <row r="456" spans="1:11" ht="18" x14ac:dyDescent="0.4">
      <c r="A456" s="7" t="s">
        <v>719</v>
      </c>
      <c r="B456" s="7" t="s">
        <v>422</v>
      </c>
      <c r="C456" s="8">
        <v>21342</v>
      </c>
      <c r="D456" s="9">
        <v>463509960</v>
      </c>
      <c r="E456" s="57">
        <v>300</v>
      </c>
      <c r="F456" s="10" t="s">
        <v>424</v>
      </c>
      <c r="G456" s="9">
        <v>0</v>
      </c>
      <c r="H456" s="9">
        <f t="shared" si="19"/>
        <v>0</v>
      </c>
      <c r="I456" s="11">
        <f t="shared" ca="1" si="20"/>
        <v>46124</v>
      </c>
      <c r="J456" s="11">
        <f t="shared" ca="1" si="13"/>
        <v>46118</v>
      </c>
      <c r="K456" s="13"/>
    </row>
    <row r="457" spans="1:11" ht="18" x14ac:dyDescent="0.4">
      <c r="A457" s="7" t="s">
        <v>719</v>
      </c>
      <c r="B457" s="7" t="s">
        <v>422</v>
      </c>
      <c r="C457" s="8">
        <v>21342</v>
      </c>
      <c r="D457" s="9">
        <v>463462820</v>
      </c>
      <c r="E457" s="57">
        <v>480</v>
      </c>
      <c r="F457" s="10" t="s">
        <v>425</v>
      </c>
      <c r="G457" s="9">
        <v>2880</v>
      </c>
      <c r="H457" s="9">
        <f t="shared" si="19"/>
        <v>6</v>
      </c>
      <c r="I457" s="11">
        <f t="shared" ca="1" si="20"/>
        <v>46124</v>
      </c>
      <c r="J457" s="11">
        <f t="shared" ca="1" si="13"/>
        <v>46118</v>
      </c>
      <c r="K457" s="13"/>
    </row>
    <row r="458" spans="1:11" ht="18" x14ac:dyDescent="0.4">
      <c r="A458" s="7" t="s">
        <v>719</v>
      </c>
      <c r="B458" s="7" t="s">
        <v>422</v>
      </c>
      <c r="C458" s="8">
        <v>21342</v>
      </c>
      <c r="D458" s="9">
        <v>463462910</v>
      </c>
      <c r="E458" s="57">
        <v>420</v>
      </c>
      <c r="F458" s="10" t="s">
        <v>426</v>
      </c>
      <c r="G458" s="9">
        <v>0</v>
      </c>
      <c r="H458" s="9">
        <f t="shared" si="19"/>
        <v>0</v>
      </c>
      <c r="I458" s="11">
        <f t="shared" ca="1" si="20"/>
        <v>46124</v>
      </c>
      <c r="J458" s="11">
        <f t="shared" ca="1" si="13"/>
        <v>46118</v>
      </c>
      <c r="K458" s="13"/>
    </row>
    <row r="459" spans="1:11" ht="18" x14ac:dyDescent="0.4">
      <c r="A459" s="7" t="s">
        <v>719</v>
      </c>
      <c r="B459" s="7" t="s">
        <v>427</v>
      </c>
      <c r="C459" s="8">
        <v>14837</v>
      </c>
      <c r="D459" s="9">
        <v>552796450</v>
      </c>
      <c r="E459" s="57">
        <v>30</v>
      </c>
      <c r="F459" s="10" t="s">
        <v>428</v>
      </c>
      <c r="G459" s="9">
        <v>1500</v>
      </c>
      <c r="H459" s="9">
        <f t="shared" si="19"/>
        <v>50</v>
      </c>
      <c r="I459" s="11">
        <f t="shared" ca="1" si="20"/>
        <v>46124</v>
      </c>
      <c r="J459" s="11">
        <f t="shared" ca="1" si="13"/>
        <v>46118</v>
      </c>
      <c r="K459" s="13"/>
    </row>
    <row r="460" spans="1:11" ht="18" x14ac:dyDescent="0.4">
      <c r="A460" s="7" t="s">
        <v>719</v>
      </c>
      <c r="B460" s="7" t="s">
        <v>427</v>
      </c>
      <c r="C460" s="8">
        <v>14837</v>
      </c>
      <c r="D460" s="9">
        <v>463508220</v>
      </c>
      <c r="E460" s="57">
        <v>30</v>
      </c>
      <c r="F460" s="10" t="s">
        <v>428</v>
      </c>
      <c r="G460" s="9">
        <v>0</v>
      </c>
      <c r="H460" s="9">
        <f t="shared" si="19"/>
        <v>0</v>
      </c>
      <c r="I460" s="11">
        <f t="shared" ca="1" si="20"/>
        <v>46124</v>
      </c>
      <c r="J460" s="11">
        <f t="shared" ca="1" si="13"/>
        <v>46118</v>
      </c>
      <c r="K460" s="13"/>
    </row>
    <row r="461" spans="1:11" ht="18" x14ac:dyDescent="0.4">
      <c r="A461" s="7" t="s">
        <v>719</v>
      </c>
      <c r="B461" s="7" t="s">
        <v>429</v>
      </c>
      <c r="C461" s="8">
        <v>1097</v>
      </c>
      <c r="D461" s="9">
        <v>463550730</v>
      </c>
      <c r="E461" s="57">
        <v>24</v>
      </c>
      <c r="F461" s="10" t="s">
        <v>430</v>
      </c>
      <c r="G461" s="9">
        <v>816</v>
      </c>
      <c r="H461" s="9">
        <f t="shared" si="19"/>
        <v>34</v>
      </c>
      <c r="I461" s="11">
        <f t="shared" ca="1" si="20"/>
        <v>46124</v>
      </c>
      <c r="J461" s="11">
        <f t="shared" ca="1" si="13"/>
        <v>46118</v>
      </c>
      <c r="K461" s="13"/>
    </row>
    <row r="462" spans="1:11" ht="18" x14ac:dyDescent="0.4">
      <c r="A462" s="7" t="s">
        <v>719</v>
      </c>
      <c r="B462" s="7" t="s">
        <v>429</v>
      </c>
      <c r="C462" s="8">
        <v>1097</v>
      </c>
      <c r="D462" s="9">
        <v>463443560</v>
      </c>
      <c r="E462" s="57">
        <v>24</v>
      </c>
      <c r="F462" s="10" t="s">
        <v>431</v>
      </c>
      <c r="G462" s="9">
        <v>240</v>
      </c>
      <c r="H462" s="9">
        <f t="shared" si="19"/>
        <v>10</v>
      </c>
      <c r="I462" s="11">
        <f t="shared" ca="1" si="20"/>
        <v>46124</v>
      </c>
      <c r="J462" s="11">
        <f t="shared" ca="1" si="13"/>
        <v>46118</v>
      </c>
      <c r="K462" s="13"/>
    </row>
    <row r="463" spans="1:11" ht="18" x14ac:dyDescent="0.4">
      <c r="A463" s="7" t="s">
        <v>719</v>
      </c>
      <c r="B463" s="7" t="s">
        <v>429</v>
      </c>
      <c r="C463" s="8">
        <v>1097</v>
      </c>
      <c r="D463" s="9">
        <v>463555740</v>
      </c>
      <c r="E463" s="57">
        <v>24</v>
      </c>
      <c r="F463" s="10" t="s">
        <v>432</v>
      </c>
      <c r="G463" s="9">
        <v>864</v>
      </c>
      <c r="H463" s="9">
        <f t="shared" si="19"/>
        <v>36</v>
      </c>
      <c r="I463" s="11">
        <f t="shared" ca="1" si="20"/>
        <v>46124</v>
      </c>
      <c r="J463" s="11">
        <f t="shared" ca="1" si="13"/>
        <v>46118</v>
      </c>
      <c r="K463" s="13"/>
    </row>
    <row r="464" spans="1:11" ht="18" x14ac:dyDescent="0.4">
      <c r="A464" s="7" t="s">
        <v>719</v>
      </c>
      <c r="B464" s="7" t="s">
        <v>429</v>
      </c>
      <c r="C464" s="8">
        <v>1097</v>
      </c>
      <c r="D464" s="9">
        <v>463526980</v>
      </c>
      <c r="E464" s="57">
        <v>24</v>
      </c>
      <c r="F464" s="10" t="s">
        <v>433</v>
      </c>
      <c r="G464" s="9">
        <v>0</v>
      </c>
      <c r="H464" s="9">
        <f t="shared" si="19"/>
        <v>0</v>
      </c>
      <c r="I464" s="11">
        <f t="shared" ca="1" si="20"/>
        <v>46124</v>
      </c>
      <c r="J464" s="11">
        <f t="shared" ca="1" si="13"/>
        <v>46118</v>
      </c>
      <c r="K464" s="13"/>
    </row>
    <row r="465" spans="1:11" ht="18" x14ac:dyDescent="0.4">
      <c r="A465" s="7" t="s">
        <v>719</v>
      </c>
      <c r="B465" s="7" t="s">
        <v>434</v>
      </c>
      <c r="C465" s="8">
        <v>51620</v>
      </c>
      <c r="D465" s="9">
        <v>552685780</v>
      </c>
      <c r="E465" s="57">
        <v>840</v>
      </c>
      <c r="F465" s="10" t="s">
        <v>435</v>
      </c>
      <c r="G465" s="9">
        <v>0</v>
      </c>
      <c r="H465" s="9">
        <f t="shared" si="19"/>
        <v>0</v>
      </c>
      <c r="I465" s="11">
        <f t="shared" ca="1" si="20"/>
        <v>46124</v>
      </c>
      <c r="J465" s="11">
        <f t="shared" ca="1" si="13"/>
        <v>46118</v>
      </c>
      <c r="K465" s="13"/>
    </row>
    <row r="466" spans="1:11" ht="18" x14ac:dyDescent="0.4">
      <c r="A466" s="7" t="s">
        <v>719</v>
      </c>
      <c r="B466" s="7" t="s">
        <v>434</v>
      </c>
      <c r="C466" s="8">
        <v>51620</v>
      </c>
      <c r="D466" s="9">
        <v>552685800</v>
      </c>
      <c r="E466" s="57">
        <v>1440</v>
      </c>
      <c r="F466" s="10" t="s">
        <v>436</v>
      </c>
      <c r="G466" s="9">
        <v>4320</v>
      </c>
      <c r="H466" s="9">
        <f t="shared" si="19"/>
        <v>3</v>
      </c>
      <c r="I466" s="11">
        <f t="shared" ca="1" si="20"/>
        <v>46124</v>
      </c>
      <c r="J466" s="11">
        <f t="shared" ca="1" si="13"/>
        <v>46118</v>
      </c>
      <c r="K466" s="13"/>
    </row>
    <row r="467" spans="1:11" ht="18" x14ac:dyDescent="0.4">
      <c r="A467" s="7" t="s">
        <v>719</v>
      </c>
      <c r="B467" s="7" t="s">
        <v>434</v>
      </c>
      <c r="C467" s="8">
        <v>51620</v>
      </c>
      <c r="D467" s="9">
        <v>552685820</v>
      </c>
      <c r="E467" s="57">
        <v>840</v>
      </c>
      <c r="F467" s="10" t="s">
        <v>437</v>
      </c>
      <c r="G467" s="9">
        <v>0</v>
      </c>
      <c r="H467" s="9">
        <f t="shared" si="19"/>
        <v>0</v>
      </c>
      <c r="I467" s="11">
        <f t="shared" ca="1" si="20"/>
        <v>46124</v>
      </c>
      <c r="J467" s="11">
        <f t="shared" ca="1" si="13"/>
        <v>46118</v>
      </c>
      <c r="K467" s="13"/>
    </row>
    <row r="468" spans="1:11" ht="18" x14ac:dyDescent="0.4">
      <c r="A468" s="7" t="s">
        <v>719</v>
      </c>
      <c r="B468" s="7" t="s">
        <v>434</v>
      </c>
      <c r="C468" s="8">
        <v>51620</v>
      </c>
      <c r="D468" s="9">
        <v>552820620</v>
      </c>
      <c r="E468" s="57">
        <v>840</v>
      </c>
      <c r="F468" s="10" t="s">
        <v>435</v>
      </c>
      <c r="G468" s="9">
        <v>0</v>
      </c>
      <c r="H468" s="9">
        <f t="shared" si="19"/>
        <v>0</v>
      </c>
      <c r="I468" s="11">
        <f t="shared" ca="1" si="20"/>
        <v>46124</v>
      </c>
      <c r="J468" s="11">
        <f t="shared" ca="1" si="13"/>
        <v>46118</v>
      </c>
      <c r="K468" s="13"/>
    </row>
    <row r="469" spans="1:11" ht="18" x14ac:dyDescent="0.4">
      <c r="A469" s="7" t="s">
        <v>719</v>
      </c>
      <c r="B469" s="7" t="s">
        <v>434</v>
      </c>
      <c r="C469" s="8">
        <v>51620</v>
      </c>
      <c r="D469" s="9">
        <v>552820640</v>
      </c>
      <c r="E469" s="57">
        <v>1440</v>
      </c>
      <c r="F469" s="10" t="s">
        <v>436</v>
      </c>
      <c r="G469" s="9">
        <v>1440</v>
      </c>
      <c r="H469" s="9">
        <f t="shared" si="19"/>
        <v>1</v>
      </c>
      <c r="I469" s="11">
        <f t="shared" ca="1" si="20"/>
        <v>46124</v>
      </c>
      <c r="J469" s="11">
        <f t="shared" ca="1" si="13"/>
        <v>46118</v>
      </c>
      <c r="K469" s="13"/>
    </row>
    <row r="470" spans="1:11" ht="18" x14ac:dyDescent="0.4">
      <c r="A470" s="7" t="s">
        <v>719</v>
      </c>
      <c r="B470" s="7" t="s">
        <v>434</v>
      </c>
      <c r="C470" s="8">
        <v>51620</v>
      </c>
      <c r="D470" s="9">
        <v>552820660</v>
      </c>
      <c r="E470" s="57">
        <v>840</v>
      </c>
      <c r="F470" s="37" t="s">
        <v>437</v>
      </c>
      <c r="G470" s="9">
        <v>0</v>
      </c>
      <c r="H470" s="9">
        <f t="shared" si="19"/>
        <v>0</v>
      </c>
      <c r="I470" s="11">
        <f ca="1">I468</f>
        <v>46124</v>
      </c>
      <c r="J470" s="11">
        <f t="shared" ca="1" si="13"/>
        <v>46118</v>
      </c>
      <c r="K470" s="13"/>
    </row>
    <row r="471" spans="1:11" ht="18" x14ac:dyDescent="0.4">
      <c r="A471" s="7" t="s">
        <v>719</v>
      </c>
      <c r="B471" s="7" t="s">
        <v>434</v>
      </c>
      <c r="C471" s="8">
        <v>51620</v>
      </c>
      <c r="D471" s="9">
        <v>552685720</v>
      </c>
      <c r="E471" s="57">
        <v>4000</v>
      </c>
      <c r="F471" s="10" t="s">
        <v>438</v>
      </c>
      <c r="G471" s="9">
        <v>0</v>
      </c>
      <c r="H471" s="9">
        <f t="shared" si="19"/>
        <v>0</v>
      </c>
      <c r="I471" s="11">
        <f t="shared" ca="1" si="20"/>
        <v>46124</v>
      </c>
      <c r="J471" s="11">
        <f t="shared" ca="1" si="13"/>
        <v>46118</v>
      </c>
      <c r="K471" s="13"/>
    </row>
    <row r="472" spans="1:11" ht="18" x14ac:dyDescent="0.4">
      <c r="A472" s="7" t="s">
        <v>719</v>
      </c>
      <c r="B472" s="7" t="s">
        <v>439</v>
      </c>
      <c r="C472" s="8">
        <v>40840</v>
      </c>
      <c r="D472" s="9">
        <v>552731550</v>
      </c>
      <c r="E472" s="57">
        <v>1000</v>
      </c>
      <c r="F472" s="10" t="s">
        <v>440</v>
      </c>
      <c r="G472" s="9">
        <v>0</v>
      </c>
      <c r="H472" s="9">
        <f t="shared" si="19"/>
        <v>0</v>
      </c>
      <c r="I472" s="11">
        <f t="shared" ca="1" si="20"/>
        <v>46124</v>
      </c>
      <c r="J472" s="11">
        <f t="shared" ca="1" si="13"/>
        <v>46118</v>
      </c>
      <c r="K472" s="13"/>
    </row>
    <row r="473" spans="1:11" ht="18" x14ac:dyDescent="0.4">
      <c r="A473" s="7" t="s">
        <v>719</v>
      </c>
      <c r="B473" s="7" t="s">
        <v>439</v>
      </c>
      <c r="C473" s="8">
        <v>40840</v>
      </c>
      <c r="D473" s="9">
        <v>552716380</v>
      </c>
      <c r="E473" s="57">
        <v>500</v>
      </c>
      <c r="F473" s="10" t="s">
        <v>441</v>
      </c>
      <c r="G473" s="9">
        <v>0</v>
      </c>
      <c r="H473" s="9">
        <f t="shared" si="19"/>
        <v>0</v>
      </c>
      <c r="I473" s="11">
        <f t="shared" ca="1" si="20"/>
        <v>46124</v>
      </c>
      <c r="J473" s="11">
        <f t="shared" ca="1" si="13"/>
        <v>46118</v>
      </c>
      <c r="K473" s="13"/>
    </row>
    <row r="474" spans="1:11" ht="18" x14ac:dyDescent="0.4">
      <c r="A474" s="7" t="s">
        <v>719</v>
      </c>
      <c r="B474" s="7" t="s">
        <v>439</v>
      </c>
      <c r="C474" s="8">
        <v>40840</v>
      </c>
      <c r="D474" s="9">
        <v>552679610</v>
      </c>
      <c r="E474" s="57">
        <v>100</v>
      </c>
      <c r="F474" s="10" t="s">
        <v>442</v>
      </c>
      <c r="G474" s="9">
        <v>0</v>
      </c>
      <c r="H474" s="9">
        <f t="shared" si="19"/>
        <v>0</v>
      </c>
      <c r="I474" s="11">
        <f t="shared" ca="1" si="20"/>
        <v>46124</v>
      </c>
      <c r="J474" s="11">
        <f t="shared" ca="1" si="13"/>
        <v>46118</v>
      </c>
      <c r="K474" s="13"/>
    </row>
    <row r="475" spans="1:11" ht="18" x14ac:dyDescent="0.4">
      <c r="A475" s="7" t="s">
        <v>719</v>
      </c>
      <c r="B475" s="7" t="s">
        <v>439</v>
      </c>
      <c r="C475" s="8">
        <v>40840</v>
      </c>
      <c r="D475" s="9">
        <v>187503240</v>
      </c>
      <c r="E475" s="57">
        <v>1000</v>
      </c>
      <c r="F475" s="10" t="s">
        <v>443</v>
      </c>
      <c r="G475" s="9">
        <v>0</v>
      </c>
      <c r="H475" s="9">
        <f t="shared" si="19"/>
        <v>0</v>
      </c>
      <c r="I475" s="11">
        <f t="shared" ca="1" si="20"/>
        <v>46124</v>
      </c>
      <c r="J475" s="11">
        <f t="shared" ca="1" si="13"/>
        <v>46118</v>
      </c>
      <c r="K475" s="13"/>
    </row>
    <row r="476" spans="1:11" ht="18" x14ac:dyDescent="0.4">
      <c r="A476" s="7" t="s">
        <v>719</v>
      </c>
      <c r="B476" s="7" t="s">
        <v>439</v>
      </c>
      <c r="C476" s="8">
        <v>40840</v>
      </c>
      <c r="D476" s="9">
        <v>162859210</v>
      </c>
      <c r="E476" s="57">
        <v>1000</v>
      </c>
      <c r="F476" s="10" t="s">
        <v>444</v>
      </c>
      <c r="G476" s="9">
        <v>0</v>
      </c>
      <c r="H476" s="9">
        <f t="shared" si="19"/>
        <v>0</v>
      </c>
      <c r="I476" s="11">
        <f t="shared" ca="1" si="20"/>
        <v>46124</v>
      </c>
      <c r="J476" s="11">
        <f t="shared" ca="1" si="13"/>
        <v>46118</v>
      </c>
      <c r="K476" s="13"/>
    </row>
    <row r="477" spans="1:11" ht="18" x14ac:dyDescent="0.4">
      <c r="A477" s="7" t="s">
        <v>719</v>
      </c>
      <c r="B477" s="7" t="s">
        <v>439</v>
      </c>
      <c r="C477" s="8">
        <v>40840</v>
      </c>
      <c r="D477" s="9">
        <v>114843240</v>
      </c>
      <c r="E477" s="57">
        <v>1000</v>
      </c>
      <c r="F477" s="10" t="s">
        <v>445</v>
      </c>
      <c r="G477" s="9">
        <v>0</v>
      </c>
      <c r="H477" s="9">
        <f t="shared" si="19"/>
        <v>0</v>
      </c>
      <c r="I477" s="11">
        <f t="shared" ca="1" si="20"/>
        <v>46124</v>
      </c>
      <c r="J477" s="11">
        <f t="shared" ca="1" si="13"/>
        <v>46118</v>
      </c>
      <c r="K477" s="13"/>
    </row>
    <row r="478" spans="1:11" ht="18" x14ac:dyDescent="0.4">
      <c r="A478" s="7" t="s">
        <v>719</v>
      </c>
      <c r="B478" s="7" t="s">
        <v>446</v>
      </c>
      <c r="C478" s="8">
        <v>50111</v>
      </c>
      <c r="D478" s="9">
        <v>552679380</v>
      </c>
      <c r="E478" s="57">
        <v>5600</v>
      </c>
      <c r="F478" s="10" t="s">
        <v>447</v>
      </c>
      <c r="G478" s="9">
        <v>11200</v>
      </c>
      <c r="H478" s="9">
        <f t="shared" si="19"/>
        <v>2</v>
      </c>
      <c r="I478" s="11">
        <f t="shared" ca="1" si="20"/>
        <v>46124</v>
      </c>
      <c r="J478" s="11">
        <f t="shared" ca="1" si="13"/>
        <v>46118</v>
      </c>
      <c r="K478" s="13"/>
    </row>
    <row r="479" spans="1:11" ht="18" x14ac:dyDescent="0.4">
      <c r="A479" s="7" t="s">
        <v>719</v>
      </c>
      <c r="B479" s="7" t="s">
        <v>448</v>
      </c>
      <c r="C479" s="8">
        <v>33518</v>
      </c>
      <c r="D479" s="9">
        <v>552681850</v>
      </c>
      <c r="E479" s="57">
        <v>64</v>
      </c>
      <c r="F479" s="10" t="s">
        <v>449</v>
      </c>
      <c r="G479" s="9">
        <v>640</v>
      </c>
      <c r="H479" s="9">
        <f t="shared" si="19"/>
        <v>10</v>
      </c>
      <c r="I479" s="11">
        <f t="shared" ca="1" si="20"/>
        <v>46124</v>
      </c>
      <c r="J479" s="11">
        <f t="shared" ca="1" si="13"/>
        <v>46118</v>
      </c>
      <c r="K479" s="13"/>
    </row>
    <row r="480" spans="1:11" ht="18" x14ac:dyDescent="0.4">
      <c r="A480" s="7" t="s">
        <v>719</v>
      </c>
      <c r="B480" s="7" t="s">
        <v>448</v>
      </c>
      <c r="C480" s="8">
        <v>33518</v>
      </c>
      <c r="D480" s="9">
        <v>552667970</v>
      </c>
      <c r="E480" s="57">
        <v>96</v>
      </c>
      <c r="F480" s="10" t="s">
        <v>450</v>
      </c>
      <c r="G480" s="9">
        <v>240</v>
      </c>
      <c r="H480" s="9">
        <f t="shared" si="19"/>
        <v>2.5</v>
      </c>
      <c r="I480" s="11">
        <f t="shared" ca="1" si="20"/>
        <v>46124</v>
      </c>
      <c r="J480" s="11">
        <f t="shared" ca="1" si="13"/>
        <v>46118</v>
      </c>
      <c r="K480" s="13"/>
    </row>
    <row r="481" spans="1:11" ht="18" x14ac:dyDescent="0.4">
      <c r="A481" s="7" t="s">
        <v>719</v>
      </c>
      <c r="B481" s="7" t="s">
        <v>448</v>
      </c>
      <c r="C481" s="8">
        <v>33518</v>
      </c>
      <c r="D481" s="9">
        <v>463411480</v>
      </c>
      <c r="E481" s="57">
        <v>96</v>
      </c>
      <c r="F481" s="10" t="s">
        <v>450</v>
      </c>
      <c r="G481" s="9">
        <v>0</v>
      </c>
      <c r="H481" s="9">
        <f t="shared" si="19"/>
        <v>0</v>
      </c>
      <c r="I481" s="11">
        <f t="shared" ca="1" si="20"/>
        <v>46124</v>
      </c>
      <c r="J481" s="11">
        <f t="shared" ca="1" si="13"/>
        <v>46118</v>
      </c>
      <c r="K481" s="13"/>
    </row>
    <row r="482" spans="1:11" ht="18" x14ac:dyDescent="0.4">
      <c r="A482" s="7" t="s">
        <v>719</v>
      </c>
      <c r="B482" s="7" t="s">
        <v>451</v>
      </c>
      <c r="C482" s="8">
        <v>30467</v>
      </c>
      <c r="D482" s="9">
        <v>552703690</v>
      </c>
      <c r="E482" s="57">
        <v>2000</v>
      </c>
      <c r="F482" s="10" t="s">
        <v>184</v>
      </c>
      <c r="G482" s="9">
        <v>0</v>
      </c>
      <c r="H482" s="9">
        <f t="shared" si="19"/>
        <v>0</v>
      </c>
      <c r="I482" s="11">
        <f t="shared" ca="1" si="20"/>
        <v>46124</v>
      </c>
      <c r="J482" s="11">
        <f t="shared" ca="1" si="13"/>
        <v>46118</v>
      </c>
      <c r="K482" s="13"/>
    </row>
    <row r="483" spans="1:11" ht="18" x14ac:dyDescent="0.4">
      <c r="A483" s="7" t="s">
        <v>719</v>
      </c>
      <c r="B483" s="7" t="s">
        <v>452</v>
      </c>
      <c r="C483" s="8">
        <v>56589</v>
      </c>
      <c r="D483" s="9">
        <v>552681677</v>
      </c>
      <c r="E483" s="57">
        <v>48</v>
      </c>
      <c r="F483" s="10" t="s">
        <v>453</v>
      </c>
      <c r="G483" s="9">
        <v>1200</v>
      </c>
      <c r="H483" s="9">
        <f t="shared" si="19"/>
        <v>25</v>
      </c>
      <c r="I483" s="11">
        <f t="shared" ca="1" si="20"/>
        <v>46124</v>
      </c>
      <c r="J483" s="11">
        <f t="shared" ca="1" si="13"/>
        <v>46118</v>
      </c>
      <c r="K483" s="13"/>
    </row>
    <row r="484" spans="1:11" ht="18" x14ac:dyDescent="0.4">
      <c r="A484" s="7" t="s">
        <v>719</v>
      </c>
      <c r="B484" s="7" t="s">
        <v>452</v>
      </c>
      <c r="C484" s="8">
        <v>56589</v>
      </c>
      <c r="D484" s="9">
        <v>552657037</v>
      </c>
      <c r="E484" s="57">
        <v>48</v>
      </c>
      <c r="F484" s="10" t="s">
        <v>454</v>
      </c>
      <c r="G484" s="9">
        <v>240</v>
      </c>
      <c r="H484" s="9">
        <f t="shared" si="19"/>
        <v>5</v>
      </c>
      <c r="I484" s="11">
        <f t="shared" ca="1" si="20"/>
        <v>46124</v>
      </c>
      <c r="J484" s="11">
        <f t="shared" ca="1" si="13"/>
        <v>46118</v>
      </c>
      <c r="K484" s="13"/>
    </row>
    <row r="485" spans="1:11" ht="18" x14ac:dyDescent="0.4">
      <c r="A485" s="7" t="s">
        <v>719</v>
      </c>
      <c r="B485" s="7" t="s">
        <v>452</v>
      </c>
      <c r="C485" s="8">
        <v>56589</v>
      </c>
      <c r="D485" s="9">
        <v>552681750</v>
      </c>
      <c r="E485" s="57">
        <v>120</v>
      </c>
      <c r="F485" s="10" t="s">
        <v>455</v>
      </c>
      <c r="G485" s="9">
        <v>0</v>
      </c>
      <c r="H485" s="9">
        <f t="shared" si="19"/>
        <v>0</v>
      </c>
      <c r="I485" s="11">
        <f t="shared" ca="1" si="20"/>
        <v>46124</v>
      </c>
      <c r="J485" s="11">
        <f t="shared" ca="1" si="13"/>
        <v>46118</v>
      </c>
      <c r="K485" s="13"/>
    </row>
    <row r="486" spans="1:11" ht="18" x14ac:dyDescent="0.4">
      <c r="A486" s="7" t="s">
        <v>719</v>
      </c>
      <c r="B486" s="7" t="s">
        <v>452</v>
      </c>
      <c r="C486" s="8">
        <v>56589</v>
      </c>
      <c r="D486" s="9">
        <v>552680020</v>
      </c>
      <c r="E486" s="57">
        <v>120</v>
      </c>
      <c r="F486" s="10" t="s">
        <v>456</v>
      </c>
      <c r="G486" s="9">
        <v>1200</v>
      </c>
      <c r="H486" s="9">
        <f t="shared" si="19"/>
        <v>10</v>
      </c>
      <c r="I486" s="11">
        <f t="shared" ca="1" si="20"/>
        <v>46124</v>
      </c>
      <c r="J486" s="11">
        <f t="shared" ca="1" si="13"/>
        <v>46118</v>
      </c>
      <c r="K486" s="13"/>
    </row>
    <row r="487" spans="1:11" ht="18" x14ac:dyDescent="0.4">
      <c r="A487" s="7" t="s">
        <v>719</v>
      </c>
      <c r="B487" s="7" t="s">
        <v>457</v>
      </c>
      <c r="C487" s="8">
        <v>35657</v>
      </c>
      <c r="D487" s="9">
        <v>552677430</v>
      </c>
      <c r="E487" s="57">
        <v>6000</v>
      </c>
      <c r="F487" s="10" t="s">
        <v>243</v>
      </c>
      <c r="G487" s="9">
        <v>0</v>
      </c>
      <c r="H487" s="9">
        <f t="shared" si="19"/>
        <v>0</v>
      </c>
      <c r="I487" s="11">
        <f t="shared" ca="1" si="20"/>
        <v>46124</v>
      </c>
      <c r="J487" s="11">
        <f t="shared" ca="1" si="13"/>
        <v>46118</v>
      </c>
      <c r="K487" s="13"/>
    </row>
    <row r="488" spans="1:11" ht="18" x14ac:dyDescent="0.4">
      <c r="A488" s="7" t="s">
        <v>719</v>
      </c>
      <c r="B488" s="7" t="s">
        <v>458</v>
      </c>
      <c r="C488" s="8">
        <v>68265</v>
      </c>
      <c r="D488" s="9">
        <v>463375350</v>
      </c>
      <c r="E488" s="57">
        <v>7200</v>
      </c>
      <c r="F488" s="10" t="s">
        <v>459</v>
      </c>
      <c r="G488" s="9">
        <v>14400</v>
      </c>
      <c r="H488" s="9">
        <f t="shared" si="19"/>
        <v>2</v>
      </c>
      <c r="I488" s="11">
        <f t="shared" ca="1" si="20"/>
        <v>46124</v>
      </c>
      <c r="J488" s="11">
        <f t="shared" ca="1" si="13"/>
        <v>46118</v>
      </c>
      <c r="K488" s="13"/>
    </row>
    <row r="489" spans="1:11" ht="18" x14ac:dyDescent="0.4">
      <c r="A489" s="7" t="s">
        <v>719</v>
      </c>
      <c r="B489" s="7" t="s">
        <v>458</v>
      </c>
      <c r="C489" s="8">
        <v>68265</v>
      </c>
      <c r="D489" s="9">
        <v>552679420</v>
      </c>
      <c r="E489" s="57">
        <v>3360</v>
      </c>
      <c r="F489" s="10" t="s">
        <v>460</v>
      </c>
      <c r="G489" s="9">
        <v>0</v>
      </c>
      <c r="H489" s="9">
        <f t="shared" si="19"/>
        <v>0</v>
      </c>
      <c r="I489" s="11">
        <f t="shared" ca="1" si="20"/>
        <v>46124</v>
      </c>
      <c r="J489" s="11">
        <f t="shared" ca="1" si="13"/>
        <v>46118</v>
      </c>
      <c r="K489" s="13"/>
    </row>
    <row r="490" spans="1:11" ht="18" x14ac:dyDescent="0.4">
      <c r="A490" s="7" t="s">
        <v>719</v>
      </c>
      <c r="B490" s="7" t="s">
        <v>458</v>
      </c>
      <c r="C490" s="8">
        <v>68265</v>
      </c>
      <c r="D490" s="9">
        <v>463541260</v>
      </c>
      <c r="E490" s="57">
        <v>120</v>
      </c>
      <c r="F490" s="10" t="s">
        <v>461</v>
      </c>
      <c r="G490" s="9">
        <v>480</v>
      </c>
      <c r="H490" s="9">
        <f t="shared" si="19"/>
        <v>4</v>
      </c>
      <c r="I490" s="11">
        <f t="shared" ca="1" si="20"/>
        <v>46124</v>
      </c>
      <c r="J490" s="11">
        <f t="shared" ca="1" si="13"/>
        <v>46118</v>
      </c>
      <c r="K490" s="13"/>
    </row>
    <row r="491" spans="1:11" ht="18" x14ac:dyDescent="0.4">
      <c r="A491" s="7" t="s">
        <v>719</v>
      </c>
      <c r="B491" s="7" t="s">
        <v>458</v>
      </c>
      <c r="C491" s="8">
        <v>68265</v>
      </c>
      <c r="D491" s="9">
        <v>463541240</v>
      </c>
      <c r="E491" s="57">
        <v>120</v>
      </c>
      <c r="F491" s="10" t="s">
        <v>462</v>
      </c>
      <c r="G491" s="9">
        <v>0</v>
      </c>
      <c r="H491" s="9">
        <f t="shared" si="19"/>
        <v>0</v>
      </c>
      <c r="I491" s="11">
        <f t="shared" ca="1" si="20"/>
        <v>46124</v>
      </c>
      <c r="J491" s="11">
        <f t="shared" ca="1" si="13"/>
        <v>46118</v>
      </c>
      <c r="K491" s="13"/>
    </row>
    <row r="492" spans="1:11" ht="21" customHeight="1" x14ac:dyDescent="0.4">
      <c r="A492" s="7" t="s">
        <v>719</v>
      </c>
      <c r="B492" s="7" t="s">
        <v>463</v>
      </c>
      <c r="C492" s="8">
        <v>1020</v>
      </c>
      <c r="D492" s="9">
        <v>552732717</v>
      </c>
      <c r="E492" s="57">
        <v>30</v>
      </c>
      <c r="F492" s="10" t="s">
        <v>464</v>
      </c>
      <c r="G492" s="9">
        <v>0</v>
      </c>
      <c r="H492" s="9">
        <f t="shared" si="19"/>
        <v>0</v>
      </c>
      <c r="I492" s="11">
        <f t="shared" ca="1" si="20"/>
        <v>46124</v>
      </c>
      <c r="J492" s="11">
        <f t="shared" ca="1" si="13"/>
        <v>46118</v>
      </c>
      <c r="K492" s="13"/>
    </row>
    <row r="493" spans="1:11" ht="18" x14ac:dyDescent="0.4">
      <c r="A493" s="7" t="s">
        <v>719</v>
      </c>
      <c r="B493" s="7" t="s">
        <v>463</v>
      </c>
      <c r="C493" s="8">
        <v>1020</v>
      </c>
      <c r="D493" s="9">
        <v>552732747</v>
      </c>
      <c r="E493" s="57">
        <v>30</v>
      </c>
      <c r="F493" s="10" t="s">
        <v>465</v>
      </c>
      <c r="G493" s="9">
        <v>1200</v>
      </c>
      <c r="H493" s="9">
        <f t="shared" si="19"/>
        <v>40</v>
      </c>
      <c r="I493" s="11">
        <f t="shared" ca="1" si="20"/>
        <v>46124</v>
      </c>
      <c r="J493" s="11">
        <f t="shared" ca="1" si="13"/>
        <v>46118</v>
      </c>
      <c r="K493" s="13"/>
    </row>
    <row r="494" spans="1:11" ht="18" x14ac:dyDescent="0.4">
      <c r="A494" s="7" t="s">
        <v>719</v>
      </c>
      <c r="B494" s="7" t="s">
        <v>463</v>
      </c>
      <c r="C494" s="8">
        <v>1020</v>
      </c>
      <c r="D494" s="9">
        <v>552821208</v>
      </c>
      <c r="E494" s="57">
        <v>24</v>
      </c>
      <c r="F494" s="10" t="s">
        <v>466</v>
      </c>
      <c r="G494" s="9">
        <v>0</v>
      </c>
      <c r="H494" s="9">
        <f t="shared" si="19"/>
        <v>0</v>
      </c>
      <c r="I494" s="11">
        <f t="shared" ca="1" si="20"/>
        <v>46124</v>
      </c>
      <c r="J494" s="11">
        <f t="shared" ca="1" si="13"/>
        <v>46118</v>
      </c>
      <c r="K494" s="13"/>
    </row>
    <row r="495" spans="1:11" ht="18" x14ac:dyDescent="0.4">
      <c r="A495" s="7" t="s">
        <v>719</v>
      </c>
      <c r="B495" s="7" t="s">
        <v>463</v>
      </c>
      <c r="C495" s="8">
        <v>1020</v>
      </c>
      <c r="D495" s="9">
        <v>463404768</v>
      </c>
      <c r="E495" s="57">
        <v>24</v>
      </c>
      <c r="F495" s="10" t="s">
        <v>466</v>
      </c>
      <c r="G495" s="9">
        <v>1200</v>
      </c>
      <c r="H495" s="9">
        <f t="shared" si="19"/>
        <v>50</v>
      </c>
      <c r="I495" s="11">
        <f t="shared" ca="1" si="20"/>
        <v>46124</v>
      </c>
      <c r="J495" s="11">
        <f t="shared" ca="1" si="13"/>
        <v>46118</v>
      </c>
      <c r="K495" s="13"/>
    </row>
    <row r="496" spans="1:11" ht="23.25" customHeight="1" x14ac:dyDescent="0.4">
      <c r="A496" s="7" t="s">
        <v>719</v>
      </c>
      <c r="B496" s="7" t="s">
        <v>463</v>
      </c>
      <c r="C496" s="8">
        <v>1020</v>
      </c>
      <c r="D496" s="9">
        <v>552821178</v>
      </c>
      <c r="E496" s="57">
        <v>24</v>
      </c>
      <c r="F496" s="10" t="s">
        <v>467</v>
      </c>
      <c r="G496" s="9">
        <v>240</v>
      </c>
      <c r="H496" s="9">
        <f t="shared" si="19"/>
        <v>10</v>
      </c>
      <c r="I496" s="11">
        <f t="shared" ca="1" si="20"/>
        <v>46124</v>
      </c>
      <c r="J496" s="11">
        <f t="shared" ca="1" si="13"/>
        <v>46118</v>
      </c>
      <c r="K496" s="13"/>
    </row>
    <row r="497" spans="1:11" ht="25.5" customHeight="1" x14ac:dyDescent="0.4">
      <c r="A497" s="7" t="s">
        <v>719</v>
      </c>
      <c r="B497" s="7" t="s">
        <v>95</v>
      </c>
      <c r="C497" s="8">
        <v>45150</v>
      </c>
      <c r="D497" s="9">
        <v>552681821</v>
      </c>
      <c r="E497" s="57">
        <v>40</v>
      </c>
      <c r="F497" s="37" t="s">
        <v>468</v>
      </c>
      <c r="G497" s="9">
        <v>1000</v>
      </c>
      <c r="H497" s="9">
        <f t="shared" si="19"/>
        <v>25</v>
      </c>
      <c r="I497" s="11">
        <f t="shared" ca="1" si="20"/>
        <v>46124</v>
      </c>
      <c r="J497" s="11">
        <f t="shared" ca="1" si="13"/>
        <v>46118</v>
      </c>
      <c r="K497" s="13"/>
    </row>
    <row r="498" spans="1:11" ht="18" x14ac:dyDescent="0.4">
      <c r="A498" s="7" t="s">
        <v>719</v>
      </c>
      <c r="B498" s="7" t="s">
        <v>95</v>
      </c>
      <c r="C498" s="8">
        <v>45150</v>
      </c>
      <c r="D498" s="9">
        <v>552677041</v>
      </c>
      <c r="E498" s="57">
        <v>40</v>
      </c>
      <c r="F498" s="10" t="s">
        <v>469</v>
      </c>
      <c r="G498" s="9">
        <v>600</v>
      </c>
      <c r="H498" s="9">
        <f t="shared" si="19"/>
        <v>15</v>
      </c>
      <c r="I498" s="11">
        <f t="shared" ca="1" si="20"/>
        <v>46124</v>
      </c>
      <c r="J498" s="11">
        <f t="shared" ca="1" si="13"/>
        <v>46118</v>
      </c>
      <c r="K498" s="13"/>
    </row>
    <row r="499" spans="1:11" ht="18" x14ac:dyDescent="0.4">
      <c r="A499" s="7" t="s">
        <v>719</v>
      </c>
      <c r="B499" s="7" t="s">
        <v>470</v>
      </c>
      <c r="C499" s="8">
        <v>21796</v>
      </c>
      <c r="D499" s="9">
        <v>552808040</v>
      </c>
      <c r="E499" s="57">
        <v>1920</v>
      </c>
      <c r="F499" s="10" t="s">
        <v>154</v>
      </c>
      <c r="G499" s="9">
        <v>9600</v>
      </c>
      <c r="H499" s="9">
        <f t="shared" ref="H499:H562" si="21">G499/E499</f>
        <v>5</v>
      </c>
      <c r="I499" s="11">
        <f t="shared" ca="1" si="20"/>
        <v>46124</v>
      </c>
      <c r="J499" s="11">
        <f t="shared" ca="1" si="13"/>
        <v>46118</v>
      </c>
      <c r="K499" s="13"/>
    </row>
    <row r="500" spans="1:11" ht="18" x14ac:dyDescent="0.4">
      <c r="A500" s="7" t="s">
        <v>719</v>
      </c>
      <c r="B500" s="7" t="s">
        <v>471</v>
      </c>
      <c r="C500" s="8">
        <v>42932</v>
      </c>
      <c r="D500" s="9">
        <v>463404510</v>
      </c>
      <c r="E500" s="57">
        <v>60</v>
      </c>
      <c r="F500" s="10" t="s">
        <v>155</v>
      </c>
      <c r="G500" s="9">
        <v>900</v>
      </c>
      <c r="H500" s="9">
        <f t="shared" si="21"/>
        <v>15</v>
      </c>
      <c r="I500" s="11">
        <f t="shared" ca="1" si="20"/>
        <v>46124</v>
      </c>
      <c r="J500" s="11">
        <f t="shared" ca="1" si="13"/>
        <v>46118</v>
      </c>
      <c r="K500" s="13"/>
    </row>
    <row r="501" spans="1:11" ht="18" x14ac:dyDescent="0.4">
      <c r="A501" s="7" t="s">
        <v>719</v>
      </c>
      <c r="B501" s="7" t="s">
        <v>471</v>
      </c>
      <c r="C501" s="8">
        <v>42932</v>
      </c>
      <c r="D501" s="9">
        <v>463404780</v>
      </c>
      <c r="E501" s="57">
        <v>60</v>
      </c>
      <c r="F501" s="10" t="s">
        <v>155</v>
      </c>
      <c r="G501" s="9">
        <v>960</v>
      </c>
      <c r="H501" s="9">
        <f t="shared" si="21"/>
        <v>16</v>
      </c>
      <c r="I501" s="11">
        <f t="shared" ca="1" si="20"/>
        <v>46124</v>
      </c>
      <c r="J501" s="11">
        <f t="shared" ca="1" si="13"/>
        <v>46118</v>
      </c>
      <c r="K501" s="13"/>
    </row>
    <row r="502" spans="1:11" ht="18" x14ac:dyDescent="0.4">
      <c r="A502" s="7" t="s">
        <v>719</v>
      </c>
      <c r="B502" s="7" t="s">
        <v>472</v>
      </c>
      <c r="C502" s="8">
        <v>41469</v>
      </c>
      <c r="D502" s="9">
        <v>463462830</v>
      </c>
      <c r="E502" s="57">
        <v>30</v>
      </c>
      <c r="F502" s="10" t="s">
        <v>428</v>
      </c>
      <c r="G502" s="9">
        <v>0</v>
      </c>
      <c r="H502" s="9">
        <f t="shared" si="21"/>
        <v>0</v>
      </c>
      <c r="I502" s="11">
        <f t="shared" ca="1" si="20"/>
        <v>46124</v>
      </c>
      <c r="J502" s="11">
        <f t="shared" ca="1" si="13"/>
        <v>46118</v>
      </c>
      <c r="K502" s="12"/>
    </row>
    <row r="503" spans="1:11" ht="18" x14ac:dyDescent="0.4">
      <c r="A503" s="43" t="s">
        <v>719</v>
      </c>
      <c r="B503" s="43" t="s">
        <v>473</v>
      </c>
      <c r="C503" s="44">
        <v>31775</v>
      </c>
      <c r="D503" s="45">
        <v>463530880</v>
      </c>
      <c r="E503" s="65">
        <v>30</v>
      </c>
      <c r="F503" s="46" t="s">
        <v>474</v>
      </c>
      <c r="G503" s="45">
        <v>6000</v>
      </c>
      <c r="H503" s="45">
        <f t="shared" si="21"/>
        <v>200</v>
      </c>
      <c r="I503" s="11">
        <f t="shared" ca="1" si="20"/>
        <v>46124</v>
      </c>
      <c r="J503" s="47">
        <f t="shared" ca="1" si="13"/>
        <v>46118</v>
      </c>
      <c r="K503" s="48"/>
    </row>
    <row r="504" spans="1:11" ht="18" x14ac:dyDescent="0.4">
      <c r="A504" s="7" t="s">
        <v>475</v>
      </c>
      <c r="B504" s="16" t="s">
        <v>451</v>
      </c>
      <c r="C504" s="8">
        <v>30460</v>
      </c>
      <c r="D504" s="9">
        <v>463557158</v>
      </c>
      <c r="E504" s="57">
        <v>672</v>
      </c>
      <c r="F504" s="10" t="s">
        <v>476</v>
      </c>
      <c r="G504" s="9">
        <v>0</v>
      </c>
      <c r="H504" s="9">
        <f t="shared" si="21"/>
        <v>0</v>
      </c>
      <c r="I504" s="11">
        <f ca="1">I503</f>
        <v>46124</v>
      </c>
      <c r="J504" s="11">
        <f t="shared" ca="1" si="13"/>
        <v>46118</v>
      </c>
      <c r="K504" s="8"/>
    </row>
    <row r="505" spans="1:11" ht="18" x14ac:dyDescent="0.4">
      <c r="A505" s="7" t="s">
        <v>475</v>
      </c>
      <c r="B505" s="16" t="s">
        <v>451</v>
      </c>
      <c r="C505" s="8">
        <v>30460</v>
      </c>
      <c r="D505" s="9">
        <v>463557148</v>
      </c>
      <c r="E505" s="57">
        <v>672</v>
      </c>
      <c r="F505" s="10" t="s">
        <v>477</v>
      </c>
      <c r="G505" s="9">
        <v>0</v>
      </c>
      <c r="H505" s="9">
        <f t="shared" si="21"/>
        <v>0</v>
      </c>
      <c r="I505" s="11">
        <f t="shared" ref="I505:I568" ca="1" si="22">I504</f>
        <v>46124</v>
      </c>
      <c r="J505" s="11">
        <f t="shared" ca="1" si="13"/>
        <v>46118</v>
      </c>
      <c r="K505" s="8"/>
    </row>
    <row r="506" spans="1:11" ht="18" x14ac:dyDescent="0.4">
      <c r="A506" s="7" t="s">
        <v>475</v>
      </c>
      <c r="B506" s="16" t="s">
        <v>451</v>
      </c>
      <c r="C506" s="8">
        <v>30460</v>
      </c>
      <c r="D506" s="9">
        <v>552664537</v>
      </c>
      <c r="E506" s="57">
        <v>792</v>
      </c>
      <c r="F506" s="10" t="s">
        <v>478</v>
      </c>
      <c r="G506" s="9">
        <v>0</v>
      </c>
      <c r="H506" s="9">
        <f t="shared" si="21"/>
        <v>0</v>
      </c>
      <c r="I506" s="11">
        <f t="shared" ca="1" si="22"/>
        <v>46124</v>
      </c>
      <c r="J506" s="11">
        <f t="shared" ca="1" si="13"/>
        <v>46118</v>
      </c>
      <c r="K506" s="8"/>
    </row>
    <row r="507" spans="1:11" ht="18" x14ac:dyDescent="0.4">
      <c r="A507" s="7" t="s">
        <v>475</v>
      </c>
      <c r="B507" s="16" t="s">
        <v>451</v>
      </c>
      <c r="C507" s="8">
        <v>30460</v>
      </c>
      <c r="D507" s="9">
        <v>552664527</v>
      </c>
      <c r="E507" s="57">
        <v>792</v>
      </c>
      <c r="F507" s="10" t="s">
        <v>479</v>
      </c>
      <c r="G507" s="9">
        <v>0</v>
      </c>
      <c r="H507" s="9">
        <f t="shared" si="21"/>
        <v>0</v>
      </c>
      <c r="I507" s="11">
        <f t="shared" ca="1" si="22"/>
        <v>46124</v>
      </c>
      <c r="J507" s="11">
        <f t="shared" ca="1" si="13"/>
        <v>46118</v>
      </c>
      <c r="K507" s="8"/>
    </row>
    <row r="508" spans="1:11" ht="18" x14ac:dyDescent="0.4">
      <c r="A508" s="7" t="s">
        <v>475</v>
      </c>
      <c r="B508" s="16" t="s">
        <v>451</v>
      </c>
      <c r="C508" s="8">
        <v>30460</v>
      </c>
      <c r="D508" s="9">
        <v>552664547</v>
      </c>
      <c r="E508" s="57">
        <v>672</v>
      </c>
      <c r="F508" s="10" t="s">
        <v>480</v>
      </c>
      <c r="G508" s="9">
        <v>0</v>
      </c>
      <c r="H508" s="9">
        <f t="shared" si="21"/>
        <v>0</v>
      </c>
      <c r="I508" s="11">
        <f t="shared" ca="1" si="22"/>
        <v>46124</v>
      </c>
      <c r="J508" s="11">
        <f t="shared" ca="1" si="13"/>
        <v>46118</v>
      </c>
      <c r="K508" s="8"/>
    </row>
    <row r="509" spans="1:11" ht="18" x14ac:dyDescent="0.4">
      <c r="A509" s="7" t="s">
        <v>475</v>
      </c>
      <c r="B509" s="16" t="s">
        <v>451</v>
      </c>
      <c r="C509" s="8">
        <v>30460</v>
      </c>
      <c r="D509" s="9">
        <v>552664557</v>
      </c>
      <c r="E509" s="57">
        <v>672</v>
      </c>
      <c r="F509" s="10" t="s">
        <v>481</v>
      </c>
      <c r="G509" s="9">
        <v>0</v>
      </c>
      <c r="H509" s="9">
        <f t="shared" si="21"/>
        <v>0</v>
      </c>
      <c r="I509" s="11">
        <f t="shared" ca="1" si="22"/>
        <v>46124</v>
      </c>
      <c r="J509" s="11">
        <f t="shared" ca="1" si="13"/>
        <v>46118</v>
      </c>
      <c r="K509" s="8"/>
    </row>
    <row r="510" spans="1:11" ht="18" x14ac:dyDescent="0.4">
      <c r="A510" s="7" t="s">
        <v>475</v>
      </c>
      <c r="B510" s="16" t="s">
        <v>451</v>
      </c>
      <c r="C510" s="8">
        <v>30460</v>
      </c>
      <c r="D510" s="9">
        <v>552664567</v>
      </c>
      <c r="E510" s="57">
        <v>756</v>
      </c>
      <c r="F510" s="10" t="s">
        <v>482</v>
      </c>
      <c r="G510" s="9">
        <v>0</v>
      </c>
      <c r="H510" s="9">
        <f t="shared" si="21"/>
        <v>0</v>
      </c>
      <c r="I510" s="11">
        <f t="shared" ca="1" si="22"/>
        <v>46124</v>
      </c>
      <c r="J510" s="11">
        <f t="shared" ca="1" si="13"/>
        <v>46118</v>
      </c>
      <c r="K510" s="8"/>
    </row>
    <row r="511" spans="1:11" ht="18" x14ac:dyDescent="0.4">
      <c r="A511" s="7" t="s">
        <v>475</v>
      </c>
      <c r="B511" s="16" t="s">
        <v>451</v>
      </c>
      <c r="C511" s="8">
        <v>30460</v>
      </c>
      <c r="D511" s="9">
        <v>552664577</v>
      </c>
      <c r="E511" s="57">
        <v>756</v>
      </c>
      <c r="F511" s="10" t="s">
        <v>483</v>
      </c>
      <c r="G511" s="9">
        <v>0</v>
      </c>
      <c r="H511" s="9">
        <f t="shared" si="21"/>
        <v>0</v>
      </c>
      <c r="I511" s="11">
        <f t="shared" ca="1" si="22"/>
        <v>46124</v>
      </c>
      <c r="J511" s="11">
        <f t="shared" ca="1" si="13"/>
        <v>46118</v>
      </c>
      <c r="K511" s="8"/>
    </row>
    <row r="512" spans="1:11" ht="18" x14ac:dyDescent="0.4">
      <c r="A512" s="7" t="s">
        <v>475</v>
      </c>
      <c r="B512" s="16" t="s">
        <v>451</v>
      </c>
      <c r="C512" s="8">
        <v>30460</v>
      </c>
      <c r="D512" s="9">
        <v>463555108</v>
      </c>
      <c r="E512" s="57">
        <v>588</v>
      </c>
      <c r="F512" s="10" t="s">
        <v>484</v>
      </c>
      <c r="G512" s="9">
        <v>0</v>
      </c>
      <c r="H512" s="9">
        <f t="shared" si="21"/>
        <v>0</v>
      </c>
      <c r="I512" s="11">
        <f t="shared" ca="1" si="22"/>
        <v>46124</v>
      </c>
      <c r="J512" s="11">
        <f t="shared" ca="1" si="13"/>
        <v>46118</v>
      </c>
      <c r="K512" s="8"/>
    </row>
    <row r="513" spans="1:11" ht="18" x14ac:dyDescent="0.4">
      <c r="A513" s="7" t="s">
        <v>475</v>
      </c>
      <c r="B513" s="16" t="s">
        <v>451</v>
      </c>
      <c r="C513" s="8">
        <v>30460</v>
      </c>
      <c r="D513" s="9">
        <v>552086937</v>
      </c>
      <c r="E513" s="57">
        <v>588</v>
      </c>
      <c r="F513" s="10" t="s">
        <v>485</v>
      </c>
      <c r="G513" s="9">
        <v>0</v>
      </c>
      <c r="H513" s="9">
        <f t="shared" si="21"/>
        <v>0</v>
      </c>
      <c r="I513" s="11">
        <f t="shared" ca="1" si="22"/>
        <v>46124</v>
      </c>
      <c r="J513" s="11">
        <f t="shared" ca="1" si="13"/>
        <v>46118</v>
      </c>
      <c r="K513" s="8"/>
    </row>
    <row r="514" spans="1:11" ht="18" x14ac:dyDescent="0.4">
      <c r="A514" s="7" t="s">
        <v>475</v>
      </c>
      <c r="B514" s="16" t="s">
        <v>451</v>
      </c>
      <c r="C514" s="8">
        <v>30460</v>
      </c>
      <c r="D514" s="9">
        <v>463555088</v>
      </c>
      <c r="E514" s="57">
        <v>588</v>
      </c>
      <c r="F514" s="10" t="s">
        <v>486</v>
      </c>
      <c r="G514" s="9">
        <v>0</v>
      </c>
      <c r="H514" s="9">
        <f t="shared" si="21"/>
        <v>0</v>
      </c>
      <c r="I514" s="11">
        <f t="shared" ca="1" si="22"/>
        <v>46124</v>
      </c>
      <c r="J514" s="11">
        <f t="shared" ca="1" si="13"/>
        <v>46118</v>
      </c>
      <c r="K514" s="8"/>
    </row>
    <row r="515" spans="1:11" ht="18" x14ac:dyDescent="0.4">
      <c r="A515" s="7" t="s">
        <v>475</v>
      </c>
      <c r="B515" s="16" t="s">
        <v>451</v>
      </c>
      <c r="C515" s="8">
        <v>30460</v>
      </c>
      <c r="D515" s="9">
        <v>552086957</v>
      </c>
      <c r="E515" s="57">
        <v>588</v>
      </c>
      <c r="F515" s="10" t="s">
        <v>487</v>
      </c>
      <c r="G515" s="9">
        <v>0</v>
      </c>
      <c r="H515" s="9">
        <f t="shared" si="21"/>
        <v>0</v>
      </c>
      <c r="I515" s="11">
        <f t="shared" ca="1" si="22"/>
        <v>46124</v>
      </c>
      <c r="J515" s="11">
        <f t="shared" ca="1" si="13"/>
        <v>46118</v>
      </c>
      <c r="K515" s="8"/>
    </row>
    <row r="516" spans="1:11" ht="18" x14ac:dyDescent="0.4">
      <c r="A516" s="7" t="s">
        <v>475</v>
      </c>
      <c r="B516" s="16" t="s">
        <v>451</v>
      </c>
      <c r="C516" s="8">
        <v>30460</v>
      </c>
      <c r="D516" s="9">
        <v>552724278</v>
      </c>
      <c r="E516" s="57">
        <v>588</v>
      </c>
      <c r="F516" s="10" t="s">
        <v>488</v>
      </c>
      <c r="G516" s="9">
        <v>0</v>
      </c>
      <c r="H516" s="9">
        <f t="shared" si="21"/>
        <v>0</v>
      </c>
      <c r="I516" s="11">
        <f t="shared" ca="1" si="22"/>
        <v>46124</v>
      </c>
      <c r="J516" s="11">
        <f t="shared" ref="J516:J583" ca="1" si="23">TODAY()</f>
        <v>46118</v>
      </c>
      <c r="K516" s="8"/>
    </row>
    <row r="517" spans="1:11" ht="18" x14ac:dyDescent="0.4">
      <c r="A517" s="7" t="s">
        <v>475</v>
      </c>
      <c r="B517" s="16" t="s">
        <v>451</v>
      </c>
      <c r="C517" s="8">
        <v>30460</v>
      </c>
      <c r="D517" s="9">
        <v>552086967</v>
      </c>
      <c r="E517" s="57">
        <v>294</v>
      </c>
      <c r="F517" s="10" t="s">
        <v>489</v>
      </c>
      <c r="G517" s="9">
        <v>0</v>
      </c>
      <c r="H517" s="9">
        <f t="shared" si="21"/>
        <v>0</v>
      </c>
      <c r="I517" s="11">
        <f t="shared" ca="1" si="22"/>
        <v>46124</v>
      </c>
      <c r="J517" s="11">
        <f t="shared" ca="1" si="23"/>
        <v>46118</v>
      </c>
      <c r="K517" s="8"/>
    </row>
    <row r="518" spans="1:11" ht="18" x14ac:dyDescent="0.4">
      <c r="A518" s="7" t="s">
        <v>475</v>
      </c>
      <c r="B518" s="16" t="s">
        <v>451</v>
      </c>
      <c r="C518" s="8">
        <v>30460</v>
      </c>
      <c r="D518" s="9">
        <v>552086977</v>
      </c>
      <c r="E518" s="57">
        <v>294</v>
      </c>
      <c r="F518" s="10" t="s">
        <v>490</v>
      </c>
      <c r="G518" s="9">
        <v>0</v>
      </c>
      <c r="H518" s="9">
        <f t="shared" si="21"/>
        <v>0</v>
      </c>
      <c r="I518" s="11">
        <f t="shared" ca="1" si="22"/>
        <v>46124</v>
      </c>
      <c r="J518" s="11">
        <f t="shared" ca="1" si="23"/>
        <v>46118</v>
      </c>
      <c r="K518" s="8"/>
    </row>
    <row r="519" spans="1:11" ht="18" x14ac:dyDescent="0.4">
      <c r="A519" s="7" t="s">
        <v>475</v>
      </c>
      <c r="B519" s="16" t="s">
        <v>451</v>
      </c>
      <c r="C519" s="8">
        <v>30460</v>
      </c>
      <c r="D519" s="9">
        <v>77579477</v>
      </c>
      <c r="E519" s="57">
        <v>294</v>
      </c>
      <c r="F519" s="10" t="s">
        <v>491</v>
      </c>
      <c r="G519" s="9">
        <v>0</v>
      </c>
      <c r="H519" s="9">
        <f t="shared" si="21"/>
        <v>0</v>
      </c>
      <c r="I519" s="11">
        <f t="shared" ca="1" si="22"/>
        <v>46124</v>
      </c>
      <c r="J519" s="11">
        <f t="shared" ca="1" si="23"/>
        <v>46118</v>
      </c>
      <c r="K519" s="8"/>
    </row>
    <row r="520" spans="1:11" ht="18" x14ac:dyDescent="0.4">
      <c r="A520" s="7" t="s">
        <v>475</v>
      </c>
      <c r="B520" s="16" t="s">
        <v>451</v>
      </c>
      <c r="C520" s="8">
        <v>30460</v>
      </c>
      <c r="D520" s="9">
        <v>552698778</v>
      </c>
      <c r="E520" s="57">
        <v>672</v>
      </c>
      <c r="F520" s="10" t="s">
        <v>492</v>
      </c>
      <c r="G520" s="9">
        <v>0</v>
      </c>
      <c r="H520" s="9">
        <f t="shared" si="21"/>
        <v>0</v>
      </c>
      <c r="I520" s="11">
        <f t="shared" ca="1" si="22"/>
        <v>46124</v>
      </c>
      <c r="J520" s="11">
        <f t="shared" ca="1" si="23"/>
        <v>46118</v>
      </c>
      <c r="K520" s="8"/>
    </row>
    <row r="521" spans="1:11" ht="18" x14ac:dyDescent="0.4">
      <c r="A521" s="7" t="s">
        <v>475</v>
      </c>
      <c r="B521" s="16" t="s">
        <v>451</v>
      </c>
      <c r="C521" s="8">
        <v>30460</v>
      </c>
      <c r="D521" s="9">
        <v>552698768</v>
      </c>
      <c r="E521" s="57">
        <v>672</v>
      </c>
      <c r="F521" s="10" t="s">
        <v>493</v>
      </c>
      <c r="G521" s="9">
        <v>0</v>
      </c>
      <c r="H521" s="9">
        <f t="shared" si="21"/>
        <v>0</v>
      </c>
      <c r="I521" s="11">
        <f t="shared" ca="1" si="22"/>
        <v>46124</v>
      </c>
      <c r="J521" s="11">
        <f t="shared" ca="1" si="23"/>
        <v>46118</v>
      </c>
      <c r="K521" s="8"/>
    </row>
    <row r="522" spans="1:11" ht="18" x14ac:dyDescent="0.4">
      <c r="A522" s="7" t="s">
        <v>475</v>
      </c>
      <c r="B522" s="16" t="s">
        <v>451</v>
      </c>
      <c r="C522" s="8">
        <v>30460</v>
      </c>
      <c r="D522" s="9">
        <v>552698758</v>
      </c>
      <c r="E522" s="57">
        <v>672</v>
      </c>
      <c r="F522" s="10" t="s">
        <v>494</v>
      </c>
      <c r="G522" s="9">
        <v>0</v>
      </c>
      <c r="H522" s="9">
        <f t="shared" si="21"/>
        <v>0</v>
      </c>
      <c r="I522" s="11">
        <f t="shared" ca="1" si="22"/>
        <v>46124</v>
      </c>
      <c r="J522" s="11">
        <f t="shared" ca="1" si="23"/>
        <v>46118</v>
      </c>
      <c r="K522" s="8"/>
    </row>
    <row r="523" spans="1:11" ht="18" x14ac:dyDescent="0.4">
      <c r="A523" s="7" t="s">
        <v>475</v>
      </c>
      <c r="B523" s="16" t="s">
        <v>451</v>
      </c>
      <c r="C523" s="8">
        <v>30460</v>
      </c>
      <c r="D523" s="9">
        <v>552698748</v>
      </c>
      <c r="E523" s="57">
        <v>672</v>
      </c>
      <c r="F523" s="10" t="s">
        <v>495</v>
      </c>
      <c r="G523" s="9">
        <v>0</v>
      </c>
      <c r="H523" s="9">
        <f t="shared" si="21"/>
        <v>0</v>
      </c>
      <c r="I523" s="11">
        <f t="shared" ca="1" si="22"/>
        <v>46124</v>
      </c>
      <c r="J523" s="11">
        <f t="shared" ca="1" si="23"/>
        <v>46118</v>
      </c>
      <c r="K523" s="8"/>
    </row>
    <row r="524" spans="1:11" ht="18" x14ac:dyDescent="0.4">
      <c r="A524" s="7" t="s">
        <v>475</v>
      </c>
      <c r="B524" s="16" t="s">
        <v>451</v>
      </c>
      <c r="C524" s="8">
        <v>30460</v>
      </c>
      <c r="D524" s="9">
        <v>552724288</v>
      </c>
      <c r="E524" s="57">
        <v>672</v>
      </c>
      <c r="F524" s="10" t="s">
        <v>496</v>
      </c>
      <c r="G524" s="9">
        <v>0</v>
      </c>
      <c r="H524" s="9">
        <f t="shared" si="21"/>
        <v>0</v>
      </c>
      <c r="I524" s="11">
        <f t="shared" ca="1" si="22"/>
        <v>46124</v>
      </c>
      <c r="J524" s="11">
        <f t="shared" ca="1" si="23"/>
        <v>46118</v>
      </c>
      <c r="K524" s="8"/>
    </row>
    <row r="525" spans="1:11" ht="18" x14ac:dyDescent="0.4">
      <c r="A525" s="7" t="s">
        <v>475</v>
      </c>
      <c r="B525" s="16" t="s">
        <v>451</v>
      </c>
      <c r="C525" s="8">
        <v>30460</v>
      </c>
      <c r="D525" s="9">
        <v>467670637</v>
      </c>
      <c r="E525" s="57">
        <v>792</v>
      </c>
      <c r="F525" s="10" t="s">
        <v>497</v>
      </c>
      <c r="G525" s="9">
        <v>0</v>
      </c>
      <c r="H525" s="9">
        <f t="shared" si="21"/>
        <v>0</v>
      </c>
      <c r="I525" s="11">
        <f t="shared" ca="1" si="22"/>
        <v>46124</v>
      </c>
      <c r="J525" s="11">
        <f t="shared" ca="1" si="23"/>
        <v>46118</v>
      </c>
      <c r="K525" s="8"/>
    </row>
    <row r="526" spans="1:11" ht="18" x14ac:dyDescent="0.4">
      <c r="A526" s="7" t="s">
        <v>475</v>
      </c>
      <c r="B526" s="16" t="s">
        <v>451</v>
      </c>
      <c r="C526" s="8">
        <v>30460</v>
      </c>
      <c r="D526" s="9">
        <v>552030228</v>
      </c>
      <c r="E526" s="57">
        <v>392</v>
      </c>
      <c r="F526" s="10" t="s">
        <v>498</v>
      </c>
      <c r="G526" s="9">
        <v>0</v>
      </c>
      <c r="H526" s="9">
        <f t="shared" si="21"/>
        <v>0</v>
      </c>
      <c r="I526" s="11">
        <f t="shared" ca="1" si="22"/>
        <v>46124</v>
      </c>
      <c r="J526" s="11">
        <f t="shared" ca="1" si="23"/>
        <v>46118</v>
      </c>
      <c r="K526" s="8"/>
    </row>
    <row r="527" spans="1:11" ht="18" x14ac:dyDescent="0.4">
      <c r="A527" s="7" t="s">
        <v>475</v>
      </c>
      <c r="B527" s="16" t="s">
        <v>451</v>
      </c>
      <c r="C527" s="8">
        <v>30460</v>
      </c>
      <c r="D527" s="9">
        <v>467784288</v>
      </c>
      <c r="E527" s="57">
        <v>392</v>
      </c>
      <c r="F527" s="10" t="s">
        <v>499</v>
      </c>
      <c r="G527" s="9">
        <v>0</v>
      </c>
      <c r="H527" s="9">
        <f t="shared" si="21"/>
        <v>0</v>
      </c>
      <c r="I527" s="11">
        <f t="shared" ca="1" si="22"/>
        <v>46124</v>
      </c>
      <c r="J527" s="11">
        <f t="shared" ca="1" si="23"/>
        <v>46118</v>
      </c>
      <c r="K527" s="8"/>
    </row>
    <row r="528" spans="1:11" ht="18" x14ac:dyDescent="0.4">
      <c r="A528" s="7" t="s">
        <v>475</v>
      </c>
      <c r="B528" s="16" t="s">
        <v>451</v>
      </c>
      <c r="C528" s="8">
        <v>30460</v>
      </c>
      <c r="D528" s="9">
        <v>467784297</v>
      </c>
      <c r="E528" s="57">
        <v>392</v>
      </c>
      <c r="F528" s="10" t="s">
        <v>500</v>
      </c>
      <c r="G528" s="9">
        <v>0</v>
      </c>
      <c r="H528" s="9">
        <f t="shared" si="21"/>
        <v>0</v>
      </c>
      <c r="I528" s="11">
        <f t="shared" ca="1" si="22"/>
        <v>46124</v>
      </c>
      <c r="J528" s="11">
        <f t="shared" ca="1" si="23"/>
        <v>46118</v>
      </c>
      <c r="K528" s="8"/>
    </row>
    <row r="529" spans="1:11" ht="18" x14ac:dyDescent="0.4">
      <c r="A529" s="7" t="s">
        <v>475</v>
      </c>
      <c r="B529" s="16" t="s">
        <v>451</v>
      </c>
      <c r="C529" s="8">
        <v>30460</v>
      </c>
      <c r="D529" s="9">
        <v>551824567</v>
      </c>
      <c r="E529" s="57">
        <v>392</v>
      </c>
      <c r="F529" s="10" t="s">
        <v>501</v>
      </c>
      <c r="G529" s="9">
        <v>0</v>
      </c>
      <c r="H529" s="9">
        <f t="shared" si="21"/>
        <v>0</v>
      </c>
      <c r="I529" s="11">
        <f t="shared" ca="1" si="22"/>
        <v>46124</v>
      </c>
      <c r="J529" s="11">
        <f t="shared" ca="1" si="23"/>
        <v>46118</v>
      </c>
      <c r="K529" s="8"/>
    </row>
    <row r="530" spans="1:11" ht="18" x14ac:dyDescent="0.4">
      <c r="A530" s="7" t="s">
        <v>475</v>
      </c>
      <c r="B530" s="16" t="s">
        <v>451</v>
      </c>
      <c r="C530" s="8">
        <v>30460</v>
      </c>
      <c r="D530" s="9">
        <v>552433468</v>
      </c>
      <c r="E530" s="57">
        <v>392</v>
      </c>
      <c r="F530" s="10" t="s">
        <v>502</v>
      </c>
      <c r="G530" s="9">
        <v>0</v>
      </c>
      <c r="H530" s="9">
        <f t="shared" si="21"/>
        <v>0</v>
      </c>
      <c r="I530" s="11">
        <f t="shared" ca="1" si="22"/>
        <v>46124</v>
      </c>
      <c r="J530" s="11">
        <f t="shared" ca="1" si="23"/>
        <v>46118</v>
      </c>
      <c r="K530" s="8"/>
    </row>
    <row r="531" spans="1:11" ht="18" x14ac:dyDescent="0.4">
      <c r="A531" s="7" t="s">
        <v>475</v>
      </c>
      <c r="B531" s="16" t="s">
        <v>451</v>
      </c>
      <c r="C531" s="8">
        <v>30460</v>
      </c>
      <c r="D531" s="9">
        <v>463503958</v>
      </c>
      <c r="E531" s="57">
        <v>392</v>
      </c>
      <c r="F531" s="10" t="s">
        <v>503</v>
      </c>
      <c r="G531" s="9">
        <v>0</v>
      </c>
      <c r="H531" s="9">
        <f t="shared" si="21"/>
        <v>0</v>
      </c>
      <c r="I531" s="11">
        <f t="shared" ca="1" si="22"/>
        <v>46124</v>
      </c>
      <c r="J531" s="11">
        <f t="shared" ca="1" si="23"/>
        <v>46118</v>
      </c>
      <c r="K531" s="8"/>
    </row>
    <row r="532" spans="1:11" ht="18" x14ac:dyDescent="0.4">
      <c r="A532" s="7" t="s">
        <v>475</v>
      </c>
      <c r="B532" s="16" t="s">
        <v>451</v>
      </c>
      <c r="C532" s="8">
        <v>30460</v>
      </c>
      <c r="D532" s="9">
        <v>552486498</v>
      </c>
      <c r="E532" s="57">
        <v>392</v>
      </c>
      <c r="F532" s="10" t="s">
        <v>504</v>
      </c>
      <c r="G532" s="9">
        <v>0</v>
      </c>
      <c r="H532" s="9">
        <f t="shared" si="21"/>
        <v>0</v>
      </c>
      <c r="I532" s="11">
        <f t="shared" ca="1" si="22"/>
        <v>46124</v>
      </c>
      <c r="J532" s="11">
        <f t="shared" ca="1" si="23"/>
        <v>46118</v>
      </c>
      <c r="K532" s="8"/>
    </row>
    <row r="533" spans="1:11" ht="18" x14ac:dyDescent="0.4">
      <c r="A533" s="7" t="s">
        <v>475</v>
      </c>
      <c r="B533" s="16" t="s">
        <v>451</v>
      </c>
      <c r="C533" s="8">
        <v>30460</v>
      </c>
      <c r="D533" s="9">
        <v>468076307</v>
      </c>
      <c r="E533" s="57">
        <v>546</v>
      </c>
      <c r="F533" s="10" t="s">
        <v>505</v>
      </c>
      <c r="G533" s="9">
        <v>0</v>
      </c>
      <c r="H533" s="9">
        <f t="shared" si="21"/>
        <v>0</v>
      </c>
      <c r="I533" s="11">
        <f t="shared" ca="1" si="22"/>
        <v>46124</v>
      </c>
      <c r="J533" s="11">
        <f t="shared" ca="1" si="23"/>
        <v>46118</v>
      </c>
      <c r="K533" s="8"/>
    </row>
    <row r="534" spans="1:11" ht="18" x14ac:dyDescent="0.4">
      <c r="A534" s="7" t="s">
        <v>475</v>
      </c>
      <c r="B534" s="16" t="s">
        <v>451</v>
      </c>
      <c r="C534" s="8">
        <v>30460</v>
      </c>
      <c r="D534" s="9">
        <v>468084487</v>
      </c>
      <c r="E534" s="57">
        <v>546</v>
      </c>
      <c r="F534" s="10" t="s">
        <v>506</v>
      </c>
      <c r="G534" s="9">
        <v>0</v>
      </c>
      <c r="H534" s="9">
        <f t="shared" si="21"/>
        <v>0</v>
      </c>
      <c r="I534" s="11">
        <f t="shared" ca="1" si="22"/>
        <v>46124</v>
      </c>
      <c r="J534" s="11">
        <f t="shared" ca="1" si="23"/>
        <v>46118</v>
      </c>
      <c r="K534" s="8"/>
    </row>
    <row r="535" spans="1:11" ht="18" x14ac:dyDescent="0.4">
      <c r="A535" s="7" t="s">
        <v>475</v>
      </c>
      <c r="B535" s="16" t="s">
        <v>451</v>
      </c>
      <c r="C535" s="8">
        <v>30460</v>
      </c>
      <c r="D535" s="9">
        <v>552727098</v>
      </c>
      <c r="E535" s="57">
        <v>546</v>
      </c>
      <c r="F535" s="10" t="s">
        <v>507</v>
      </c>
      <c r="G535" s="9">
        <v>0</v>
      </c>
      <c r="H535" s="9">
        <f t="shared" si="21"/>
        <v>0</v>
      </c>
      <c r="I535" s="11">
        <f t="shared" ca="1" si="22"/>
        <v>46124</v>
      </c>
      <c r="J535" s="11">
        <f t="shared" ca="1" si="23"/>
        <v>46118</v>
      </c>
      <c r="K535" s="8"/>
    </row>
    <row r="536" spans="1:11" ht="18" x14ac:dyDescent="0.4">
      <c r="A536" s="7" t="s">
        <v>475</v>
      </c>
      <c r="B536" s="16" t="s">
        <v>451</v>
      </c>
      <c r="C536" s="8">
        <v>30460</v>
      </c>
      <c r="D536" s="9">
        <v>552792228</v>
      </c>
      <c r="E536" s="57">
        <v>546</v>
      </c>
      <c r="F536" s="10" t="s">
        <v>508</v>
      </c>
      <c r="G536" s="9">
        <v>0</v>
      </c>
      <c r="H536" s="9">
        <f t="shared" si="21"/>
        <v>0</v>
      </c>
      <c r="I536" s="11">
        <f t="shared" ca="1" si="22"/>
        <v>46124</v>
      </c>
      <c r="J536" s="11">
        <f t="shared" ca="1" si="23"/>
        <v>46118</v>
      </c>
      <c r="K536" s="8"/>
    </row>
    <row r="537" spans="1:11" ht="18" x14ac:dyDescent="0.4">
      <c r="A537" s="7" t="s">
        <v>475</v>
      </c>
      <c r="B537" s="16" t="s">
        <v>451</v>
      </c>
      <c r="C537" s="8">
        <v>30460</v>
      </c>
      <c r="D537" s="9">
        <v>59507209</v>
      </c>
      <c r="E537" s="57">
        <v>450</v>
      </c>
      <c r="F537" s="10" t="s">
        <v>509</v>
      </c>
      <c r="G537" s="9">
        <v>0</v>
      </c>
      <c r="H537" s="9">
        <f t="shared" si="21"/>
        <v>0</v>
      </c>
      <c r="I537" s="11">
        <f t="shared" ca="1" si="22"/>
        <v>46124</v>
      </c>
      <c r="J537" s="11">
        <f t="shared" ca="1" si="23"/>
        <v>46118</v>
      </c>
      <c r="K537" s="8"/>
    </row>
    <row r="538" spans="1:11" ht="18" x14ac:dyDescent="0.4">
      <c r="A538" s="7" t="s">
        <v>475</v>
      </c>
      <c r="B538" s="16" t="s">
        <v>451</v>
      </c>
      <c r="C538" s="8">
        <v>30460</v>
      </c>
      <c r="D538" s="9">
        <v>77894039</v>
      </c>
      <c r="E538" s="57">
        <v>2880</v>
      </c>
      <c r="F538" s="10" t="s">
        <v>510</v>
      </c>
      <c r="G538" s="9">
        <v>0</v>
      </c>
      <c r="H538" s="9">
        <f t="shared" si="21"/>
        <v>0</v>
      </c>
      <c r="I538" s="11">
        <f t="shared" ca="1" si="22"/>
        <v>46124</v>
      </c>
      <c r="J538" s="11">
        <f t="shared" ca="1" si="23"/>
        <v>46118</v>
      </c>
      <c r="K538" s="8"/>
    </row>
    <row r="539" spans="1:11" ht="18" x14ac:dyDescent="0.4">
      <c r="A539" s="7" t="s">
        <v>475</v>
      </c>
      <c r="B539" s="16" t="s">
        <v>451</v>
      </c>
      <c r="C539" s="8">
        <v>30460</v>
      </c>
      <c r="D539" s="9">
        <v>551955737</v>
      </c>
      <c r="E539" s="57">
        <v>700</v>
      </c>
      <c r="F539" s="10" t="s">
        <v>511</v>
      </c>
      <c r="G539" s="9">
        <v>0</v>
      </c>
      <c r="H539" s="9">
        <f t="shared" si="21"/>
        <v>0</v>
      </c>
      <c r="I539" s="11">
        <f t="shared" ca="1" si="22"/>
        <v>46124</v>
      </c>
      <c r="J539" s="11">
        <f t="shared" ca="1" si="23"/>
        <v>46118</v>
      </c>
      <c r="K539" s="8"/>
    </row>
    <row r="540" spans="1:11" ht="18" x14ac:dyDescent="0.4">
      <c r="A540" s="7" t="s">
        <v>475</v>
      </c>
      <c r="B540" s="16" t="s">
        <v>451</v>
      </c>
      <c r="C540" s="8">
        <v>30460</v>
      </c>
      <c r="D540" s="9">
        <v>551955748</v>
      </c>
      <c r="E540" s="57">
        <v>700</v>
      </c>
      <c r="F540" s="10" t="s">
        <v>512</v>
      </c>
      <c r="G540" s="9">
        <v>0</v>
      </c>
      <c r="H540" s="9">
        <f t="shared" si="21"/>
        <v>0</v>
      </c>
      <c r="I540" s="11">
        <f t="shared" ca="1" si="22"/>
        <v>46124</v>
      </c>
      <c r="J540" s="11">
        <f t="shared" ca="1" si="23"/>
        <v>46118</v>
      </c>
      <c r="K540" s="8"/>
    </row>
    <row r="541" spans="1:11" ht="18" x14ac:dyDescent="0.4">
      <c r="A541" s="7" t="s">
        <v>475</v>
      </c>
      <c r="B541" s="16" t="s">
        <v>451</v>
      </c>
      <c r="C541" s="8">
        <v>30460</v>
      </c>
      <c r="D541" s="9">
        <v>552792238</v>
      </c>
      <c r="E541" s="57">
        <v>700</v>
      </c>
      <c r="F541" s="10" t="s">
        <v>513</v>
      </c>
      <c r="G541" s="9">
        <v>0</v>
      </c>
      <c r="H541" s="9">
        <f t="shared" si="21"/>
        <v>0</v>
      </c>
      <c r="I541" s="11">
        <f t="shared" ca="1" si="22"/>
        <v>46124</v>
      </c>
      <c r="J541" s="11">
        <f t="shared" ca="1" si="23"/>
        <v>46118</v>
      </c>
      <c r="K541" s="8"/>
    </row>
    <row r="542" spans="1:11" ht="18" x14ac:dyDescent="0.4">
      <c r="A542" s="60" t="s">
        <v>475</v>
      </c>
      <c r="B542" s="81" t="s">
        <v>451</v>
      </c>
      <c r="C542" s="60">
        <v>30460</v>
      </c>
      <c r="D542" s="61">
        <v>463458098</v>
      </c>
      <c r="E542" s="57">
        <v>1650</v>
      </c>
      <c r="F542" s="10" t="s">
        <v>514</v>
      </c>
      <c r="G542" s="9">
        <v>0</v>
      </c>
      <c r="H542" s="9">
        <f t="shared" si="21"/>
        <v>0</v>
      </c>
      <c r="I542" s="11">
        <f t="shared" ca="1" si="22"/>
        <v>46124</v>
      </c>
      <c r="J542" s="11">
        <f t="shared" ca="1" si="23"/>
        <v>46118</v>
      </c>
      <c r="K542" s="8"/>
    </row>
    <row r="543" spans="1:11" ht="18" x14ac:dyDescent="0.4">
      <c r="A543" s="7" t="s">
        <v>475</v>
      </c>
      <c r="B543" s="7" t="s">
        <v>95</v>
      </c>
      <c r="C543" s="8">
        <v>45150</v>
      </c>
      <c r="D543" s="9">
        <v>77894011</v>
      </c>
      <c r="E543" s="57">
        <v>300</v>
      </c>
      <c r="F543" s="10" t="s">
        <v>515</v>
      </c>
      <c r="G543" s="9">
        <v>0</v>
      </c>
      <c r="H543" s="9">
        <f t="shared" si="21"/>
        <v>0</v>
      </c>
      <c r="I543" s="11">
        <f ca="1">I541</f>
        <v>46124</v>
      </c>
      <c r="J543" s="11">
        <f t="shared" ca="1" si="23"/>
        <v>46118</v>
      </c>
      <c r="K543" s="8"/>
    </row>
    <row r="544" spans="1:11" ht="18" x14ac:dyDescent="0.4">
      <c r="A544" s="7" t="s">
        <v>475</v>
      </c>
      <c r="B544" s="7" t="s">
        <v>95</v>
      </c>
      <c r="C544" s="8">
        <v>45150</v>
      </c>
      <c r="D544" s="9">
        <v>467721611</v>
      </c>
      <c r="E544" s="57">
        <v>240</v>
      </c>
      <c r="F544" s="10" t="s">
        <v>516</v>
      </c>
      <c r="G544" s="9">
        <v>0</v>
      </c>
      <c r="H544" s="9">
        <f t="shared" si="21"/>
        <v>0</v>
      </c>
      <c r="I544" s="11">
        <f t="shared" ca="1" si="22"/>
        <v>46124</v>
      </c>
      <c r="J544" s="11">
        <f t="shared" ca="1" si="23"/>
        <v>46118</v>
      </c>
      <c r="K544" s="8"/>
    </row>
    <row r="545" spans="1:11" ht="18" x14ac:dyDescent="0.4">
      <c r="A545" s="60" t="s">
        <v>475</v>
      </c>
      <c r="B545" s="60" t="s">
        <v>517</v>
      </c>
      <c r="C545" s="60">
        <v>46051</v>
      </c>
      <c r="D545" s="61">
        <v>463559961</v>
      </c>
      <c r="E545" s="57">
        <v>270</v>
      </c>
      <c r="F545" s="10" t="s">
        <v>518</v>
      </c>
      <c r="G545" s="9">
        <v>0</v>
      </c>
      <c r="H545" s="9">
        <f t="shared" si="21"/>
        <v>0</v>
      </c>
      <c r="I545" s="11">
        <f t="shared" ca="1" si="22"/>
        <v>46124</v>
      </c>
      <c r="J545" s="11">
        <f t="shared" ca="1" si="23"/>
        <v>46118</v>
      </c>
      <c r="K545" s="8"/>
    </row>
    <row r="546" spans="1:11" ht="18" x14ac:dyDescent="0.4">
      <c r="A546" s="7" t="s">
        <v>475</v>
      </c>
      <c r="B546" s="7" t="s">
        <v>517</v>
      </c>
      <c r="C546" s="8">
        <v>46051</v>
      </c>
      <c r="D546" s="9">
        <v>75821121</v>
      </c>
      <c r="E546" s="57">
        <v>270</v>
      </c>
      <c r="F546" s="10" t="s">
        <v>519</v>
      </c>
      <c r="G546" s="9">
        <v>540</v>
      </c>
      <c r="H546" s="9">
        <f t="shared" si="21"/>
        <v>2</v>
      </c>
      <c r="I546" s="11">
        <f ca="1">I544</f>
        <v>46124</v>
      </c>
      <c r="J546" s="11">
        <f t="shared" ca="1" si="23"/>
        <v>46118</v>
      </c>
      <c r="K546" s="8"/>
    </row>
    <row r="547" spans="1:11" ht="18" x14ac:dyDescent="0.4">
      <c r="A547" s="7" t="s">
        <v>475</v>
      </c>
      <c r="B547" s="7" t="s">
        <v>517</v>
      </c>
      <c r="C547" s="8">
        <v>46051</v>
      </c>
      <c r="D547" s="9">
        <v>463433241</v>
      </c>
      <c r="E547" s="57">
        <v>270</v>
      </c>
      <c r="F547" s="10" t="s">
        <v>520</v>
      </c>
      <c r="G547" s="9">
        <v>2430</v>
      </c>
      <c r="H547" s="9">
        <f t="shared" si="21"/>
        <v>9</v>
      </c>
      <c r="I547" s="11">
        <f t="shared" ca="1" si="22"/>
        <v>46124</v>
      </c>
      <c r="J547" s="11">
        <f t="shared" ca="1" si="23"/>
        <v>46118</v>
      </c>
      <c r="K547" s="8"/>
    </row>
    <row r="548" spans="1:11" ht="18" x14ac:dyDescent="0.4">
      <c r="A548" s="7" t="s">
        <v>475</v>
      </c>
      <c r="B548" s="7" t="s">
        <v>517</v>
      </c>
      <c r="C548" s="8">
        <v>46051</v>
      </c>
      <c r="D548" s="9">
        <v>464420321</v>
      </c>
      <c r="E548" s="57">
        <v>270</v>
      </c>
      <c r="F548" s="10" t="s">
        <v>521</v>
      </c>
      <c r="G548" s="9">
        <v>0</v>
      </c>
      <c r="H548" s="9">
        <f t="shared" si="21"/>
        <v>0</v>
      </c>
      <c r="I548" s="11">
        <f t="shared" ca="1" si="22"/>
        <v>46124</v>
      </c>
      <c r="J548" s="11">
        <f t="shared" ca="1" si="23"/>
        <v>46118</v>
      </c>
      <c r="K548" s="8"/>
    </row>
    <row r="549" spans="1:11" ht="18" x14ac:dyDescent="0.4">
      <c r="A549" s="7" t="s">
        <v>475</v>
      </c>
      <c r="B549" s="7" t="s">
        <v>517</v>
      </c>
      <c r="C549" s="8">
        <v>46051</v>
      </c>
      <c r="D549" s="9">
        <v>465555151</v>
      </c>
      <c r="E549" s="57">
        <v>270</v>
      </c>
      <c r="F549" s="10" t="s">
        <v>522</v>
      </c>
      <c r="G549" s="9">
        <v>0</v>
      </c>
      <c r="H549" s="9">
        <f t="shared" si="21"/>
        <v>0</v>
      </c>
      <c r="I549" s="11">
        <f t="shared" ca="1" si="22"/>
        <v>46124</v>
      </c>
      <c r="J549" s="11">
        <f t="shared" ca="1" si="23"/>
        <v>46118</v>
      </c>
      <c r="K549" s="8"/>
    </row>
    <row r="550" spans="1:11" ht="18" x14ac:dyDescent="0.4">
      <c r="A550" s="7" t="s">
        <v>475</v>
      </c>
      <c r="B550" s="7" t="s">
        <v>517</v>
      </c>
      <c r="C550" s="8">
        <v>46051</v>
      </c>
      <c r="D550" s="9">
        <v>552694438</v>
      </c>
      <c r="E550" s="57">
        <v>270</v>
      </c>
      <c r="F550" s="10" t="s">
        <v>523</v>
      </c>
      <c r="G550" s="9">
        <v>0</v>
      </c>
      <c r="H550" s="9">
        <f t="shared" si="21"/>
        <v>0</v>
      </c>
      <c r="I550" s="11">
        <f t="shared" ca="1" si="22"/>
        <v>46124</v>
      </c>
      <c r="J550" s="11">
        <f t="shared" ca="1" si="23"/>
        <v>46118</v>
      </c>
      <c r="K550" s="8"/>
    </row>
    <row r="551" spans="1:11" ht="18" x14ac:dyDescent="0.4">
      <c r="A551" s="7" t="s">
        <v>475</v>
      </c>
      <c r="B551" s="7" t="s">
        <v>517</v>
      </c>
      <c r="C551" s="8">
        <v>46051</v>
      </c>
      <c r="D551" s="9">
        <v>464197038</v>
      </c>
      <c r="E551" s="57">
        <v>270</v>
      </c>
      <c r="F551" s="10" t="s">
        <v>524</v>
      </c>
      <c r="G551" s="9">
        <v>0</v>
      </c>
      <c r="H551" s="9">
        <f t="shared" si="21"/>
        <v>0</v>
      </c>
      <c r="I551" s="11">
        <f t="shared" ca="1" si="22"/>
        <v>46124</v>
      </c>
      <c r="J551" s="11">
        <f t="shared" ca="1" si="23"/>
        <v>46118</v>
      </c>
      <c r="K551" s="8"/>
    </row>
    <row r="552" spans="1:11" ht="18" x14ac:dyDescent="0.4">
      <c r="A552" s="7" t="s">
        <v>475</v>
      </c>
      <c r="B552" s="7" t="s">
        <v>517</v>
      </c>
      <c r="C552" s="8">
        <v>46051</v>
      </c>
      <c r="D552" s="9">
        <v>77603518</v>
      </c>
      <c r="E552" s="57">
        <v>270</v>
      </c>
      <c r="F552" s="10" t="s">
        <v>525</v>
      </c>
      <c r="G552" s="9">
        <v>0</v>
      </c>
      <c r="H552" s="9">
        <f t="shared" si="21"/>
        <v>0</v>
      </c>
      <c r="I552" s="11">
        <f t="shared" ca="1" si="22"/>
        <v>46124</v>
      </c>
      <c r="J552" s="11">
        <f t="shared" ca="1" si="23"/>
        <v>46118</v>
      </c>
      <c r="K552" s="8"/>
    </row>
    <row r="553" spans="1:11" ht="18" x14ac:dyDescent="0.4">
      <c r="A553" s="60" t="s">
        <v>475</v>
      </c>
      <c r="B553" s="60" t="s">
        <v>517</v>
      </c>
      <c r="C553" s="60">
        <v>46051</v>
      </c>
      <c r="D553" s="61">
        <v>463559978</v>
      </c>
      <c r="E553" s="57">
        <v>270</v>
      </c>
      <c r="F553" s="37" t="s">
        <v>526</v>
      </c>
      <c r="G553" s="9">
        <v>0</v>
      </c>
      <c r="H553" s="9">
        <f t="shared" si="21"/>
        <v>0</v>
      </c>
      <c r="I553" s="11">
        <f t="shared" ca="1" si="22"/>
        <v>46124</v>
      </c>
      <c r="J553" s="11">
        <f t="shared" ca="1" si="23"/>
        <v>46118</v>
      </c>
      <c r="K553" s="8"/>
    </row>
    <row r="554" spans="1:11" ht="18" x14ac:dyDescent="0.4">
      <c r="A554" s="7" t="s">
        <v>475</v>
      </c>
      <c r="B554" s="7" t="s">
        <v>517</v>
      </c>
      <c r="C554" s="8">
        <v>46051</v>
      </c>
      <c r="D554" s="9">
        <v>463433238</v>
      </c>
      <c r="E554" s="57">
        <v>270</v>
      </c>
      <c r="F554" s="37" t="s">
        <v>527</v>
      </c>
      <c r="G554" s="9">
        <v>0</v>
      </c>
      <c r="H554" s="9">
        <f t="shared" si="21"/>
        <v>0</v>
      </c>
      <c r="I554" s="11">
        <f ca="1">I552</f>
        <v>46124</v>
      </c>
      <c r="J554" s="11">
        <f t="shared" ca="1" si="23"/>
        <v>46118</v>
      </c>
      <c r="K554" s="8"/>
    </row>
    <row r="555" spans="1:11" ht="18" x14ac:dyDescent="0.4">
      <c r="A555" s="60" t="s">
        <v>475</v>
      </c>
      <c r="B555" s="60" t="s">
        <v>517</v>
      </c>
      <c r="C555" s="60">
        <v>46051</v>
      </c>
      <c r="D555" s="61">
        <v>463585598</v>
      </c>
      <c r="E555" s="57">
        <v>270</v>
      </c>
      <c r="F555" s="37" t="s">
        <v>527</v>
      </c>
      <c r="G555" s="9">
        <v>1350</v>
      </c>
      <c r="H555" s="9">
        <f t="shared" si="21"/>
        <v>5</v>
      </c>
      <c r="I555" s="11">
        <f ca="1">I553</f>
        <v>46124</v>
      </c>
      <c r="J555" s="11">
        <f t="shared" ca="1" si="23"/>
        <v>46118</v>
      </c>
      <c r="K555" s="8"/>
    </row>
    <row r="556" spans="1:11" ht="18" x14ac:dyDescent="0.4">
      <c r="A556" s="7" t="s">
        <v>475</v>
      </c>
      <c r="B556" s="7" t="s">
        <v>517</v>
      </c>
      <c r="C556" s="8">
        <v>46051</v>
      </c>
      <c r="D556" s="9">
        <v>465555148</v>
      </c>
      <c r="E556" s="57">
        <v>270</v>
      </c>
      <c r="F556" s="37" t="s">
        <v>528</v>
      </c>
      <c r="G556" s="9">
        <v>0</v>
      </c>
      <c r="H556" s="9">
        <f t="shared" si="21"/>
        <v>0</v>
      </c>
      <c r="I556" s="11">
        <f ca="1">I554</f>
        <v>46124</v>
      </c>
      <c r="J556" s="11">
        <f t="shared" ca="1" si="23"/>
        <v>46118</v>
      </c>
      <c r="K556" s="8"/>
    </row>
    <row r="557" spans="1:11" ht="18" x14ac:dyDescent="0.4">
      <c r="A557" s="7" t="s">
        <v>475</v>
      </c>
      <c r="B557" s="7" t="s">
        <v>517</v>
      </c>
      <c r="C557" s="8">
        <v>46051</v>
      </c>
      <c r="D557" s="9">
        <v>463496858</v>
      </c>
      <c r="E557" s="57">
        <v>270</v>
      </c>
      <c r="F557" s="37" t="s">
        <v>529</v>
      </c>
      <c r="G557" s="9">
        <v>870</v>
      </c>
      <c r="H557" s="9">
        <f t="shared" si="21"/>
        <v>3.2222222222222223</v>
      </c>
      <c r="I557" s="11">
        <f t="shared" ca="1" si="22"/>
        <v>46124</v>
      </c>
      <c r="J557" s="11">
        <f t="shared" ca="1" si="23"/>
        <v>46118</v>
      </c>
      <c r="K557" s="8"/>
    </row>
    <row r="558" spans="1:11" ht="18" x14ac:dyDescent="0.4">
      <c r="A558" s="7" t="s">
        <v>475</v>
      </c>
      <c r="B558" s="7" t="s">
        <v>517</v>
      </c>
      <c r="C558" s="8">
        <v>46051</v>
      </c>
      <c r="D558" s="9">
        <v>463535748</v>
      </c>
      <c r="E558" s="57">
        <v>270</v>
      </c>
      <c r="F558" s="37" t="s">
        <v>528</v>
      </c>
      <c r="G558" s="9">
        <v>1350</v>
      </c>
      <c r="H558" s="9">
        <f t="shared" si="21"/>
        <v>5</v>
      </c>
      <c r="I558" s="11">
        <f t="shared" ca="1" si="22"/>
        <v>46124</v>
      </c>
      <c r="J558" s="11">
        <f t="shared" ca="1" si="23"/>
        <v>46118</v>
      </c>
      <c r="K558" s="8"/>
    </row>
    <row r="559" spans="1:11" ht="18" x14ac:dyDescent="0.4">
      <c r="A559" s="7" t="s">
        <v>475</v>
      </c>
      <c r="B559" s="7" t="s">
        <v>517</v>
      </c>
      <c r="C559" s="8">
        <v>46051</v>
      </c>
      <c r="D559" s="9">
        <v>552694428</v>
      </c>
      <c r="E559" s="57">
        <v>270</v>
      </c>
      <c r="F559" s="10" t="s">
        <v>530</v>
      </c>
      <c r="G559" s="9">
        <v>0</v>
      </c>
      <c r="H559" s="9">
        <f t="shared" si="21"/>
        <v>0</v>
      </c>
      <c r="I559" s="11">
        <f t="shared" ca="1" si="22"/>
        <v>46124</v>
      </c>
      <c r="J559" s="11">
        <f t="shared" ca="1" si="23"/>
        <v>46118</v>
      </c>
      <c r="K559" s="8"/>
    </row>
    <row r="560" spans="1:11" ht="18" x14ac:dyDescent="0.4">
      <c r="A560" s="7" t="s">
        <v>475</v>
      </c>
      <c r="B560" s="7" t="s">
        <v>517</v>
      </c>
      <c r="C560" s="8">
        <v>46051</v>
      </c>
      <c r="D560" s="9">
        <v>552571388</v>
      </c>
      <c r="E560" s="57">
        <v>270</v>
      </c>
      <c r="F560" s="37" t="s">
        <v>531</v>
      </c>
      <c r="G560" s="9">
        <v>810</v>
      </c>
      <c r="H560" s="9">
        <f t="shared" si="21"/>
        <v>3</v>
      </c>
      <c r="I560" s="11">
        <f t="shared" ca="1" si="22"/>
        <v>46124</v>
      </c>
      <c r="J560" s="11">
        <f t="shared" ca="1" si="23"/>
        <v>46118</v>
      </c>
      <c r="K560" s="8"/>
    </row>
    <row r="561" spans="1:11" ht="18" x14ac:dyDescent="0.4">
      <c r="A561" s="7" t="s">
        <v>475</v>
      </c>
      <c r="B561" s="7" t="s">
        <v>517</v>
      </c>
      <c r="C561" s="8">
        <v>46051</v>
      </c>
      <c r="D561" s="9">
        <v>552774808</v>
      </c>
      <c r="E561" s="57">
        <v>270</v>
      </c>
      <c r="F561" s="37" t="s">
        <v>532</v>
      </c>
      <c r="G561" s="9">
        <v>0</v>
      </c>
      <c r="H561" s="9">
        <f t="shared" si="21"/>
        <v>0</v>
      </c>
      <c r="I561" s="11">
        <f t="shared" ca="1" si="22"/>
        <v>46124</v>
      </c>
      <c r="J561" s="11">
        <f t="shared" ca="1" si="23"/>
        <v>46118</v>
      </c>
      <c r="K561" s="8"/>
    </row>
    <row r="562" spans="1:11" ht="18" x14ac:dyDescent="0.4">
      <c r="A562" s="7" t="s">
        <v>475</v>
      </c>
      <c r="B562" s="7" t="s">
        <v>517</v>
      </c>
      <c r="C562" s="8">
        <v>46051</v>
      </c>
      <c r="D562" s="9">
        <v>463496828</v>
      </c>
      <c r="E562" s="57">
        <v>270</v>
      </c>
      <c r="F562" s="37" t="s">
        <v>533</v>
      </c>
      <c r="G562" s="9">
        <v>0</v>
      </c>
      <c r="H562" s="9">
        <f t="shared" si="21"/>
        <v>0</v>
      </c>
      <c r="I562" s="11">
        <f t="shared" ca="1" si="22"/>
        <v>46124</v>
      </c>
      <c r="J562" s="11">
        <f t="shared" ca="1" si="23"/>
        <v>46118</v>
      </c>
      <c r="K562" s="8"/>
    </row>
    <row r="563" spans="1:11" ht="18" x14ac:dyDescent="0.4">
      <c r="A563" s="7" t="s">
        <v>475</v>
      </c>
      <c r="B563" s="7" t="s">
        <v>517</v>
      </c>
      <c r="C563" s="8">
        <v>46051</v>
      </c>
      <c r="D563" s="9">
        <v>552825828</v>
      </c>
      <c r="E563" s="57">
        <v>270</v>
      </c>
      <c r="F563" s="37" t="s">
        <v>534</v>
      </c>
      <c r="G563" s="9">
        <v>0</v>
      </c>
      <c r="H563" s="9">
        <f t="shared" ref="H563:H626" si="24">G563/E563</f>
        <v>0</v>
      </c>
      <c r="I563" s="11">
        <f t="shared" ca="1" si="22"/>
        <v>46124</v>
      </c>
      <c r="J563" s="11">
        <f t="shared" ca="1" si="23"/>
        <v>46118</v>
      </c>
      <c r="K563" s="8"/>
    </row>
    <row r="564" spans="1:11" ht="18" x14ac:dyDescent="0.4">
      <c r="A564" s="7" t="s">
        <v>475</v>
      </c>
      <c r="B564" s="7" t="s">
        <v>517</v>
      </c>
      <c r="C564" s="8">
        <v>46051</v>
      </c>
      <c r="D564" s="9">
        <v>552835168</v>
      </c>
      <c r="E564" s="57">
        <v>270</v>
      </c>
      <c r="F564" s="37" t="s">
        <v>535</v>
      </c>
      <c r="G564" s="9">
        <v>0</v>
      </c>
      <c r="H564" s="9">
        <f t="shared" si="24"/>
        <v>0</v>
      </c>
      <c r="I564" s="11">
        <f t="shared" ca="1" si="22"/>
        <v>46124</v>
      </c>
      <c r="J564" s="11">
        <f t="shared" ca="1" si="23"/>
        <v>46118</v>
      </c>
      <c r="K564" s="8"/>
    </row>
    <row r="565" spans="1:11" ht="18" x14ac:dyDescent="0.4">
      <c r="A565" s="7" t="s">
        <v>475</v>
      </c>
      <c r="B565" s="7" t="s">
        <v>517</v>
      </c>
      <c r="C565" s="8">
        <v>46051</v>
      </c>
      <c r="D565" s="9">
        <v>551957818</v>
      </c>
      <c r="E565" s="57">
        <v>270</v>
      </c>
      <c r="F565" s="37" t="s">
        <v>536</v>
      </c>
      <c r="G565" s="9">
        <v>0</v>
      </c>
      <c r="H565" s="9">
        <f t="shared" si="24"/>
        <v>0</v>
      </c>
      <c r="I565" s="11">
        <f t="shared" ca="1" si="22"/>
        <v>46124</v>
      </c>
      <c r="J565" s="11">
        <f t="shared" ca="1" si="23"/>
        <v>46118</v>
      </c>
      <c r="K565" s="8"/>
    </row>
    <row r="566" spans="1:11" ht="18" x14ac:dyDescent="0.4">
      <c r="A566" s="7" t="s">
        <v>475</v>
      </c>
      <c r="B566" s="7" t="s">
        <v>517</v>
      </c>
      <c r="C566" s="8">
        <v>46051</v>
      </c>
      <c r="D566" s="9">
        <v>463496838</v>
      </c>
      <c r="E566" s="57">
        <v>270</v>
      </c>
      <c r="F566" s="37" t="s">
        <v>536</v>
      </c>
      <c r="G566" s="9">
        <v>0</v>
      </c>
      <c r="H566" s="9">
        <f t="shared" si="24"/>
        <v>0</v>
      </c>
      <c r="I566" s="11">
        <f t="shared" ca="1" si="22"/>
        <v>46124</v>
      </c>
      <c r="J566" s="11">
        <f t="shared" ca="1" si="23"/>
        <v>46118</v>
      </c>
      <c r="K566" s="8"/>
    </row>
    <row r="567" spans="1:11" ht="18" x14ac:dyDescent="0.4">
      <c r="A567" s="7" t="s">
        <v>475</v>
      </c>
      <c r="B567" s="7" t="s">
        <v>517</v>
      </c>
      <c r="C567" s="8">
        <v>46051</v>
      </c>
      <c r="D567" s="9">
        <v>552284868</v>
      </c>
      <c r="E567" s="57">
        <v>270</v>
      </c>
      <c r="F567" s="37" t="s">
        <v>537</v>
      </c>
      <c r="G567" s="9">
        <v>0</v>
      </c>
      <c r="H567" s="9">
        <f t="shared" si="24"/>
        <v>0</v>
      </c>
      <c r="I567" s="11">
        <f t="shared" ca="1" si="22"/>
        <v>46124</v>
      </c>
      <c r="J567" s="11">
        <f t="shared" ca="1" si="23"/>
        <v>46118</v>
      </c>
      <c r="K567" s="8"/>
    </row>
    <row r="568" spans="1:11" ht="18" x14ac:dyDescent="0.4">
      <c r="A568" s="7" t="s">
        <v>475</v>
      </c>
      <c r="B568" s="7" t="s">
        <v>517</v>
      </c>
      <c r="C568" s="8">
        <v>46051</v>
      </c>
      <c r="D568" s="9">
        <v>463496848</v>
      </c>
      <c r="E568" s="57">
        <v>270</v>
      </c>
      <c r="F568" s="37" t="s">
        <v>538</v>
      </c>
      <c r="G568" s="9">
        <v>270</v>
      </c>
      <c r="H568" s="9">
        <f t="shared" si="24"/>
        <v>1</v>
      </c>
      <c r="I568" s="11">
        <f t="shared" ca="1" si="22"/>
        <v>46124</v>
      </c>
      <c r="J568" s="11">
        <f t="shared" ca="1" si="23"/>
        <v>46118</v>
      </c>
      <c r="K568" s="8"/>
    </row>
    <row r="569" spans="1:11" ht="18" x14ac:dyDescent="0.4">
      <c r="A569" s="7" t="s">
        <v>475</v>
      </c>
      <c r="B569" s="7" t="s">
        <v>517</v>
      </c>
      <c r="C569" s="8">
        <v>46051</v>
      </c>
      <c r="D569" s="9">
        <v>552696328</v>
      </c>
      <c r="E569" s="57">
        <v>180</v>
      </c>
      <c r="F569" s="37" t="s">
        <v>539</v>
      </c>
      <c r="G569" s="9">
        <v>0</v>
      </c>
      <c r="H569" s="9">
        <f t="shared" si="24"/>
        <v>0</v>
      </c>
      <c r="I569" s="11">
        <f t="shared" ref="I569:I632" ca="1" si="25">I568</f>
        <v>46124</v>
      </c>
      <c r="J569" s="11">
        <f t="shared" ca="1" si="23"/>
        <v>46118</v>
      </c>
      <c r="K569" s="8"/>
    </row>
    <row r="570" spans="1:11" ht="18" x14ac:dyDescent="0.4">
      <c r="A570" s="7" t="s">
        <v>475</v>
      </c>
      <c r="B570" s="7" t="s">
        <v>517</v>
      </c>
      <c r="C570" s="8">
        <v>46051</v>
      </c>
      <c r="D570" s="9">
        <v>463496868</v>
      </c>
      <c r="E570" s="57">
        <v>180</v>
      </c>
      <c r="F570" s="38" t="s">
        <v>540</v>
      </c>
      <c r="G570" s="9">
        <v>0</v>
      </c>
      <c r="H570" s="9">
        <f t="shared" si="24"/>
        <v>0</v>
      </c>
      <c r="I570" s="11">
        <f t="shared" ca="1" si="25"/>
        <v>46124</v>
      </c>
      <c r="J570" s="11">
        <f t="shared" ca="1" si="23"/>
        <v>46118</v>
      </c>
      <c r="K570" s="8"/>
    </row>
    <row r="571" spans="1:11" ht="18" x14ac:dyDescent="0.4">
      <c r="A571" s="39" t="s">
        <v>475</v>
      </c>
      <c r="B571" s="39" t="s">
        <v>517</v>
      </c>
      <c r="C571" s="40">
        <v>46051</v>
      </c>
      <c r="D571" s="41">
        <v>552727078</v>
      </c>
      <c r="E571" s="66">
        <v>180</v>
      </c>
      <c r="F571" s="42" t="s">
        <v>541</v>
      </c>
      <c r="G571" s="9">
        <v>900</v>
      </c>
      <c r="H571" s="41">
        <f t="shared" si="24"/>
        <v>5</v>
      </c>
      <c r="I571" s="11">
        <f t="shared" ca="1" si="25"/>
        <v>46124</v>
      </c>
      <c r="J571" s="11">
        <f t="shared" ca="1" si="23"/>
        <v>46118</v>
      </c>
      <c r="K571" s="8"/>
    </row>
    <row r="572" spans="1:11" ht="33" customHeight="1" x14ac:dyDescent="0.4">
      <c r="A572" s="39" t="s">
        <v>475</v>
      </c>
      <c r="B572" s="39" t="s">
        <v>517</v>
      </c>
      <c r="C572" s="40">
        <v>46051</v>
      </c>
      <c r="D572" s="41">
        <v>552770948</v>
      </c>
      <c r="E572" s="66">
        <v>180</v>
      </c>
      <c r="F572" s="42" t="s">
        <v>542</v>
      </c>
      <c r="G572" s="9">
        <v>0</v>
      </c>
      <c r="H572" s="41">
        <f t="shared" si="24"/>
        <v>0</v>
      </c>
      <c r="I572" s="11">
        <f t="shared" ca="1" si="25"/>
        <v>46124</v>
      </c>
      <c r="J572" s="11">
        <f t="shared" ca="1" si="23"/>
        <v>46118</v>
      </c>
      <c r="K572" s="8"/>
    </row>
    <row r="573" spans="1:11" ht="18" x14ac:dyDescent="0.4">
      <c r="A573" s="7" t="s">
        <v>475</v>
      </c>
      <c r="B573" s="7" t="s">
        <v>517</v>
      </c>
      <c r="C573" s="8">
        <v>46051</v>
      </c>
      <c r="D573" s="9">
        <v>468084498</v>
      </c>
      <c r="E573" s="57">
        <v>180</v>
      </c>
      <c r="F573" s="37" t="s">
        <v>543</v>
      </c>
      <c r="G573" s="9">
        <v>0</v>
      </c>
      <c r="H573" s="9">
        <f t="shared" si="24"/>
        <v>0</v>
      </c>
      <c r="I573" s="11">
        <f t="shared" ca="1" si="25"/>
        <v>46124</v>
      </c>
      <c r="J573" s="11">
        <f t="shared" ca="1" si="23"/>
        <v>46118</v>
      </c>
      <c r="K573" s="8"/>
    </row>
    <row r="574" spans="1:11" ht="18" x14ac:dyDescent="0.4">
      <c r="A574" s="7" t="s">
        <v>475</v>
      </c>
      <c r="B574" s="7" t="s">
        <v>517</v>
      </c>
      <c r="C574" s="8">
        <v>46051</v>
      </c>
      <c r="D574" s="9">
        <v>463496808</v>
      </c>
      <c r="E574" s="57">
        <v>180</v>
      </c>
      <c r="F574" s="37" t="s">
        <v>543</v>
      </c>
      <c r="G574" s="9">
        <v>0</v>
      </c>
      <c r="H574" s="9">
        <f t="shared" si="24"/>
        <v>0</v>
      </c>
      <c r="I574" s="11">
        <f t="shared" ca="1" si="25"/>
        <v>46124</v>
      </c>
      <c r="J574" s="11">
        <f t="shared" ca="1" si="23"/>
        <v>46118</v>
      </c>
      <c r="K574" s="8"/>
    </row>
    <row r="575" spans="1:11" ht="18" x14ac:dyDescent="0.4">
      <c r="A575" s="7" t="s">
        <v>475</v>
      </c>
      <c r="B575" s="7" t="s">
        <v>517</v>
      </c>
      <c r="C575" s="8">
        <v>46051</v>
      </c>
      <c r="D575" s="9">
        <v>552792188</v>
      </c>
      <c r="E575" s="57">
        <v>180</v>
      </c>
      <c r="F575" s="37" t="s">
        <v>544</v>
      </c>
      <c r="G575" s="9">
        <v>0</v>
      </c>
      <c r="H575" s="9">
        <f t="shared" si="24"/>
        <v>0</v>
      </c>
      <c r="I575" s="11">
        <f t="shared" ca="1" si="25"/>
        <v>46124</v>
      </c>
      <c r="J575" s="11">
        <f t="shared" ca="1" si="23"/>
        <v>46118</v>
      </c>
      <c r="K575" s="8"/>
    </row>
    <row r="576" spans="1:11" ht="18" x14ac:dyDescent="0.4">
      <c r="A576" s="7" t="s">
        <v>475</v>
      </c>
      <c r="B576" s="7" t="s">
        <v>517</v>
      </c>
      <c r="C576" s="8">
        <v>46051</v>
      </c>
      <c r="D576" s="9">
        <v>463504548</v>
      </c>
      <c r="E576" s="57">
        <v>180</v>
      </c>
      <c r="F576" s="37" t="s">
        <v>545</v>
      </c>
      <c r="G576" s="9">
        <v>0</v>
      </c>
      <c r="H576" s="9">
        <f t="shared" si="24"/>
        <v>0</v>
      </c>
      <c r="I576" s="11">
        <f t="shared" ca="1" si="25"/>
        <v>46124</v>
      </c>
      <c r="J576" s="11">
        <f t="shared" ca="1" si="23"/>
        <v>46118</v>
      </c>
      <c r="K576" s="8"/>
    </row>
    <row r="577" spans="1:14" ht="18" x14ac:dyDescent="0.4">
      <c r="A577" s="7" t="s">
        <v>475</v>
      </c>
      <c r="B577" s="7" t="s">
        <v>517</v>
      </c>
      <c r="C577" s="8">
        <v>46051</v>
      </c>
      <c r="D577" s="9">
        <v>468085168</v>
      </c>
      <c r="E577" s="57">
        <v>180</v>
      </c>
      <c r="F577" s="37" t="s">
        <v>546</v>
      </c>
      <c r="G577" s="9">
        <v>0</v>
      </c>
      <c r="H577" s="9">
        <f t="shared" si="24"/>
        <v>0</v>
      </c>
      <c r="I577" s="11">
        <f t="shared" ca="1" si="25"/>
        <v>46124</v>
      </c>
      <c r="J577" s="11">
        <f t="shared" ca="1" si="23"/>
        <v>46118</v>
      </c>
      <c r="K577" s="8"/>
    </row>
    <row r="578" spans="1:14" ht="18" x14ac:dyDescent="0.4">
      <c r="A578" s="7" t="s">
        <v>475</v>
      </c>
      <c r="B578" s="7" t="s">
        <v>517</v>
      </c>
      <c r="C578" s="8">
        <v>46051</v>
      </c>
      <c r="D578" s="9">
        <v>468085188</v>
      </c>
      <c r="E578" s="57">
        <v>180</v>
      </c>
      <c r="F578" s="37" t="s">
        <v>547</v>
      </c>
      <c r="G578" s="9">
        <v>0</v>
      </c>
      <c r="H578" s="9">
        <f t="shared" si="24"/>
        <v>0</v>
      </c>
      <c r="I578" s="11">
        <f t="shared" ca="1" si="25"/>
        <v>46124</v>
      </c>
      <c r="J578" s="11">
        <f t="shared" ca="1" si="23"/>
        <v>46118</v>
      </c>
      <c r="K578" s="8"/>
    </row>
    <row r="579" spans="1:14" ht="18" x14ac:dyDescent="0.4">
      <c r="A579" s="7" t="s">
        <v>475</v>
      </c>
      <c r="B579" s="7" t="s">
        <v>517</v>
      </c>
      <c r="C579" s="8">
        <v>46051</v>
      </c>
      <c r="D579" s="9">
        <v>552049748</v>
      </c>
      <c r="E579" s="57">
        <v>180</v>
      </c>
      <c r="F579" s="37" t="s">
        <v>545</v>
      </c>
      <c r="G579" s="9">
        <v>0</v>
      </c>
      <c r="H579" s="9">
        <f t="shared" si="24"/>
        <v>0</v>
      </c>
      <c r="I579" s="11">
        <f t="shared" ca="1" si="25"/>
        <v>46124</v>
      </c>
      <c r="J579" s="11">
        <f t="shared" ca="1" si="23"/>
        <v>46118</v>
      </c>
      <c r="K579" s="8"/>
    </row>
    <row r="580" spans="1:14" ht="18" x14ac:dyDescent="0.4">
      <c r="A580" s="7" t="s">
        <v>475</v>
      </c>
      <c r="B580" s="7" t="s">
        <v>517</v>
      </c>
      <c r="C580" s="8">
        <v>46051</v>
      </c>
      <c r="D580" s="9">
        <v>552486488</v>
      </c>
      <c r="E580" s="57">
        <v>180</v>
      </c>
      <c r="F580" s="37" t="s">
        <v>548</v>
      </c>
      <c r="G580" s="9">
        <v>0</v>
      </c>
      <c r="H580" s="9">
        <f t="shared" si="24"/>
        <v>0</v>
      </c>
      <c r="I580" s="11">
        <f t="shared" ca="1" si="25"/>
        <v>46124</v>
      </c>
      <c r="J580" s="11">
        <f t="shared" ca="1" si="23"/>
        <v>46118</v>
      </c>
      <c r="K580" s="8"/>
    </row>
    <row r="581" spans="1:14" ht="18" x14ac:dyDescent="0.4">
      <c r="A581" s="7" t="s">
        <v>475</v>
      </c>
      <c r="B581" s="7" t="s">
        <v>517</v>
      </c>
      <c r="C581" s="8">
        <v>46051</v>
      </c>
      <c r="D581" s="9">
        <v>463508568</v>
      </c>
      <c r="E581" s="57">
        <v>180</v>
      </c>
      <c r="F581" s="37" t="s">
        <v>549</v>
      </c>
      <c r="G581" s="9">
        <v>2520</v>
      </c>
      <c r="H581" s="9">
        <f t="shared" si="24"/>
        <v>14</v>
      </c>
      <c r="I581" s="11">
        <f t="shared" ca="1" si="25"/>
        <v>46124</v>
      </c>
      <c r="J581" s="11">
        <f t="shared" ca="1" si="23"/>
        <v>46118</v>
      </c>
      <c r="K581" s="8"/>
      <c r="N581" s="26"/>
    </row>
    <row r="582" spans="1:14" ht="18" x14ac:dyDescent="0.4">
      <c r="A582" s="7" t="s">
        <v>475</v>
      </c>
      <c r="B582" s="7" t="s">
        <v>517</v>
      </c>
      <c r="C582" s="8">
        <v>46051</v>
      </c>
      <c r="D582" s="9">
        <v>463503948</v>
      </c>
      <c r="E582" s="57">
        <v>180</v>
      </c>
      <c r="F582" s="37" t="s">
        <v>550</v>
      </c>
      <c r="G582" s="9">
        <v>0</v>
      </c>
      <c r="H582" s="9">
        <f t="shared" si="24"/>
        <v>0</v>
      </c>
      <c r="I582" s="11">
        <f t="shared" ca="1" si="25"/>
        <v>46124</v>
      </c>
      <c r="J582" s="11">
        <f t="shared" ca="1" si="23"/>
        <v>46118</v>
      </c>
      <c r="K582" s="8"/>
    </row>
    <row r="583" spans="1:14" ht="18" x14ac:dyDescent="0.4">
      <c r="A583" s="7" t="s">
        <v>475</v>
      </c>
      <c r="B583" s="7" t="s">
        <v>517</v>
      </c>
      <c r="C583" s="8">
        <v>46051</v>
      </c>
      <c r="D583" s="9">
        <v>463496798</v>
      </c>
      <c r="E583" s="57">
        <v>180</v>
      </c>
      <c r="F583" s="37" t="s">
        <v>551</v>
      </c>
      <c r="G583" s="9">
        <v>0</v>
      </c>
      <c r="H583" s="9">
        <f t="shared" si="24"/>
        <v>0</v>
      </c>
      <c r="I583" s="11">
        <f t="shared" ca="1" si="25"/>
        <v>46124</v>
      </c>
      <c r="J583" s="11">
        <f t="shared" ca="1" si="23"/>
        <v>46118</v>
      </c>
      <c r="K583" s="8"/>
    </row>
    <row r="584" spans="1:14" ht="18" x14ac:dyDescent="0.4">
      <c r="A584" s="7" t="s">
        <v>475</v>
      </c>
      <c r="B584" s="7" t="s">
        <v>517</v>
      </c>
      <c r="C584" s="8">
        <v>46051</v>
      </c>
      <c r="D584" s="9">
        <v>552696318</v>
      </c>
      <c r="E584" s="57">
        <v>180</v>
      </c>
      <c r="F584" s="37" t="s">
        <v>551</v>
      </c>
      <c r="G584" s="9">
        <v>0</v>
      </c>
      <c r="H584" s="9">
        <f t="shared" si="24"/>
        <v>0</v>
      </c>
      <c r="I584" s="11">
        <f t="shared" ca="1" si="25"/>
        <v>46124</v>
      </c>
      <c r="J584" s="11">
        <f t="shared" ref="J584:J647" ca="1" si="26">TODAY()</f>
        <v>46118</v>
      </c>
      <c r="K584" s="8"/>
    </row>
    <row r="585" spans="1:14" ht="18" x14ac:dyDescent="0.4">
      <c r="A585" s="92" t="s">
        <v>475</v>
      </c>
      <c r="B585" s="22" t="s">
        <v>552</v>
      </c>
      <c r="C585" s="23">
        <v>19414</v>
      </c>
      <c r="D585" s="24">
        <v>76779780</v>
      </c>
      <c r="E585" s="67">
        <v>300</v>
      </c>
      <c r="F585" s="25" t="s">
        <v>553</v>
      </c>
      <c r="G585" s="98">
        <v>0</v>
      </c>
      <c r="H585" s="24">
        <f t="shared" si="24"/>
        <v>0</v>
      </c>
      <c r="I585" s="11">
        <f t="shared" ca="1" si="25"/>
        <v>46124</v>
      </c>
      <c r="J585" s="11">
        <f t="shared" ca="1" si="26"/>
        <v>46118</v>
      </c>
      <c r="K585" s="13"/>
    </row>
    <row r="586" spans="1:14" ht="18" x14ac:dyDescent="0.4">
      <c r="A586" s="93" t="s">
        <v>475</v>
      </c>
      <c r="B586" s="16" t="s">
        <v>552</v>
      </c>
      <c r="C586" s="8">
        <v>19414</v>
      </c>
      <c r="D586" s="9">
        <v>135549210</v>
      </c>
      <c r="E586" s="57">
        <v>250</v>
      </c>
      <c r="F586" s="10" t="s">
        <v>554</v>
      </c>
      <c r="G586" s="98">
        <v>0</v>
      </c>
      <c r="H586" s="9">
        <f t="shared" si="24"/>
        <v>0</v>
      </c>
      <c r="I586" s="11">
        <f t="shared" ca="1" si="25"/>
        <v>46124</v>
      </c>
      <c r="J586" s="11">
        <f t="shared" ca="1" si="26"/>
        <v>46118</v>
      </c>
      <c r="K586" s="13"/>
    </row>
    <row r="587" spans="1:14" ht="18" x14ac:dyDescent="0.4">
      <c r="A587" s="93" t="s">
        <v>475</v>
      </c>
      <c r="B587" s="16" t="s">
        <v>552</v>
      </c>
      <c r="C587" s="8">
        <v>19414</v>
      </c>
      <c r="D587" s="9">
        <v>149359240</v>
      </c>
      <c r="E587" s="57">
        <v>1000</v>
      </c>
      <c r="F587" s="10" t="s">
        <v>555</v>
      </c>
      <c r="G587" s="98">
        <v>0</v>
      </c>
      <c r="H587" s="9">
        <f t="shared" si="24"/>
        <v>0</v>
      </c>
      <c r="I587" s="11">
        <f t="shared" ca="1" si="25"/>
        <v>46124</v>
      </c>
      <c r="J587" s="11">
        <f t="shared" ca="1" si="26"/>
        <v>46118</v>
      </c>
      <c r="K587" s="13"/>
    </row>
    <row r="588" spans="1:14" ht="18" x14ac:dyDescent="0.4">
      <c r="A588" s="93" t="s">
        <v>475</v>
      </c>
      <c r="B588" s="16" t="s">
        <v>552</v>
      </c>
      <c r="C588" s="8">
        <v>19414</v>
      </c>
      <c r="D588" s="9">
        <v>162876210</v>
      </c>
      <c r="E588" s="57">
        <v>500</v>
      </c>
      <c r="F588" s="10" t="s">
        <v>556</v>
      </c>
      <c r="G588" s="98">
        <v>0</v>
      </c>
      <c r="H588" s="9">
        <f t="shared" si="24"/>
        <v>0</v>
      </c>
      <c r="I588" s="11">
        <f t="shared" ca="1" si="25"/>
        <v>46124</v>
      </c>
      <c r="J588" s="11">
        <f t="shared" ca="1" si="26"/>
        <v>46118</v>
      </c>
      <c r="K588" s="13"/>
    </row>
    <row r="589" spans="1:14" ht="18" x14ac:dyDescent="0.4">
      <c r="A589" s="93" t="s">
        <v>475</v>
      </c>
      <c r="B589" s="16" t="s">
        <v>552</v>
      </c>
      <c r="C589" s="8">
        <v>19414</v>
      </c>
      <c r="D589" s="9">
        <v>162885240</v>
      </c>
      <c r="E589" s="57">
        <v>300</v>
      </c>
      <c r="F589" s="10" t="s">
        <v>557</v>
      </c>
      <c r="G589" s="98">
        <v>0</v>
      </c>
      <c r="H589" s="9">
        <f t="shared" si="24"/>
        <v>0</v>
      </c>
      <c r="I589" s="11">
        <f t="shared" ca="1" si="25"/>
        <v>46124</v>
      </c>
      <c r="J589" s="11">
        <f t="shared" ca="1" si="26"/>
        <v>46118</v>
      </c>
      <c r="K589" s="13"/>
    </row>
    <row r="590" spans="1:14" ht="18" x14ac:dyDescent="0.4">
      <c r="A590" s="93" t="s">
        <v>475</v>
      </c>
      <c r="B590" s="16" t="s">
        <v>552</v>
      </c>
      <c r="C590" s="8">
        <v>19414</v>
      </c>
      <c r="D590" s="9">
        <v>187519210</v>
      </c>
      <c r="E590" s="57">
        <v>400</v>
      </c>
      <c r="F590" s="10" t="s">
        <v>558</v>
      </c>
      <c r="G590" s="98">
        <v>0</v>
      </c>
      <c r="H590" s="9">
        <f t="shared" si="24"/>
        <v>0</v>
      </c>
      <c r="I590" s="11">
        <f t="shared" ca="1" si="25"/>
        <v>46124</v>
      </c>
      <c r="J590" s="11">
        <f t="shared" ca="1" si="26"/>
        <v>46118</v>
      </c>
      <c r="K590" s="13"/>
    </row>
    <row r="591" spans="1:14" ht="18" x14ac:dyDescent="0.4">
      <c r="A591" s="93" t="s">
        <v>475</v>
      </c>
      <c r="B591" s="16" t="s">
        <v>552</v>
      </c>
      <c r="C591" s="8">
        <v>19414</v>
      </c>
      <c r="D591" s="9">
        <v>187525210</v>
      </c>
      <c r="E591" s="57">
        <v>500</v>
      </c>
      <c r="F591" s="10" t="s">
        <v>559</v>
      </c>
      <c r="G591" s="98">
        <v>0</v>
      </c>
      <c r="H591" s="9">
        <f t="shared" si="24"/>
        <v>0</v>
      </c>
      <c r="I591" s="11">
        <f t="shared" ca="1" si="25"/>
        <v>46124</v>
      </c>
      <c r="J591" s="11">
        <f t="shared" ca="1" si="26"/>
        <v>46118</v>
      </c>
      <c r="K591" s="13"/>
    </row>
    <row r="592" spans="1:14" ht="18" x14ac:dyDescent="0.4">
      <c r="A592" s="93" t="s">
        <v>475</v>
      </c>
      <c r="B592" s="16" t="s">
        <v>552</v>
      </c>
      <c r="C592" s="8">
        <v>19414</v>
      </c>
      <c r="D592" s="9">
        <v>187527210</v>
      </c>
      <c r="E592" s="57">
        <v>500</v>
      </c>
      <c r="F592" s="10" t="s">
        <v>560</v>
      </c>
      <c r="G592" s="98">
        <v>0</v>
      </c>
      <c r="H592" s="9">
        <f t="shared" si="24"/>
        <v>0</v>
      </c>
      <c r="I592" s="11">
        <f t="shared" ca="1" si="25"/>
        <v>46124</v>
      </c>
      <c r="J592" s="11">
        <f t="shared" ca="1" si="26"/>
        <v>46118</v>
      </c>
      <c r="K592" s="13"/>
    </row>
    <row r="593" spans="1:11" ht="18" x14ac:dyDescent="0.4">
      <c r="A593" s="93" t="s">
        <v>475</v>
      </c>
      <c r="B593" s="16" t="s">
        <v>552</v>
      </c>
      <c r="C593" s="8">
        <v>19414</v>
      </c>
      <c r="D593" s="9">
        <v>187530210</v>
      </c>
      <c r="E593" s="57">
        <v>500</v>
      </c>
      <c r="F593" s="10" t="s">
        <v>561</v>
      </c>
      <c r="G593" s="98">
        <v>0</v>
      </c>
      <c r="H593" s="9">
        <f t="shared" si="24"/>
        <v>0</v>
      </c>
      <c r="I593" s="11">
        <f t="shared" ca="1" si="25"/>
        <v>46124</v>
      </c>
      <c r="J593" s="11">
        <f t="shared" ca="1" si="26"/>
        <v>46118</v>
      </c>
      <c r="K593" s="13"/>
    </row>
    <row r="594" spans="1:11" ht="18" x14ac:dyDescent="0.4">
      <c r="A594" s="93" t="s">
        <v>475</v>
      </c>
      <c r="B594" s="16" t="s">
        <v>552</v>
      </c>
      <c r="C594" s="8">
        <v>19414</v>
      </c>
      <c r="D594" s="9">
        <v>464555000</v>
      </c>
      <c r="E594" s="57">
        <v>250</v>
      </c>
      <c r="F594" s="10" t="s">
        <v>562</v>
      </c>
      <c r="G594" s="98">
        <v>0</v>
      </c>
      <c r="H594" s="9">
        <f t="shared" si="24"/>
        <v>0</v>
      </c>
      <c r="I594" s="11">
        <f t="shared" ca="1" si="25"/>
        <v>46124</v>
      </c>
      <c r="J594" s="11">
        <f t="shared" ca="1" si="26"/>
        <v>46118</v>
      </c>
      <c r="K594" s="13"/>
    </row>
    <row r="595" spans="1:11" ht="18" x14ac:dyDescent="0.4">
      <c r="A595" s="93" t="s">
        <v>475</v>
      </c>
      <c r="B595" s="16" t="s">
        <v>552</v>
      </c>
      <c r="C595" s="8">
        <v>19414</v>
      </c>
      <c r="D595" s="9">
        <v>43913530</v>
      </c>
      <c r="E595" s="57">
        <v>400</v>
      </c>
      <c r="F595" s="10" t="s">
        <v>563</v>
      </c>
      <c r="G595" s="98">
        <v>0</v>
      </c>
      <c r="H595" s="9">
        <f t="shared" si="24"/>
        <v>0</v>
      </c>
      <c r="I595" s="11">
        <f t="shared" ca="1" si="25"/>
        <v>46124</v>
      </c>
      <c r="J595" s="11">
        <f t="shared" ca="1" si="26"/>
        <v>46118</v>
      </c>
      <c r="K595" s="13"/>
    </row>
    <row r="596" spans="1:11" ht="18" x14ac:dyDescent="0.4">
      <c r="A596" s="93" t="s">
        <v>475</v>
      </c>
      <c r="B596" s="16" t="s">
        <v>552</v>
      </c>
      <c r="C596" s="8">
        <v>19414</v>
      </c>
      <c r="D596" s="9">
        <v>75754720</v>
      </c>
      <c r="E596" s="57">
        <v>1500</v>
      </c>
      <c r="F596" s="10" t="s">
        <v>564</v>
      </c>
      <c r="G596" s="98">
        <v>0</v>
      </c>
      <c r="H596" s="9">
        <f t="shared" si="24"/>
        <v>0</v>
      </c>
      <c r="I596" s="11">
        <f t="shared" ca="1" si="25"/>
        <v>46124</v>
      </c>
      <c r="J596" s="11">
        <f t="shared" ca="1" si="26"/>
        <v>46118</v>
      </c>
      <c r="K596" s="13"/>
    </row>
    <row r="597" spans="1:11" ht="18" x14ac:dyDescent="0.4">
      <c r="A597" s="93" t="s">
        <v>475</v>
      </c>
      <c r="B597" s="16" t="s">
        <v>552</v>
      </c>
      <c r="C597" s="8">
        <v>19414</v>
      </c>
      <c r="D597" s="9">
        <v>76648820</v>
      </c>
      <c r="E597" s="57">
        <v>300</v>
      </c>
      <c r="F597" s="10" t="s">
        <v>565</v>
      </c>
      <c r="G597" s="98">
        <v>0</v>
      </c>
      <c r="H597" s="9">
        <f t="shared" si="24"/>
        <v>0</v>
      </c>
      <c r="I597" s="11">
        <f t="shared" ca="1" si="25"/>
        <v>46124</v>
      </c>
      <c r="J597" s="11">
        <f t="shared" ca="1" si="26"/>
        <v>46118</v>
      </c>
      <c r="K597" s="13"/>
    </row>
    <row r="598" spans="1:11" ht="18" x14ac:dyDescent="0.4">
      <c r="A598" s="93" t="s">
        <v>475</v>
      </c>
      <c r="B598" s="16" t="s">
        <v>552</v>
      </c>
      <c r="C598" s="8">
        <v>19414</v>
      </c>
      <c r="D598" s="9">
        <v>162970240</v>
      </c>
      <c r="E598" s="57">
        <v>1200</v>
      </c>
      <c r="F598" s="10" t="s">
        <v>196</v>
      </c>
      <c r="G598" s="98">
        <v>0</v>
      </c>
      <c r="H598" s="9">
        <f t="shared" si="24"/>
        <v>0</v>
      </c>
      <c r="I598" s="11">
        <f t="shared" ca="1" si="25"/>
        <v>46124</v>
      </c>
      <c r="J598" s="11">
        <f t="shared" ca="1" si="26"/>
        <v>46118</v>
      </c>
      <c r="K598" s="13"/>
    </row>
    <row r="599" spans="1:11" ht="18" x14ac:dyDescent="0.4">
      <c r="A599" s="93" t="s">
        <v>475</v>
      </c>
      <c r="B599" s="7" t="s">
        <v>552</v>
      </c>
      <c r="C599" s="8">
        <v>19414</v>
      </c>
      <c r="D599" s="9">
        <v>552599580</v>
      </c>
      <c r="E599" s="57">
        <v>800</v>
      </c>
      <c r="F599" s="18" t="s">
        <v>566</v>
      </c>
      <c r="G599" s="98">
        <v>0</v>
      </c>
      <c r="H599" s="9">
        <f t="shared" si="24"/>
        <v>0</v>
      </c>
      <c r="I599" s="11">
        <f t="shared" ca="1" si="25"/>
        <v>46124</v>
      </c>
      <c r="J599" s="11">
        <f t="shared" ca="1" si="26"/>
        <v>46118</v>
      </c>
      <c r="K599" s="13"/>
    </row>
    <row r="600" spans="1:11" ht="18" x14ac:dyDescent="0.4">
      <c r="A600" s="93" t="s">
        <v>475</v>
      </c>
      <c r="B600" s="7" t="s">
        <v>552</v>
      </c>
      <c r="C600" s="8">
        <v>19414</v>
      </c>
      <c r="D600" s="9">
        <v>552599570</v>
      </c>
      <c r="E600" s="57">
        <v>1400</v>
      </c>
      <c r="F600" s="18" t="s">
        <v>566</v>
      </c>
      <c r="G600" s="98">
        <v>0</v>
      </c>
      <c r="H600" s="9">
        <f t="shared" si="24"/>
        <v>0</v>
      </c>
      <c r="I600" s="11">
        <f t="shared" ca="1" si="25"/>
        <v>46124</v>
      </c>
      <c r="J600" s="11">
        <f t="shared" ca="1" si="26"/>
        <v>46118</v>
      </c>
      <c r="K600" s="13"/>
    </row>
    <row r="601" spans="1:11" ht="18" x14ac:dyDescent="0.4">
      <c r="A601" s="93" t="s">
        <v>475</v>
      </c>
      <c r="B601" s="7" t="s">
        <v>567</v>
      </c>
      <c r="C601" s="8">
        <v>19271</v>
      </c>
      <c r="D601" s="9">
        <v>75810590</v>
      </c>
      <c r="E601" s="57">
        <v>900</v>
      </c>
      <c r="F601" s="18" t="s">
        <v>568</v>
      </c>
      <c r="G601" s="98">
        <v>0</v>
      </c>
      <c r="H601" s="9">
        <f t="shared" si="24"/>
        <v>0</v>
      </c>
      <c r="I601" s="11">
        <f t="shared" ca="1" si="25"/>
        <v>46124</v>
      </c>
      <c r="J601" s="11">
        <f t="shared" ca="1" si="26"/>
        <v>46118</v>
      </c>
      <c r="K601" s="13"/>
    </row>
    <row r="602" spans="1:11" ht="18" x14ac:dyDescent="0.4">
      <c r="A602" s="93" t="s">
        <v>475</v>
      </c>
      <c r="B602" s="7" t="s">
        <v>567</v>
      </c>
      <c r="C602" s="8">
        <v>19271</v>
      </c>
      <c r="D602" s="9">
        <v>465162750</v>
      </c>
      <c r="E602" s="57">
        <v>1620</v>
      </c>
      <c r="F602" s="18" t="s">
        <v>569</v>
      </c>
      <c r="G602" s="98">
        <v>0</v>
      </c>
      <c r="H602" s="9">
        <f t="shared" si="24"/>
        <v>0</v>
      </c>
      <c r="I602" s="11">
        <f t="shared" ca="1" si="25"/>
        <v>46124</v>
      </c>
      <c r="J602" s="11">
        <f t="shared" ca="1" si="26"/>
        <v>46118</v>
      </c>
      <c r="K602" s="13"/>
    </row>
    <row r="603" spans="1:11" ht="18" x14ac:dyDescent="0.4">
      <c r="A603" s="93" t="s">
        <v>475</v>
      </c>
      <c r="B603" s="7" t="s">
        <v>567</v>
      </c>
      <c r="C603" s="8">
        <v>19271</v>
      </c>
      <c r="D603" s="9">
        <v>468147230</v>
      </c>
      <c r="E603" s="57">
        <v>1600</v>
      </c>
      <c r="F603" s="18" t="s">
        <v>570</v>
      </c>
      <c r="G603" s="98">
        <v>0</v>
      </c>
      <c r="H603" s="9">
        <f t="shared" si="24"/>
        <v>0</v>
      </c>
      <c r="I603" s="11">
        <f t="shared" ca="1" si="25"/>
        <v>46124</v>
      </c>
      <c r="J603" s="11">
        <f t="shared" ca="1" si="26"/>
        <v>46118</v>
      </c>
      <c r="K603" s="13"/>
    </row>
    <row r="604" spans="1:11" ht="18" x14ac:dyDescent="0.4">
      <c r="A604" s="93" t="s">
        <v>475</v>
      </c>
      <c r="B604" s="7" t="s">
        <v>567</v>
      </c>
      <c r="C604" s="8">
        <v>19271</v>
      </c>
      <c r="D604" s="9">
        <v>552547090</v>
      </c>
      <c r="E604" s="57">
        <v>270</v>
      </c>
      <c r="F604" s="18" t="s">
        <v>571</v>
      </c>
      <c r="G604" s="98">
        <v>0</v>
      </c>
      <c r="H604" s="9">
        <f t="shared" si="24"/>
        <v>0</v>
      </c>
      <c r="I604" s="11">
        <f t="shared" ca="1" si="25"/>
        <v>46124</v>
      </c>
      <c r="J604" s="11">
        <f t="shared" ca="1" si="26"/>
        <v>46118</v>
      </c>
      <c r="K604" s="13"/>
    </row>
    <row r="605" spans="1:11" ht="18" x14ac:dyDescent="0.4">
      <c r="A605" s="93" t="s">
        <v>475</v>
      </c>
      <c r="B605" s="7" t="s">
        <v>567</v>
      </c>
      <c r="C605" s="8">
        <v>19271</v>
      </c>
      <c r="D605" s="9">
        <v>552551360</v>
      </c>
      <c r="E605" s="57">
        <v>360</v>
      </c>
      <c r="F605" s="18" t="s">
        <v>572</v>
      </c>
      <c r="G605" s="98">
        <v>0</v>
      </c>
      <c r="H605" s="9">
        <f t="shared" si="24"/>
        <v>0</v>
      </c>
      <c r="I605" s="11">
        <f t="shared" ca="1" si="25"/>
        <v>46124</v>
      </c>
      <c r="J605" s="11">
        <f t="shared" ca="1" si="26"/>
        <v>46118</v>
      </c>
      <c r="K605" s="13"/>
    </row>
    <row r="606" spans="1:11" ht="18" x14ac:dyDescent="0.4">
      <c r="A606" s="93" t="s">
        <v>475</v>
      </c>
      <c r="B606" s="7" t="s">
        <v>567</v>
      </c>
      <c r="C606" s="8">
        <v>19271</v>
      </c>
      <c r="D606" s="9">
        <v>735017020</v>
      </c>
      <c r="E606" s="57">
        <v>1440</v>
      </c>
      <c r="F606" s="18" t="s">
        <v>573</v>
      </c>
      <c r="G606" s="98">
        <v>0</v>
      </c>
      <c r="H606" s="9">
        <f t="shared" si="24"/>
        <v>0</v>
      </c>
      <c r="I606" s="11">
        <f t="shared" ca="1" si="25"/>
        <v>46124</v>
      </c>
      <c r="J606" s="11">
        <f t="shared" ca="1" si="26"/>
        <v>46118</v>
      </c>
      <c r="K606" s="13"/>
    </row>
    <row r="607" spans="1:11" ht="18" x14ac:dyDescent="0.4">
      <c r="A607" s="93" t="s">
        <v>475</v>
      </c>
      <c r="B607" s="7" t="s">
        <v>567</v>
      </c>
      <c r="C607" s="8">
        <v>19271</v>
      </c>
      <c r="D607" s="9">
        <v>552054650</v>
      </c>
      <c r="E607" s="57">
        <v>1440</v>
      </c>
      <c r="F607" s="18" t="s">
        <v>574</v>
      </c>
      <c r="G607" s="98">
        <v>0</v>
      </c>
      <c r="H607" s="9">
        <f t="shared" si="24"/>
        <v>0</v>
      </c>
      <c r="I607" s="11">
        <f t="shared" ca="1" si="25"/>
        <v>46124</v>
      </c>
      <c r="J607" s="11">
        <f t="shared" ca="1" si="26"/>
        <v>46118</v>
      </c>
      <c r="K607" s="13"/>
    </row>
    <row r="608" spans="1:11" ht="18" x14ac:dyDescent="0.4">
      <c r="A608" s="93" t="s">
        <v>475</v>
      </c>
      <c r="B608" s="16" t="s">
        <v>567</v>
      </c>
      <c r="C608" s="8">
        <v>19271</v>
      </c>
      <c r="D608" s="9">
        <v>463409620</v>
      </c>
      <c r="E608" s="57">
        <v>360</v>
      </c>
      <c r="F608" s="10" t="s">
        <v>572</v>
      </c>
      <c r="G608" s="98">
        <v>0</v>
      </c>
      <c r="H608" s="9">
        <f t="shared" si="24"/>
        <v>0</v>
      </c>
      <c r="I608" s="11">
        <f t="shared" ca="1" si="25"/>
        <v>46124</v>
      </c>
      <c r="J608" s="11">
        <f t="shared" ca="1" si="26"/>
        <v>46118</v>
      </c>
      <c r="K608" s="13"/>
    </row>
    <row r="609" spans="1:11" ht="18" x14ac:dyDescent="0.4">
      <c r="A609" s="93" t="s">
        <v>475</v>
      </c>
      <c r="B609" s="16" t="s">
        <v>567</v>
      </c>
      <c r="C609" s="8">
        <v>19271</v>
      </c>
      <c r="D609" s="9">
        <v>463409610</v>
      </c>
      <c r="E609" s="57">
        <v>360</v>
      </c>
      <c r="F609" s="10" t="s">
        <v>575</v>
      </c>
      <c r="G609" s="98">
        <v>0</v>
      </c>
      <c r="H609" s="9">
        <f t="shared" si="24"/>
        <v>0</v>
      </c>
      <c r="I609" s="11">
        <f t="shared" ca="1" si="25"/>
        <v>46124</v>
      </c>
      <c r="J609" s="11">
        <f t="shared" ca="1" si="26"/>
        <v>46118</v>
      </c>
      <c r="K609" s="13"/>
    </row>
    <row r="610" spans="1:11" ht="18" x14ac:dyDescent="0.4">
      <c r="A610" s="93" t="s">
        <v>475</v>
      </c>
      <c r="B610" s="16" t="s">
        <v>576</v>
      </c>
      <c r="C610" s="8">
        <v>19807</v>
      </c>
      <c r="D610" s="9">
        <v>552594720</v>
      </c>
      <c r="E610" s="57">
        <v>900</v>
      </c>
      <c r="F610" s="10" t="s">
        <v>577</v>
      </c>
      <c r="G610" s="98">
        <v>0</v>
      </c>
      <c r="H610" s="9">
        <f t="shared" si="24"/>
        <v>0</v>
      </c>
      <c r="I610" s="11">
        <f t="shared" ca="1" si="25"/>
        <v>46124</v>
      </c>
      <c r="J610" s="11">
        <f t="shared" ca="1" si="26"/>
        <v>46118</v>
      </c>
      <c r="K610" s="13"/>
    </row>
    <row r="611" spans="1:11" ht="18" x14ac:dyDescent="0.4">
      <c r="A611" s="93" t="s">
        <v>475</v>
      </c>
      <c r="B611" s="16" t="s">
        <v>576</v>
      </c>
      <c r="C611" s="8">
        <v>19807</v>
      </c>
      <c r="D611" s="9">
        <v>552594730</v>
      </c>
      <c r="E611" s="57">
        <v>900</v>
      </c>
      <c r="F611" s="10" t="s">
        <v>578</v>
      </c>
      <c r="G611" s="98">
        <v>0</v>
      </c>
      <c r="H611" s="9">
        <f t="shared" si="24"/>
        <v>0</v>
      </c>
      <c r="I611" s="11">
        <f t="shared" ca="1" si="25"/>
        <v>46124</v>
      </c>
      <c r="J611" s="11">
        <f t="shared" ca="1" si="26"/>
        <v>46118</v>
      </c>
      <c r="K611" s="13"/>
    </row>
    <row r="612" spans="1:11" ht="18" x14ac:dyDescent="0.4">
      <c r="A612" s="93" t="s">
        <v>475</v>
      </c>
      <c r="B612" s="16" t="s">
        <v>576</v>
      </c>
      <c r="C612" s="8">
        <v>19807</v>
      </c>
      <c r="D612" s="9">
        <v>468209930</v>
      </c>
      <c r="E612" s="57">
        <v>900</v>
      </c>
      <c r="F612" s="10" t="s">
        <v>579</v>
      </c>
      <c r="G612" s="98">
        <v>0</v>
      </c>
      <c r="H612" s="9">
        <f t="shared" si="24"/>
        <v>0</v>
      </c>
      <c r="I612" s="11">
        <f t="shared" ca="1" si="25"/>
        <v>46124</v>
      </c>
      <c r="J612" s="11">
        <f t="shared" ca="1" si="26"/>
        <v>46118</v>
      </c>
      <c r="K612" s="13"/>
    </row>
    <row r="613" spans="1:11" ht="18" x14ac:dyDescent="0.4">
      <c r="A613" s="93" t="s">
        <v>475</v>
      </c>
      <c r="B613" s="16" t="s">
        <v>576</v>
      </c>
      <c r="C613" s="8">
        <v>19807</v>
      </c>
      <c r="D613" s="9">
        <v>468209950</v>
      </c>
      <c r="E613" s="57">
        <v>900</v>
      </c>
      <c r="F613" s="10" t="s">
        <v>580</v>
      </c>
      <c r="G613" s="98">
        <v>0</v>
      </c>
      <c r="H613" s="9">
        <f t="shared" si="24"/>
        <v>0</v>
      </c>
      <c r="I613" s="11">
        <f t="shared" ca="1" si="25"/>
        <v>46124</v>
      </c>
      <c r="J613" s="11">
        <f t="shared" ca="1" si="26"/>
        <v>46118</v>
      </c>
      <c r="K613" s="13"/>
    </row>
    <row r="614" spans="1:11" ht="18" x14ac:dyDescent="0.4">
      <c r="A614" s="93" t="s">
        <v>475</v>
      </c>
      <c r="B614" s="16" t="s">
        <v>372</v>
      </c>
      <c r="C614" s="8">
        <v>27951</v>
      </c>
      <c r="D614" s="9">
        <v>76779780</v>
      </c>
      <c r="E614" s="57">
        <v>300</v>
      </c>
      <c r="F614" s="10" t="s">
        <v>553</v>
      </c>
      <c r="G614" s="98">
        <v>0</v>
      </c>
      <c r="H614" s="9">
        <f t="shared" si="24"/>
        <v>0</v>
      </c>
      <c r="I614" s="11">
        <f t="shared" ca="1" si="25"/>
        <v>46124</v>
      </c>
      <c r="J614" s="11">
        <f t="shared" ca="1" si="26"/>
        <v>46118</v>
      </c>
      <c r="K614" s="13" t="s">
        <v>735</v>
      </c>
    </row>
    <row r="615" spans="1:11" ht="18" x14ac:dyDescent="0.4">
      <c r="A615" s="93" t="s">
        <v>475</v>
      </c>
      <c r="B615" s="16" t="s">
        <v>372</v>
      </c>
      <c r="C615" s="8">
        <v>27951</v>
      </c>
      <c r="D615" s="9">
        <v>187538210</v>
      </c>
      <c r="E615" s="57">
        <v>180</v>
      </c>
      <c r="F615" s="10" t="s">
        <v>581</v>
      </c>
      <c r="G615" s="98">
        <v>0</v>
      </c>
      <c r="H615" s="9">
        <f t="shared" si="24"/>
        <v>0</v>
      </c>
      <c r="I615" s="11">
        <f t="shared" ca="1" si="25"/>
        <v>46124</v>
      </c>
      <c r="J615" s="11">
        <f t="shared" ca="1" si="26"/>
        <v>46118</v>
      </c>
      <c r="K615" s="13" t="s">
        <v>735</v>
      </c>
    </row>
    <row r="616" spans="1:11" ht="18" x14ac:dyDescent="0.4">
      <c r="A616" s="93" t="s">
        <v>475</v>
      </c>
      <c r="B616" s="16" t="s">
        <v>372</v>
      </c>
      <c r="C616" s="8">
        <v>27951</v>
      </c>
      <c r="D616" s="9">
        <v>463436280</v>
      </c>
      <c r="E616" s="57">
        <v>600</v>
      </c>
      <c r="F616" s="10" t="s">
        <v>582</v>
      </c>
      <c r="G616" s="98">
        <v>0</v>
      </c>
      <c r="H616" s="9">
        <f t="shared" si="24"/>
        <v>0</v>
      </c>
      <c r="I616" s="11">
        <f t="shared" ca="1" si="25"/>
        <v>46124</v>
      </c>
      <c r="J616" s="11">
        <f t="shared" ca="1" si="26"/>
        <v>46118</v>
      </c>
      <c r="K616" s="13" t="s">
        <v>735</v>
      </c>
    </row>
    <row r="617" spans="1:11" ht="18" x14ac:dyDescent="0.4">
      <c r="A617" s="93" t="s">
        <v>475</v>
      </c>
      <c r="B617" s="16" t="s">
        <v>377</v>
      </c>
      <c r="C617" s="8">
        <v>36019</v>
      </c>
      <c r="D617" s="9">
        <v>160504340</v>
      </c>
      <c r="E617" s="57">
        <v>400</v>
      </c>
      <c r="F617" s="10" t="s">
        <v>583</v>
      </c>
      <c r="G617" s="98">
        <v>0</v>
      </c>
      <c r="H617" s="9">
        <f t="shared" si="24"/>
        <v>0</v>
      </c>
      <c r="I617" s="11">
        <f t="shared" ca="1" si="25"/>
        <v>46124</v>
      </c>
      <c r="J617" s="11">
        <f t="shared" ca="1" si="26"/>
        <v>46118</v>
      </c>
      <c r="K617" s="13"/>
    </row>
    <row r="618" spans="1:11" ht="18" x14ac:dyDescent="0.4">
      <c r="A618" s="93" t="s">
        <v>475</v>
      </c>
      <c r="B618" s="16" t="s">
        <v>377</v>
      </c>
      <c r="C618" s="8">
        <v>36019</v>
      </c>
      <c r="D618" s="9">
        <v>468130270</v>
      </c>
      <c r="E618" s="57">
        <v>1200</v>
      </c>
      <c r="F618" s="10" t="s">
        <v>584</v>
      </c>
      <c r="G618" s="98">
        <v>0</v>
      </c>
      <c r="H618" s="9">
        <f t="shared" si="24"/>
        <v>0</v>
      </c>
      <c r="I618" s="11">
        <f t="shared" ca="1" si="25"/>
        <v>46124</v>
      </c>
      <c r="J618" s="11">
        <f t="shared" ca="1" si="26"/>
        <v>46118</v>
      </c>
      <c r="K618" s="13"/>
    </row>
    <row r="619" spans="1:11" ht="18" x14ac:dyDescent="0.4">
      <c r="A619" s="93" t="s">
        <v>475</v>
      </c>
      <c r="B619" s="16" t="s">
        <v>585</v>
      </c>
      <c r="C619" s="8">
        <v>10429</v>
      </c>
      <c r="D619" s="9">
        <v>467670560</v>
      </c>
      <c r="E619" s="57">
        <v>1152</v>
      </c>
      <c r="F619" s="10" t="s">
        <v>586</v>
      </c>
      <c r="G619" s="98">
        <v>0</v>
      </c>
      <c r="H619" s="9">
        <f t="shared" si="24"/>
        <v>0</v>
      </c>
      <c r="I619" s="11">
        <f t="shared" ca="1" si="25"/>
        <v>46124</v>
      </c>
      <c r="J619" s="11">
        <f t="shared" ca="1" si="26"/>
        <v>46118</v>
      </c>
      <c r="K619" s="13"/>
    </row>
    <row r="620" spans="1:11" ht="18" x14ac:dyDescent="0.4">
      <c r="A620" s="93" t="s">
        <v>475</v>
      </c>
      <c r="B620" s="16" t="s">
        <v>585</v>
      </c>
      <c r="C620" s="8">
        <v>10429</v>
      </c>
      <c r="D620" s="9">
        <v>467689270</v>
      </c>
      <c r="E620" s="57">
        <v>1440</v>
      </c>
      <c r="F620" s="10" t="s">
        <v>587</v>
      </c>
      <c r="G620" s="98">
        <v>0</v>
      </c>
      <c r="H620" s="9">
        <f t="shared" si="24"/>
        <v>0</v>
      </c>
      <c r="I620" s="11">
        <f t="shared" ca="1" si="25"/>
        <v>46124</v>
      </c>
      <c r="J620" s="11">
        <f t="shared" ca="1" si="26"/>
        <v>46118</v>
      </c>
      <c r="K620" s="13"/>
    </row>
    <row r="621" spans="1:11" ht="18" x14ac:dyDescent="0.4">
      <c r="A621" s="93" t="s">
        <v>475</v>
      </c>
      <c r="B621" s="16" t="s">
        <v>585</v>
      </c>
      <c r="C621" s="8">
        <v>10429</v>
      </c>
      <c r="D621" s="9">
        <v>467761970</v>
      </c>
      <c r="E621" s="57">
        <v>1200</v>
      </c>
      <c r="F621" s="10" t="s">
        <v>588</v>
      </c>
      <c r="G621" s="98">
        <v>0</v>
      </c>
      <c r="H621" s="9">
        <f t="shared" si="24"/>
        <v>0</v>
      </c>
      <c r="I621" s="11">
        <f t="shared" ca="1" si="25"/>
        <v>46124</v>
      </c>
      <c r="J621" s="11">
        <f t="shared" ca="1" si="26"/>
        <v>46118</v>
      </c>
      <c r="K621" s="13"/>
    </row>
    <row r="622" spans="1:11" ht="18" x14ac:dyDescent="0.4">
      <c r="A622" s="93" t="s">
        <v>475</v>
      </c>
      <c r="B622" s="16" t="s">
        <v>585</v>
      </c>
      <c r="C622" s="8">
        <v>10429</v>
      </c>
      <c r="D622" s="9">
        <v>467761990</v>
      </c>
      <c r="E622" s="57">
        <v>864</v>
      </c>
      <c r="F622" s="10" t="s">
        <v>589</v>
      </c>
      <c r="G622" s="98">
        <v>0</v>
      </c>
      <c r="H622" s="9">
        <f t="shared" si="24"/>
        <v>0</v>
      </c>
      <c r="I622" s="11">
        <f t="shared" ca="1" si="25"/>
        <v>46124</v>
      </c>
      <c r="J622" s="11">
        <f t="shared" ca="1" si="26"/>
        <v>46118</v>
      </c>
      <c r="K622" s="13"/>
    </row>
    <row r="623" spans="1:11" ht="18" x14ac:dyDescent="0.4">
      <c r="A623" s="93" t="s">
        <v>475</v>
      </c>
      <c r="B623" s="16" t="s">
        <v>585</v>
      </c>
      <c r="C623" s="8">
        <v>10429</v>
      </c>
      <c r="D623" s="9">
        <v>552597100</v>
      </c>
      <c r="E623" s="57">
        <v>1152</v>
      </c>
      <c r="F623" s="10" t="s">
        <v>590</v>
      </c>
      <c r="G623" s="98">
        <v>0</v>
      </c>
      <c r="H623" s="9">
        <f t="shared" si="24"/>
        <v>0</v>
      </c>
      <c r="I623" s="11">
        <f t="shared" ca="1" si="25"/>
        <v>46124</v>
      </c>
      <c r="J623" s="11">
        <f t="shared" ca="1" si="26"/>
        <v>46118</v>
      </c>
      <c r="K623" s="13"/>
    </row>
    <row r="624" spans="1:11" ht="18" x14ac:dyDescent="0.4">
      <c r="A624" s="93" t="s">
        <v>475</v>
      </c>
      <c r="B624" s="16" t="s">
        <v>591</v>
      </c>
      <c r="C624" s="8">
        <v>43749</v>
      </c>
      <c r="D624" s="9">
        <v>400047600</v>
      </c>
      <c r="E624" s="57">
        <v>480</v>
      </c>
      <c r="F624" s="10" t="s">
        <v>592</v>
      </c>
      <c r="G624" s="98">
        <v>0</v>
      </c>
      <c r="H624" s="9">
        <f t="shared" si="24"/>
        <v>0</v>
      </c>
      <c r="I624" s="11">
        <f t="shared" ca="1" si="25"/>
        <v>46124</v>
      </c>
      <c r="J624" s="11">
        <f t="shared" ca="1" si="26"/>
        <v>46118</v>
      </c>
      <c r="K624" s="13"/>
    </row>
    <row r="625" spans="1:11" ht="18" x14ac:dyDescent="0.4">
      <c r="A625" s="93" t="s">
        <v>475</v>
      </c>
      <c r="B625" s="16" t="s">
        <v>591</v>
      </c>
      <c r="C625" s="8">
        <v>43749</v>
      </c>
      <c r="D625" s="9">
        <v>400048200</v>
      </c>
      <c r="E625" s="57">
        <v>780</v>
      </c>
      <c r="F625" s="10" t="s">
        <v>593</v>
      </c>
      <c r="G625" s="98">
        <v>0</v>
      </c>
      <c r="H625" s="9">
        <f t="shared" si="24"/>
        <v>0</v>
      </c>
      <c r="I625" s="11">
        <f t="shared" ca="1" si="25"/>
        <v>46124</v>
      </c>
      <c r="J625" s="11">
        <f t="shared" ca="1" si="26"/>
        <v>46118</v>
      </c>
      <c r="K625" s="13"/>
    </row>
    <row r="626" spans="1:11" ht="18" x14ac:dyDescent="0.4">
      <c r="A626" s="93" t="s">
        <v>475</v>
      </c>
      <c r="B626" s="16" t="s">
        <v>594</v>
      </c>
      <c r="C626" s="8">
        <v>31107</v>
      </c>
      <c r="D626" s="9">
        <v>552600330</v>
      </c>
      <c r="E626" s="57">
        <v>2700</v>
      </c>
      <c r="F626" s="10" t="s">
        <v>595</v>
      </c>
      <c r="G626" s="98">
        <v>0</v>
      </c>
      <c r="H626" s="9">
        <f t="shared" si="24"/>
        <v>0</v>
      </c>
      <c r="I626" s="11">
        <f t="shared" ca="1" si="25"/>
        <v>46124</v>
      </c>
      <c r="J626" s="11">
        <f t="shared" ca="1" si="26"/>
        <v>46118</v>
      </c>
      <c r="K626" s="13"/>
    </row>
    <row r="627" spans="1:11" ht="18" x14ac:dyDescent="0.4">
      <c r="A627" s="93" t="s">
        <v>475</v>
      </c>
      <c r="B627" s="16" t="s">
        <v>596</v>
      </c>
      <c r="C627" s="8">
        <v>33301</v>
      </c>
      <c r="D627" s="9">
        <v>552294200</v>
      </c>
      <c r="E627" s="57">
        <v>240</v>
      </c>
      <c r="F627" s="10" t="s">
        <v>597</v>
      </c>
      <c r="G627" s="98">
        <v>0</v>
      </c>
      <c r="H627" s="9">
        <f t="shared" ref="H627:H690" si="27">G627/E627</f>
        <v>0</v>
      </c>
      <c r="I627" s="11">
        <f t="shared" ca="1" si="25"/>
        <v>46124</v>
      </c>
      <c r="J627" s="11">
        <f t="shared" ca="1" si="26"/>
        <v>46118</v>
      </c>
      <c r="K627" s="13"/>
    </row>
    <row r="628" spans="1:11" ht="18" x14ac:dyDescent="0.4">
      <c r="A628" s="93" t="s">
        <v>475</v>
      </c>
      <c r="B628" s="16" t="s">
        <v>596</v>
      </c>
      <c r="C628" s="8">
        <v>33301</v>
      </c>
      <c r="D628" s="9">
        <v>552340160</v>
      </c>
      <c r="E628" s="57">
        <v>240</v>
      </c>
      <c r="F628" s="10" t="s">
        <v>598</v>
      </c>
      <c r="G628" s="98">
        <v>0</v>
      </c>
      <c r="H628" s="9">
        <f t="shared" si="27"/>
        <v>0</v>
      </c>
      <c r="I628" s="11">
        <f t="shared" ca="1" si="25"/>
        <v>46124</v>
      </c>
      <c r="J628" s="11">
        <f t="shared" ca="1" si="26"/>
        <v>46118</v>
      </c>
      <c r="K628" s="13"/>
    </row>
    <row r="629" spans="1:11" ht="18" x14ac:dyDescent="0.4">
      <c r="A629" s="93" t="s">
        <v>475</v>
      </c>
      <c r="B629" s="16" t="s">
        <v>414</v>
      </c>
      <c r="C629" s="8">
        <v>21570</v>
      </c>
      <c r="D629" s="9">
        <v>552826500</v>
      </c>
      <c r="E629" s="57">
        <v>900</v>
      </c>
      <c r="F629" s="10" t="s">
        <v>599</v>
      </c>
      <c r="G629" s="98">
        <v>0</v>
      </c>
      <c r="H629" s="9">
        <f t="shared" si="27"/>
        <v>0</v>
      </c>
      <c r="I629" s="11">
        <f t="shared" ca="1" si="25"/>
        <v>46124</v>
      </c>
      <c r="J629" s="11">
        <f t="shared" ca="1" si="26"/>
        <v>46118</v>
      </c>
      <c r="K629" s="13"/>
    </row>
    <row r="630" spans="1:11" ht="18" x14ac:dyDescent="0.4">
      <c r="A630" s="93" t="s">
        <v>475</v>
      </c>
      <c r="B630" s="16" t="s">
        <v>414</v>
      </c>
      <c r="C630" s="8">
        <v>21570</v>
      </c>
      <c r="D630" s="9">
        <v>552826470</v>
      </c>
      <c r="E630" s="57">
        <v>1500</v>
      </c>
      <c r="F630" s="10" t="s">
        <v>600</v>
      </c>
      <c r="G630" s="98">
        <v>0</v>
      </c>
      <c r="H630" s="9">
        <f t="shared" si="27"/>
        <v>0</v>
      </c>
      <c r="I630" s="11">
        <f t="shared" ca="1" si="25"/>
        <v>46124</v>
      </c>
      <c r="J630" s="11">
        <f t="shared" ca="1" si="26"/>
        <v>46118</v>
      </c>
      <c r="K630" s="13"/>
    </row>
    <row r="631" spans="1:11" ht="18" x14ac:dyDescent="0.4">
      <c r="A631" s="93" t="s">
        <v>475</v>
      </c>
      <c r="B631" s="16" t="s">
        <v>414</v>
      </c>
      <c r="C631" s="8">
        <v>21570</v>
      </c>
      <c r="D631" s="9">
        <v>552826490</v>
      </c>
      <c r="E631" s="57">
        <v>200</v>
      </c>
      <c r="F631" s="10" t="s">
        <v>601</v>
      </c>
      <c r="G631" s="98">
        <v>0</v>
      </c>
      <c r="H631" s="9">
        <f t="shared" si="27"/>
        <v>0</v>
      </c>
      <c r="I631" s="11">
        <f t="shared" ca="1" si="25"/>
        <v>46124</v>
      </c>
      <c r="J631" s="11">
        <f t="shared" ca="1" si="26"/>
        <v>46118</v>
      </c>
      <c r="K631" s="13"/>
    </row>
    <row r="632" spans="1:11" ht="18" x14ac:dyDescent="0.4">
      <c r="A632" s="93" t="s">
        <v>475</v>
      </c>
      <c r="B632" s="16" t="s">
        <v>414</v>
      </c>
      <c r="C632" s="8">
        <v>21570</v>
      </c>
      <c r="D632" s="9">
        <v>552826480</v>
      </c>
      <c r="E632" s="57">
        <v>200</v>
      </c>
      <c r="F632" s="10" t="s">
        <v>602</v>
      </c>
      <c r="G632" s="98">
        <v>0</v>
      </c>
      <c r="H632" s="9">
        <f t="shared" si="27"/>
        <v>0</v>
      </c>
      <c r="I632" s="11">
        <f t="shared" ca="1" si="25"/>
        <v>46124</v>
      </c>
      <c r="J632" s="11">
        <f t="shared" ca="1" si="26"/>
        <v>46118</v>
      </c>
      <c r="K632" s="13"/>
    </row>
    <row r="633" spans="1:11" ht="18" x14ac:dyDescent="0.4">
      <c r="A633" s="93" t="s">
        <v>475</v>
      </c>
      <c r="B633" s="16" t="s">
        <v>439</v>
      </c>
      <c r="C633" s="8">
        <v>40840</v>
      </c>
      <c r="D633" s="9">
        <v>187521210</v>
      </c>
      <c r="E633" s="57">
        <v>900</v>
      </c>
      <c r="F633" s="10" t="s">
        <v>312</v>
      </c>
      <c r="G633" s="98">
        <v>0</v>
      </c>
      <c r="H633" s="9">
        <f t="shared" si="27"/>
        <v>0</v>
      </c>
      <c r="I633" s="11">
        <f t="shared" ref="I633:I696" ca="1" si="28">I632</f>
        <v>46124</v>
      </c>
      <c r="J633" s="11">
        <f t="shared" ca="1" si="26"/>
        <v>46118</v>
      </c>
      <c r="K633" s="13"/>
    </row>
    <row r="634" spans="1:11" ht="18" x14ac:dyDescent="0.4">
      <c r="A634" s="93" t="s">
        <v>475</v>
      </c>
      <c r="B634" s="16" t="s">
        <v>439</v>
      </c>
      <c r="C634" s="8">
        <v>40840</v>
      </c>
      <c r="D634" s="9">
        <v>187543240</v>
      </c>
      <c r="E634" s="57">
        <v>400</v>
      </c>
      <c r="F634" s="10" t="s">
        <v>565</v>
      </c>
      <c r="G634" s="98">
        <v>0</v>
      </c>
      <c r="H634" s="9">
        <f t="shared" si="27"/>
        <v>0</v>
      </c>
      <c r="I634" s="11">
        <f ca="1">I633</f>
        <v>46124</v>
      </c>
      <c r="J634" s="11">
        <f t="shared" ca="1" si="26"/>
        <v>46118</v>
      </c>
      <c r="K634" s="13"/>
    </row>
    <row r="635" spans="1:11" ht="18" x14ac:dyDescent="0.4">
      <c r="A635" s="93" t="s">
        <v>475</v>
      </c>
      <c r="B635" s="16" t="s">
        <v>439</v>
      </c>
      <c r="C635" s="8">
        <v>40840</v>
      </c>
      <c r="D635" s="9">
        <v>187532210</v>
      </c>
      <c r="E635" s="57">
        <v>350</v>
      </c>
      <c r="F635" s="10" t="s">
        <v>603</v>
      </c>
      <c r="G635" s="98">
        <v>0</v>
      </c>
      <c r="H635" s="9">
        <f t="shared" si="27"/>
        <v>0</v>
      </c>
      <c r="I635" s="11">
        <f t="shared" ca="1" si="28"/>
        <v>46124</v>
      </c>
      <c r="J635" s="11">
        <f t="shared" ca="1" si="26"/>
        <v>46118</v>
      </c>
      <c r="K635" s="13"/>
    </row>
    <row r="636" spans="1:11" ht="18" x14ac:dyDescent="0.4">
      <c r="A636" s="93" t="s">
        <v>475</v>
      </c>
      <c r="B636" s="16" t="s">
        <v>439</v>
      </c>
      <c r="C636" s="8">
        <v>40840</v>
      </c>
      <c r="D636" s="9">
        <v>109026210</v>
      </c>
      <c r="E636" s="57">
        <v>1500</v>
      </c>
      <c r="F636" s="10" t="s">
        <v>604</v>
      </c>
      <c r="G636" s="98">
        <v>0</v>
      </c>
      <c r="H636" s="9">
        <f t="shared" si="27"/>
        <v>0</v>
      </c>
      <c r="I636" s="11">
        <f t="shared" ca="1" si="28"/>
        <v>46124</v>
      </c>
      <c r="J636" s="11">
        <f t="shared" ca="1" si="26"/>
        <v>46118</v>
      </c>
      <c r="K636" s="13"/>
    </row>
    <row r="637" spans="1:11" ht="18" x14ac:dyDescent="0.4">
      <c r="A637" s="93" t="s">
        <v>475</v>
      </c>
      <c r="B637" s="16" t="s">
        <v>439</v>
      </c>
      <c r="C637" s="8">
        <v>40840</v>
      </c>
      <c r="D637" s="9">
        <v>162860210</v>
      </c>
      <c r="E637" s="57">
        <v>1750</v>
      </c>
      <c r="F637" s="10" t="s">
        <v>605</v>
      </c>
      <c r="G637" s="98">
        <v>0</v>
      </c>
      <c r="H637" s="9">
        <f t="shared" si="27"/>
        <v>0</v>
      </c>
      <c r="I637" s="11">
        <f t="shared" ca="1" si="28"/>
        <v>46124</v>
      </c>
      <c r="J637" s="11">
        <f t="shared" ca="1" si="26"/>
        <v>46118</v>
      </c>
      <c r="K637" s="13"/>
    </row>
    <row r="638" spans="1:11" ht="18" x14ac:dyDescent="0.4">
      <c r="A638" s="93" t="s">
        <v>475</v>
      </c>
      <c r="B638" s="16" t="s">
        <v>606</v>
      </c>
      <c r="C638" s="8">
        <v>23480</v>
      </c>
      <c r="D638" s="9">
        <v>43283640</v>
      </c>
      <c r="E638" s="57">
        <v>2000</v>
      </c>
      <c r="F638" s="10" t="s">
        <v>607</v>
      </c>
      <c r="G638" s="98">
        <v>0</v>
      </c>
      <c r="H638" s="9">
        <f t="shared" si="27"/>
        <v>0</v>
      </c>
      <c r="I638" s="11">
        <f t="shared" ca="1" si="28"/>
        <v>46124</v>
      </c>
      <c r="J638" s="11">
        <f t="shared" ca="1" si="26"/>
        <v>46118</v>
      </c>
      <c r="K638" s="13"/>
    </row>
    <row r="639" spans="1:11" ht="18" x14ac:dyDescent="0.4">
      <c r="A639" s="93" t="s">
        <v>475</v>
      </c>
      <c r="B639" s="16" t="s">
        <v>606</v>
      </c>
      <c r="C639" s="8">
        <v>23480</v>
      </c>
      <c r="D639" s="9">
        <v>75395980</v>
      </c>
      <c r="E639" s="57">
        <v>4000</v>
      </c>
      <c r="F639" s="10" t="s">
        <v>608</v>
      </c>
      <c r="G639" s="98">
        <v>0</v>
      </c>
      <c r="H639" s="9">
        <f t="shared" si="27"/>
        <v>0</v>
      </c>
      <c r="I639" s="11">
        <f t="shared" ca="1" si="28"/>
        <v>46124</v>
      </c>
      <c r="J639" s="11">
        <f t="shared" ca="1" si="26"/>
        <v>46118</v>
      </c>
      <c r="K639" s="13"/>
    </row>
    <row r="640" spans="1:11" ht="18" x14ac:dyDescent="0.4">
      <c r="A640" s="93" t="s">
        <v>475</v>
      </c>
      <c r="B640" s="7" t="s">
        <v>606</v>
      </c>
      <c r="C640" s="8">
        <v>23480</v>
      </c>
      <c r="D640" s="9">
        <v>144557800</v>
      </c>
      <c r="E640" s="57">
        <v>1000</v>
      </c>
      <c r="F640" s="10" t="s">
        <v>609</v>
      </c>
      <c r="G640" s="98">
        <v>0</v>
      </c>
      <c r="H640" s="9">
        <f t="shared" si="27"/>
        <v>0</v>
      </c>
      <c r="I640" s="11">
        <f t="shared" ca="1" si="28"/>
        <v>46124</v>
      </c>
      <c r="J640" s="11">
        <f t="shared" ca="1" si="26"/>
        <v>46118</v>
      </c>
      <c r="K640" s="13"/>
    </row>
    <row r="641" spans="1:11" ht="18" x14ac:dyDescent="0.4">
      <c r="A641" s="93" t="s">
        <v>475</v>
      </c>
      <c r="B641" s="16" t="s">
        <v>606</v>
      </c>
      <c r="C641" s="8">
        <v>23480</v>
      </c>
      <c r="D641" s="9">
        <v>500080480</v>
      </c>
      <c r="E641" s="57">
        <v>3000</v>
      </c>
      <c r="F641" s="10" t="s">
        <v>610</v>
      </c>
      <c r="G641" s="98">
        <v>0</v>
      </c>
      <c r="H641" s="9">
        <f t="shared" si="27"/>
        <v>0</v>
      </c>
      <c r="I641" s="11">
        <f t="shared" ca="1" si="28"/>
        <v>46124</v>
      </c>
      <c r="J641" s="11">
        <f t="shared" ca="1" si="26"/>
        <v>46118</v>
      </c>
      <c r="K641" s="13"/>
    </row>
    <row r="642" spans="1:11" ht="18" x14ac:dyDescent="0.4">
      <c r="A642" s="93" t="s">
        <v>475</v>
      </c>
      <c r="B642" s="16" t="s">
        <v>611</v>
      </c>
      <c r="C642" s="8">
        <v>42998</v>
      </c>
      <c r="D642" s="9">
        <v>463545200</v>
      </c>
      <c r="E642" s="57">
        <v>600</v>
      </c>
      <c r="F642" s="10" t="s">
        <v>612</v>
      </c>
      <c r="G642" s="98">
        <v>0</v>
      </c>
      <c r="H642" s="9">
        <f t="shared" si="27"/>
        <v>0</v>
      </c>
      <c r="I642" s="11">
        <f t="shared" ca="1" si="28"/>
        <v>46124</v>
      </c>
      <c r="J642" s="11">
        <f t="shared" ca="1" si="26"/>
        <v>46118</v>
      </c>
      <c r="K642" s="13"/>
    </row>
    <row r="643" spans="1:11" ht="18" x14ac:dyDescent="0.4">
      <c r="A643" s="93" t="s">
        <v>475</v>
      </c>
      <c r="B643" s="16" t="s">
        <v>473</v>
      </c>
      <c r="C643" s="8">
        <v>31775</v>
      </c>
      <c r="D643" s="9">
        <v>552597070</v>
      </c>
      <c r="E643" s="57">
        <v>900</v>
      </c>
      <c r="F643" s="10" t="s">
        <v>613</v>
      </c>
      <c r="G643" s="98">
        <v>0</v>
      </c>
      <c r="H643" s="9">
        <f t="shared" si="27"/>
        <v>0</v>
      </c>
      <c r="I643" s="11">
        <f t="shared" ca="1" si="28"/>
        <v>46124</v>
      </c>
      <c r="J643" s="11">
        <f t="shared" ca="1" si="26"/>
        <v>46118</v>
      </c>
      <c r="K643" s="13"/>
    </row>
    <row r="644" spans="1:11" ht="18" x14ac:dyDescent="0.4">
      <c r="A644" s="93" t="s">
        <v>475</v>
      </c>
      <c r="B644" s="16" t="s">
        <v>614</v>
      </c>
      <c r="C644" s="8">
        <v>10627</v>
      </c>
      <c r="D644" s="9">
        <v>77132900</v>
      </c>
      <c r="E644" s="57">
        <v>2500</v>
      </c>
      <c r="F644" s="10" t="s">
        <v>615</v>
      </c>
      <c r="G644" s="98">
        <v>0</v>
      </c>
      <c r="H644" s="9">
        <f t="shared" si="27"/>
        <v>0</v>
      </c>
      <c r="I644" s="11">
        <f t="shared" ca="1" si="28"/>
        <v>46124</v>
      </c>
      <c r="J644" s="11">
        <f t="shared" ca="1" si="26"/>
        <v>46118</v>
      </c>
      <c r="K644" s="13"/>
    </row>
    <row r="645" spans="1:11" ht="19.5" x14ac:dyDescent="0.55000000000000004">
      <c r="A645" s="93" t="s">
        <v>475</v>
      </c>
      <c r="B645" s="16" t="s">
        <v>616</v>
      </c>
      <c r="C645" s="8">
        <v>50050</v>
      </c>
      <c r="D645" s="9">
        <v>552807940</v>
      </c>
      <c r="E645" s="57">
        <v>360</v>
      </c>
      <c r="F645" s="10" t="s">
        <v>617</v>
      </c>
      <c r="G645" s="98">
        <v>0</v>
      </c>
      <c r="H645" s="9">
        <f t="shared" si="27"/>
        <v>0</v>
      </c>
      <c r="I645" s="11">
        <f t="shared" ca="1" si="28"/>
        <v>46124</v>
      </c>
      <c r="J645" s="11">
        <f t="shared" ca="1" si="26"/>
        <v>46118</v>
      </c>
      <c r="K645" s="58"/>
    </row>
    <row r="646" spans="1:11" ht="19.5" x14ac:dyDescent="0.55000000000000004">
      <c r="A646" s="93" t="s">
        <v>475</v>
      </c>
      <c r="B646" s="16" t="s">
        <v>616</v>
      </c>
      <c r="C646" s="8">
        <v>50050</v>
      </c>
      <c r="D646" s="9">
        <v>552807950</v>
      </c>
      <c r="E646" s="57">
        <v>360</v>
      </c>
      <c r="F646" s="10" t="s">
        <v>618</v>
      </c>
      <c r="G646" s="98">
        <v>0</v>
      </c>
      <c r="H646" s="9">
        <f t="shared" si="27"/>
        <v>0</v>
      </c>
      <c r="I646" s="11">
        <f t="shared" ca="1" si="28"/>
        <v>46124</v>
      </c>
      <c r="J646" s="11">
        <f t="shared" ca="1" si="26"/>
        <v>46118</v>
      </c>
      <c r="K646" s="58"/>
    </row>
    <row r="647" spans="1:11" ht="19.5" x14ac:dyDescent="0.55000000000000004">
      <c r="A647" s="93" t="s">
        <v>475</v>
      </c>
      <c r="B647" s="16" t="s">
        <v>616</v>
      </c>
      <c r="C647" s="8">
        <v>50050</v>
      </c>
      <c r="D647" s="9">
        <v>552810000</v>
      </c>
      <c r="E647" s="57">
        <v>450</v>
      </c>
      <c r="F647" s="10" t="s">
        <v>619</v>
      </c>
      <c r="G647" s="98">
        <v>0</v>
      </c>
      <c r="H647" s="9">
        <f t="shared" si="27"/>
        <v>0</v>
      </c>
      <c r="I647" s="11">
        <f t="shared" ca="1" si="28"/>
        <v>46124</v>
      </c>
      <c r="J647" s="11">
        <f t="shared" ca="1" si="26"/>
        <v>46118</v>
      </c>
      <c r="K647" s="58"/>
    </row>
    <row r="648" spans="1:11" ht="19.5" x14ac:dyDescent="0.55000000000000004">
      <c r="A648" s="93" t="s">
        <v>475</v>
      </c>
      <c r="B648" s="16" t="s">
        <v>616</v>
      </c>
      <c r="C648" s="8">
        <v>50050</v>
      </c>
      <c r="D648" s="9">
        <v>552807960</v>
      </c>
      <c r="E648" s="57">
        <v>180</v>
      </c>
      <c r="F648" s="10" t="s">
        <v>620</v>
      </c>
      <c r="G648" s="98">
        <v>0</v>
      </c>
      <c r="H648" s="9">
        <f t="shared" si="27"/>
        <v>0</v>
      </c>
      <c r="I648" s="11">
        <f t="shared" ca="1" si="28"/>
        <v>46124</v>
      </c>
      <c r="J648" s="11">
        <f t="shared" ref="J648:J716" ca="1" si="29">TODAY()</f>
        <v>46118</v>
      </c>
      <c r="K648" s="58"/>
    </row>
    <row r="649" spans="1:11" ht="19.5" x14ac:dyDescent="0.55000000000000004">
      <c r="A649" s="93" t="s">
        <v>475</v>
      </c>
      <c r="B649" s="16" t="s">
        <v>616</v>
      </c>
      <c r="C649" s="8">
        <v>50050</v>
      </c>
      <c r="D649" s="9">
        <v>552512680</v>
      </c>
      <c r="E649" s="57">
        <v>1800</v>
      </c>
      <c r="F649" s="10" t="s">
        <v>621</v>
      </c>
      <c r="G649" s="98">
        <v>0</v>
      </c>
      <c r="H649" s="9">
        <f t="shared" si="27"/>
        <v>0</v>
      </c>
      <c r="I649" s="11">
        <f t="shared" ca="1" si="28"/>
        <v>46124</v>
      </c>
      <c r="J649" s="11">
        <f t="shared" ca="1" si="29"/>
        <v>46118</v>
      </c>
      <c r="K649" s="58"/>
    </row>
    <row r="650" spans="1:11" ht="19.5" x14ac:dyDescent="0.55000000000000004">
      <c r="A650" s="93" t="s">
        <v>475</v>
      </c>
      <c r="B650" s="16" t="s">
        <v>616</v>
      </c>
      <c r="C650" s="8">
        <v>50050</v>
      </c>
      <c r="D650" s="9">
        <v>552500530</v>
      </c>
      <c r="E650" s="57">
        <v>2400</v>
      </c>
      <c r="F650" s="10" t="s">
        <v>621</v>
      </c>
      <c r="G650" s="98">
        <v>0</v>
      </c>
      <c r="H650" s="9">
        <f t="shared" si="27"/>
        <v>0</v>
      </c>
      <c r="I650" s="11">
        <f t="shared" ca="1" si="28"/>
        <v>46124</v>
      </c>
      <c r="J650" s="11">
        <f t="shared" ca="1" si="29"/>
        <v>46118</v>
      </c>
      <c r="K650" s="58"/>
    </row>
    <row r="651" spans="1:11" ht="19.5" x14ac:dyDescent="0.55000000000000004">
      <c r="A651" s="93" t="s">
        <v>475</v>
      </c>
      <c r="B651" s="16" t="s">
        <v>616</v>
      </c>
      <c r="C651" s="8">
        <v>50050</v>
      </c>
      <c r="D651" s="9">
        <v>552807970</v>
      </c>
      <c r="E651" s="57">
        <v>180</v>
      </c>
      <c r="F651" s="10" t="s">
        <v>622</v>
      </c>
      <c r="G651" s="98">
        <v>0</v>
      </c>
      <c r="H651" s="9">
        <f t="shared" si="27"/>
        <v>0</v>
      </c>
      <c r="I651" s="11">
        <f t="shared" ca="1" si="28"/>
        <v>46124</v>
      </c>
      <c r="J651" s="11">
        <f t="shared" ca="1" si="29"/>
        <v>46118</v>
      </c>
      <c r="K651" s="58"/>
    </row>
    <row r="652" spans="1:11" ht="19.5" x14ac:dyDescent="0.55000000000000004">
      <c r="A652" s="93" t="s">
        <v>475</v>
      </c>
      <c r="B652" s="16" t="s">
        <v>286</v>
      </c>
      <c r="C652" s="8">
        <v>51625</v>
      </c>
      <c r="D652" s="9">
        <v>463458000</v>
      </c>
      <c r="E652" s="57">
        <v>1800</v>
      </c>
      <c r="F652" s="10" t="s">
        <v>623</v>
      </c>
      <c r="G652" s="98">
        <v>0</v>
      </c>
      <c r="H652" s="9">
        <f t="shared" si="27"/>
        <v>0</v>
      </c>
      <c r="I652" s="11">
        <f t="shared" ca="1" si="28"/>
        <v>46124</v>
      </c>
      <c r="J652" s="11">
        <f t="shared" ca="1" si="29"/>
        <v>46118</v>
      </c>
      <c r="K652" s="58"/>
    </row>
    <row r="653" spans="1:11" ht="19.5" x14ac:dyDescent="0.55000000000000004">
      <c r="A653" s="93" t="s">
        <v>475</v>
      </c>
      <c r="B653" s="16" t="s">
        <v>286</v>
      </c>
      <c r="C653" s="8">
        <v>51625</v>
      </c>
      <c r="D653" s="9">
        <v>463457980</v>
      </c>
      <c r="E653" s="57">
        <v>1600</v>
      </c>
      <c r="F653" s="10" t="s">
        <v>624</v>
      </c>
      <c r="G653" s="98">
        <v>0</v>
      </c>
      <c r="H653" s="9">
        <f t="shared" si="27"/>
        <v>0</v>
      </c>
      <c r="I653" s="11">
        <f t="shared" ca="1" si="28"/>
        <v>46124</v>
      </c>
      <c r="J653" s="11">
        <f t="shared" ca="1" si="29"/>
        <v>46118</v>
      </c>
      <c r="K653" s="58"/>
    </row>
    <row r="654" spans="1:11" ht="19.5" x14ac:dyDescent="0.55000000000000004">
      <c r="A654" s="93" t="s">
        <v>475</v>
      </c>
      <c r="B654" s="16" t="s">
        <v>286</v>
      </c>
      <c r="C654" s="8">
        <v>51625</v>
      </c>
      <c r="D654" s="9">
        <v>463457990</v>
      </c>
      <c r="E654" s="57">
        <v>1920</v>
      </c>
      <c r="F654" s="10" t="s">
        <v>625</v>
      </c>
      <c r="G654" s="98">
        <v>0</v>
      </c>
      <c r="H654" s="9">
        <f t="shared" si="27"/>
        <v>0</v>
      </c>
      <c r="I654" s="11">
        <f t="shared" ca="1" si="28"/>
        <v>46124</v>
      </c>
      <c r="J654" s="11">
        <f t="shared" ca="1" si="29"/>
        <v>46118</v>
      </c>
      <c r="K654" s="58"/>
    </row>
    <row r="655" spans="1:11" ht="18" x14ac:dyDescent="0.4">
      <c r="A655" s="93" t="s">
        <v>475</v>
      </c>
      <c r="B655" s="16" t="s">
        <v>626</v>
      </c>
      <c r="C655" s="8">
        <v>13093</v>
      </c>
      <c r="D655" s="9">
        <v>552679890</v>
      </c>
      <c r="E655" s="57">
        <v>150</v>
      </c>
      <c r="F655" s="10" t="s">
        <v>627</v>
      </c>
      <c r="G655" s="98">
        <v>0</v>
      </c>
      <c r="H655" s="9">
        <f t="shared" si="27"/>
        <v>0</v>
      </c>
      <c r="I655" s="11">
        <f t="shared" ca="1" si="28"/>
        <v>46124</v>
      </c>
      <c r="J655" s="11">
        <f t="shared" ca="1" si="29"/>
        <v>46118</v>
      </c>
      <c r="K655" s="13"/>
    </row>
    <row r="656" spans="1:11" ht="18" x14ac:dyDescent="0.4">
      <c r="A656" s="93" t="s">
        <v>475</v>
      </c>
      <c r="B656" s="16" t="s">
        <v>628</v>
      </c>
      <c r="C656" s="8">
        <v>30467</v>
      </c>
      <c r="D656" s="9">
        <v>552757120</v>
      </c>
      <c r="E656" s="57">
        <v>300</v>
      </c>
      <c r="F656" s="10" t="s">
        <v>629</v>
      </c>
      <c r="G656" s="98">
        <v>0</v>
      </c>
      <c r="H656" s="9">
        <f t="shared" si="27"/>
        <v>0</v>
      </c>
      <c r="I656" s="11">
        <f t="shared" ca="1" si="28"/>
        <v>46124</v>
      </c>
      <c r="J656" s="11">
        <f t="shared" ca="1" si="29"/>
        <v>46118</v>
      </c>
      <c r="K656" s="13"/>
    </row>
    <row r="657" spans="1:11" ht="18" x14ac:dyDescent="0.4">
      <c r="A657" s="93" t="s">
        <v>475</v>
      </c>
      <c r="B657" s="16" t="s">
        <v>628</v>
      </c>
      <c r="C657" s="8">
        <v>30467</v>
      </c>
      <c r="D657" s="9">
        <v>77894039</v>
      </c>
      <c r="E657" s="57">
        <v>2880</v>
      </c>
      <c r="F657" s="10" t="s">
        <v>510</v>
      </c>
      <c r="G657" s="98">
        <v>0</v>
      </c>
      <c r="H657" s="9">
        <f>G657/E657</f>
        <v>0</v>
      </c>
      <c r="I657" s="11">
        <f ca="1">I656</f>
        <v>46124</v>
      </c>
      <c r="J657" s="11">
        <f ca="1">TODAY()</f>
        <v>46118</v>
      </c>
      <c r="K657" s="13"/>
    </row>
    <row r="658" spans="1:11" ht="18" x14ac:dyDescent="0.4">
      <c r="A658" s="93" t="s">
        <v>475</v>
      </c>
      <c r="B658" s="16" t="s">
        <v>628</v>
      </c>
      <c r="C658" s="8">
        <v>30467</v>
      </c>
      <c r="D658" s="9">
        <v>463458088</v>
      </c>
      <c r="E658" s="57">
        <v>1440</v>
      </c>
      <c r="F658" s="10" t="s">
        <v>630</v>
      </c>
      <c r="G658" s="98">
        <v>0</v>
      </c>
      <c r="H658" s="9">
        <f>G658/E658</f>
        <v>0</v>
      </c>
      <c r="I658" s="11">
        <f ca="1">I657</f>
        <v>46124</v>
      </c>
      <c r="J658" s="11">
        <f ca="1">TODAY()</f>
        <v>46118</v>
      </c>
      <c r="K658" s="13"/>
    </row>
    <row r="659" spans="1:11" ht="18" x14ac:dyDescent="0.4">
      <c r="A659" s="93" t="s">
        <v>475</v>
      </c>
      <c r="B659" s="16" t="s">
        <v>631</v>
      </c>
      <c r="C659" s="8">
        <v>60644</v>
      </c>
      <c r="D659" s="9">
        <v>75742790</v>
      </c>
      <c r="E659" s="57">
        <v>400</v>
      </c>
      <c r="F659" s="10" t="s">
        <v>632</v>
      </c>
      <c r="G659" s="98">
        <v>0</v>
      </c>
      <c r="H659" s="9">
        <f>G659/E659</f>
        <v>0</v>
      </c>
      <c r="I659" s="11">
        <f ca="1">I656</f>
        <v>46124</v>
      </c>
      <c r="J659" s="11">
        <f t="shared" ca="1" si="29"/>
        <v>46118</v>
      </c>
      <c r="K659" s="13"/>
    </row>
    <row r="660" spans="1:11" ht="18" x14ac:dyDescent="0.4">
      <c r="A660" s="93" t="s">
        <v>475</v>
      </c>
      <c r="B660" s="16" t="s">
        <v>631</v>
      </c>
      <c r="C660" s="8">
        <v>60644</v>
      </c>
      <c r="D660" s="9">
        <v>464600430</v>
      </c>
      <c r="E660" s="57">
        <v>72</v>
      </c>
      <c r="F660" s="10" t="s">
        <v>633</v>
      </c>
      <c r="G660" s="98">
        <v>0</v>
      </c>
      <c r="H660" s="9">
        <f t="shared" si="27"/>
        <v>0</v>
      </c>
      <c r="I660" s="11">
        <f t="shared" ca="1" si="28"/>
        <v>46124</v>
      </c>
      <c r="J660" s="11">
        <f t="shared" ca="1" si="29"/>
        <v>46118</v>
      </c>
      <c r="K660" s="13"/>
    </row>
    <row r="661" spans="1:11" ht="19.5" x14ac:dyDescent="0.55000000000000004">
      <c r="A661" s="93" t="s">
        <v>475</v>
      </c>
      <c r="B661" s="16" t="s">
        <v>634</v>
      </c>
      <c r="C661" s="8">
        <v>63192</v>
      </c>
      <c r="D661" s="9">
        <v>552044480</v>
      </c>
      <c r="E661" s="57">
        <v>45</v>
      </c>
      <c r="F661" s="10" t="s">
        <v>635</v>
      </c>
      <c r="G661" s="98">
        <v>0</v>
      </c>
      <c r="H661" s="9">
        <f t="shared" si="27"/>
        <v>0</v>
      </c>
      <c r="I661" s="11">
        <f t="shared" ca="1" si="28"/>
        <v>46124</v>
      </c>
      <c r="J661" s="11">
        <f t="shared" ca="1" si="29"/>
        <v>46118</v>
      </c>
      <c r="K661" s="59"/>
    </row>
    <row r="662" spans="1:11" ht="19.5" x14ac:dyDescent="0.55000000000000004">
      <c r="A662" s="93" t="s">
        <v>475</v>
      </c>
      <c r="B662" s="16" t="s">
        <v>634</v>
      </c>
      <c r="C662" s="8">
        <v>63192</v>
      </c>
      <c r="D662" s="9">
        <v>552044490</v>
      </c>
      <c r="E662" s="57">
        <v>45</v>
      </c>
      <c r="F662" s="10" t="s">
        <v>635</v>
      </c>
      <c r="G662" s="98">
        <v>0</v>
      </c>
      <c r="H662" s="9">
        <f t="shared" si="27"/>
        <v>0</v>
      </c>
      <c r="I662" s="11">
        <f t="shared" ca="1" si="28"/>
        <v>46124</v>
      </c>
      <c r="J662" s="11">
        <f t="shared" ca="1" si="29"/>
        <v>46118</v>
      </c>
      <c r="K662" s="59"/>
    </row>
    <row r="663" spans="1:11" ht="18" x14ac:dyDescent="0.4">
      <c r="A663" s="93" t="s">
        <v>475</v>
      </c>
      <c r="B663" s="16" t="s">
        <v>637</v>
      </c>
      <c r="C663" s="8">
        <v>64641</v>
      </c>
      <c r="D663" s="9">
        <v>143253110</v>
      </c>
      <c r="E663" s="57">
        <v>350</v>
      </c>
      <c r="F663" s="10" t="s">
        <v>638</v>
      </c>
      <c r="G663" s="98">
        <v>0</v>
      </c>
      <c r="H663" s="9">
        <f t="shared" si="27"/>
        <v>0</v>
      </c>
      <c r="I663" s="11">
        <f t="shared" ca="1" si="28"/>
        <v>46124</v>
      </c>
      <c r="J663" s="11">
        <f t="shared" ca="1" si="29"/>
        <v>46118</v>
      </c>
      <c r="K663" s="13"/>
    </row>
    <row r="664" spans="1:11" ht="18" x14ac:dyDescent="0.4">
      <c r="A664" s="93" t="s">
        <v>475</v>
      </c>
      <c r="B664" s="16" t="s">
        <v>639</v>
      </c>
      <c r="C664" s="8">
        <v>29928</v>
      </c>
      <c r="D664" s="9">
        <v>400048200</v>
      </c>
      <c r="E664" s="57">
        <v>480</v>
      </c>
      <c r="F664" s="10" t="s">
        <v>593</v>
      </c>
      <c r="G664" s="98">
        <v>0</v>
      </c>
      <c r="H664" s="9">
        <f t="shared" si="27"/>
        <v>0</v>
      </c>
      <c r="I664" s="11">
        <f t="shared" ca="1" si="28"/>
        <v>46124</v>
      </c>
      <c r="J664" s="11">
        <f t="shared" ca="1" si="29"/>
        <v>46118</v>
      </c>
      <c r="K664" s="13"/>
    </row>
    <row r="665" spans="1:11" ht="18" x14ac:dyDescent="0.4">
      <c r="A665" s="93" t="s">
        <v>475</v>
      </c>
      <c r="B665" s="16" t="s">
        <v>640</v>
      </c>
      <c r="C665" s="8">
        <v>68265</v>
      </c>
      <c r="D665" s="9">
        <v>463415970</v>
      </c>
      <c r="E665" s="57">
        <v>360</v>
      </c>
      <c r="F665" s="10" t="s">
        <v>641</v>
      </c>
      <c r="G665" s="98">
        <v>0</v>
      </c>
      <c r="H665" s="9">
        <f t="shared" si="27"/>
        <v>0</v>
      </c>
      <c r="I665" s="11">
        <f t="shared" ca="1" si="28"/>
        <v>46124</v>
      </c>
      <c r="J665" s="11">
        <f t="shared" ca="1" si="29"/>
        <v>46118</v>
      </c>
      <c r="K665" s="13"/>
    </row>
    <row r="666" spans="1:11" ht="18" x14ac:dyDescent="0.4">
      <c r="A666" s="93" t="s">
        <v>475</v>
      </c>
      <c r="B666" s="16" t="s">
        <v>640</v>
      </c>
      <c r="C666" s="8">
        <v>68265</v>
      </c>
      <c r="D666" s="9">
        <v>551914710</v>
      </c>
      <c r="E666" s="57">
        <v>360</v>
      </c>
      <c r="F666" s="10" t="s">
        <v>642</v>
      </c>
      <c r="G666" s="98">
        <v>0</v>
      </c>
      <c r="H666" s="9">
        <f t="shared" si="27"/>
        <v>0</v>
      </c>
      <c r="I666" s="11">
        <f t="shared" ca="1" si="28"/>
        <v>46124</v>
      </c>
      <c r="J666" s="11">
        <f t="shared" ca="1" si="29"/>
        <v>46118</v>
      </c>
      <c r="K666" s="13"/>
    </row>
    <row r="667" spans="1:11" ht="18" x14ac:dyDescent="0.4">
      <c r="A667" s="93" t="s">
        <v>475</v>
      </c>
      <c r="B667" s="16" t="s">
        <v>640</v>
      </c>
      <c r="C667" s="8">
        <v>68265</v>
      </c>
      <c r="D667" s="9">
        <v>552444220</v>
      </c>
      <c r="E667" s="57">
        <v>180</v>
      </c>
      <c r="F667" s="10" t="s">
        <v>641</v>
      </c>
      <c r="G667" s="98">
        <v>0</v>
      </c>
      <c r="H667" s="9">
        <f t="shared" si="27"/>
        <v>0</v>
      </c>
      <c r="I667" s="11">
        <f t="shared" ca="1" si="28"/>
        <v>46124</v>
      </c>
      <c r="J667" s="11">
        <f t="shared" ca="1" si="29"/>
        <v>46118</v>
      </c>
      <c r="K667" s="13"/>
    </row>
    <row r="668" spans="1:11" ht="18" x14ac:dyDescent="0.4">
      <c r="A668" s="93" t="s">
        <v>475</v>
      </c>
      <c r="B668" s="16" t="s">
        <v>640</v>
      </c>
      <c r="C668" s="8">
        <v>68265</v>
      </c>
      <c r="D668" s="9">
        <v>552701450</v>
      </c>
      <c r="E668" s="57">
        <v>360</v>
      </c>
      <c r="F668" s="10" t="s">
        <v>643</v>
      </c>
      <c r="G668" s="98">
        <v>0</v>
      </c>
      <c r="H668" s="9">
        <f t="shared" si="27"/>
        <v>0</v>
      </c>
      <c r="I668" s="11">
        <f t="shared" ca="1" si="28"/>
        <v>46124</v>
      </c>
      <c r="J668" s="11">
        <f t="shared" ca="1" si="29"/>
        <v>46118</v>
      </c>
      <c r="K668" s="13"/>
    </row>
    <row r="669" spans="1:11" ht="18" x14ac:dyDescent="0.4">
      <c r="A669" s="93" t="s">
        <v>475</v>
      </c>
      <c r="B669" s="16" t="s">
        <v>644</v>
      </c>
      <c r="C669" s="8">
        <v>68265</v>
      </c>
      <c r="D669" s="9">
        <v>59999700</v>
      </c>
      <c r="E669" s="57">
        <v>102</v>
      </c>
      <c r="F669" s="10" t="s">
        <v>645</v>
      </c>
      <c r="G669" s="98">
        <v>0</v>
      </c>
      <c r="H669" s="9">
        <f t="shared" si="27"/>
        <v>0</v>
      </c>
      <c r="I669" s="11">
        <f t="shared" ca="1" si="28"/>
        <v>46124</v>
      </c>
      <c r="J669" s="11">
        <f t="shared" ca="1" si="29"/>
        <v>46118</v>
      </c>
      <c r="K669" s="13"/>
    </row>
    <row r="670" spans="1:11" ht="18" x14ac:dyDescent="0.4">
      <c r="A670" s="93" t="s">
        <v>475</v>
      </c>
      <c r="B670" s="16" t="s">
        <v>644</v>
      </c>
      <c r="C670" s="8">
        <v>68265</v>
      </c>
      <c r="D670" s="9">
        <v>75645190</v>
      </c>
      <c r="E670" s="57">
        <v>126</v>
      </c>
      <c r="F670" s="10" t="s">
        <v>646</v>
      </c>
      <c r="G670" s="98">
        <v>0</v>
      </c>
      <c r="H670" s="9">
        <f t="shared" si="27"/>
        <v>0</v>
      </c>
      <c r="I670" s="11">
        <f t="shared" ca="1" si="28"/>
        <v>46124</v>
      </c>
      <c r="J670" s="11">
        <f t="shared" ca="1" si="29"/>
        <v>46118</v>
      </c>
      <c r="K670" s="13"/>
    </row>
    <row r="671" spans="1:11" ht="18" x14ac:dyDescent="0.4">
      <c r="A671" s="93" t="s">
        <v>475</v>
      </c>
      <c r="B671" s="16" t="s">
        <v>644</v>
      </c>
      <c r="C671" s="8">
        <v>68265</v>
      </c>
      <c r="D671" s="9">
        <v>75645290</v>
      </c>
      <c r="E671" s="57">
        <v>144</v>
      </c>
      <c r="F671" s="10" t="s">
        <v>647</v>
      </c>
      <c r="G671" s="98">
        <v>0</v>
      </c>
      <c r="H671" s="9">
        <f t="shared" si="27"/>
        <v>0</v>
      </c>
      <c r="I671" s="11">
        <f t="shared" ca="1" si="28"/>
        <v>46124</v>
      </c>
      <c r="J671" s="11">
        <f t="shared" ca="1" si="29"/>
        <v>46118</v>
      </c>
      <c r="K671" s="13"/>
    </row>
    <row r="672" spans="1:11" ht="18" x14ac:dyDescent="0.4">
      <c r="A672" s="93" t="s">
        <v>475</v>
      </c>
      <c r="B672" s="16" t="s">
        <v>644</v>
      </c>
      <c r="C672" s="8">
        <v>68265</v>
      </c>
      <c r="D672" s="9">
        <v>75756860</v>
      </c>
      <c r="E672" s="57">
        <v>120</v>
      </c>
      <c r="F672" s="10" t="s">
        <v>648</v>
      </c>
      <c r="G672" s="98">
        <v>0</v>
      </c>
      <c r="H672" s="9">
        <f t="shared" si="27"/>
        <v>0</v>
      </c>
      <c r="I672" s="11">
        <f t="shared" ca="1" si="28"/>
        <v>46124</v>
      </c>
      <c r="J672" s="11">
        <f t="shared" ca="1" si="29"/>
        <v>46118</v>
      </c>
      <c r="K672" s="13"/>
    </row>
    <row r="673" spans="1:11" ht="18" x14ac:dyDescent="0.4">
      <c r="A673" s="93" t="s">
        <v>475</v>
      </c>
      <c r="B673" s="16" t="s">
        <v>644</v>
      </c>
      <c r="C673" s="8">
        <v>68265</v>
      </c>
      <c r="D673" s="9">
        <v>75756870</v>
      </c>
      <c r="E673" s="57">
        <v>204</v>
      </c>
      <c r="F673" s="10" t="s">
        <v>649</v>
      </c>
      <c r="G673" s="98">
        <v>0</v>
      </c>
      <c r="H673" s="9">
        <f t="shared" si="27"/>
        <v>0</v>
      </c>
      <c r="I673" s="11">
        <f t="shared" ca="1" si="28"/>
        <v>46124</v>
      </c>
      <c r="J673" s="11">
        <f t="shared" ca="1" si="29"/>
        <v>46118</v>
      </c>
      <c r="K673" s="13"/>
    </row>
    <row r="674" spans="1:11" ht="18" x14ac:dyDescent="0.4">
      <c r="A674" s="93" t="s">
        <v>475</v>
      </c>
      <c r="B674" s="16" t="s">
        <v>644</v>
      </c>
      <c r="C674" s="8">
        <v>68265</v>
      </c>
      <c r="D674" s="9">
        <v>465364600</v>
      </c>
      <c r="E674" s="57">
        <v>90</v>
      </c>
      <c r="F674" s="10" t="s">
        <v>650</v>
      </c>
      <c r="G674" s="98">
        <v>0</v>
      </c>
      <c r="H674" s="9">
        <f t="shared" si="27"/>
        <v>0</v>
      </c>
      <c r="I674" s="11">
        <f t="shared" ca="1" si="28"/>
        <v>46124</v>
      </c>
      <c r="J674" s="11">
        <f t="shared" ca="1" si="29"/>
        <v>46118</v>
      </c>
      <c r="K674" s="13"/>
    </row>
    <row r="675" spans="1:11" ht="18" x14ac:dyDescent="0.4">
      <c r="A675" s="93" t="s">
        <v>475</v>
      </c>
      <c r="B675" s="16" t="s">
        <v>644</v>
      </c>
      <c r="C675" s="8">
        <v>68265</v>
      </c>
      <c r="D675" s="9">
        <v>463457970</v>
      </c>
      <c r="E675" s="57">
        <v>2000</v>
      </c>
      <c r="F675" s="10" t="s">
        <v>651</v>
      </c>
      <c r="G675" s="98">
        <v>0</v>
      </c>
      <c r="H675" s="9">
        <f t="shared" si="27"/>
        <v>0</v>
      </c>
      <c r="I675" s="11">
        <f t="shared" ca="1" si="28"/>
        <v>46124</v>
      </c>
      <c r="J675" s="11">
        <f t="shared" ca="1" si="29"/>
        <v>46118</v>
      </c>
      <c r="K675" s="13"/>
    </row>
    <row r="676" spans="1:11" ht="18" x14ac:dyDescent="0.4">
      <c r="A676" s="93" t="s">
        <v>475</v>
      </c>
      <c r="B676" s="16" t="s">
        <v>644</v>
      </c>
      <c r="C676" s="8">
        <v>68265</v>
      </c>
      <c r="D676" s="9">
        <v>467761980</v>
      </c>
      <c r="E676" s="57">
        <v>96</v>
      </c>
      <c r="F676" s="10" t="s">
        <v>652</v>
      </c>
      <c r="G676" s="98">
        <v>0</v>
      </c>
      <c r="H676" s="9">
        <f t="shared" si="27"/>
        <v>0</v>
      </c>
      <c r="I676" s="11">
        <f t="shared" ca="1" si="28"/>
        <v>46124</v>
      </c>
      <c r="J676" s="11">
        <f t="shared" ca="1" si="29"/>
        <v>46118</v>
      </c>
      <c r="K676" s="13"/>
    </row>
    <row r="677" spans="1:11" ht="18" x14ac:dyDescent="0.4">
      <c r="A677" s="93" t="s">
        <v>475</v>
      </c>
      <c r="B677" s="16" t="s">
        <v>644</v>
      </c>
      <c r="C677" s="8">
        <v>68265</v>
      </c>
      <c r="D677" s="9">
        <v>467984770</v>
      </c>
      <c r="E677" s="57">
        <v>216</v>
      </c>
      <c r="F677" s="10" t="s">
        <v>653</v>
      </c>
      <c r="G677" s="98">
        <v>0</v>
      </c>
      <c r="H677" s="9">
        <f t="shared" si="27"/>
        <v>0</v>
      </c>
      <c r="I677" s="11">
        <f t="shared" ca="1" si="28"/>
        <v>46124</v>
      </c>
      <c r="J677" s="11">
        <f t="shared" ca="1" si="29"/>
        <v>46118</v>
      </c>
      <c r="K677" s="13"/>
    </row>
    <row r="678" spans="1:11" ht="18" x14ac:dyDescent="0.4">
      <c r="A678" s="93" t="s">
        <v>475</v>
      </c>
      <c r="B678" s="16" t="s">
        <v>644</v>
      </c>
      <c r="C678" s="8">
        <v>68265</v>
      </c>
      <c r="D678" s="9">
        <v>552180370</v>
      </c>
      <c r="E678" s="57">
        <v>39</v>
      </c>
      <c r="F678" s="10" t="s">
        <v>654</v>
      </c>
      <c r="G678" s="98">
        <v>0</v>
      </c>
      <c r="H678" s="9">
        <f t="shared" si="27"/>
        <v>0</v>
      </c>
      <c r="I678" s="11">
        <f t="shared" ca="1" si="28"/>
        <v>46124</v>
      </c>
      <c r="J678" s="11">
        <f t="shared" ca="1" si="29"/>
        <v>46118</v>
      </c>
      <c r="K678" s="13"/>
    </row>
    <row r="679" spans="1:11" ht="18" x14ac:dyDescent="0.4">
      <c r="A679" s="93" t="s">
        <v>475</v>
      </c>
      <c r="B679" s="16" t="s">
        <v>644</v>
      </c>
      <c r="C679" s="8">
        <v>68265</v>
      </c>
      <c r="D679" s="9">
        <v>463559990</v>
      </c>
      <c r="E679" s="57">
        <v>102</v>
      </c>
      <c r="F679" s="10" t="s">
        <v>655</v>
      </c>
      <c r="G679" s="98">
        <v>0</v>
      </c>
      <c r="H679" s="9">
        <f t="shared" si="27"/>
        <v>0</v>
      </c>
      <c r="I679" s="11">
        <f t="shared" ca="1" si="28"/>
        <v>46124</v>
      </c>
      <c r="J679" s="11">
        <f t="shared" ca="1" si="29"/>
        <v>46118</v>
      </c>
      <c r="K679" s="13"/>
    </row>
    <row r="680" spans="1:11" ht="18" x14ac:dyDescent="0.4">
      <c r="A680" s="93" t="s">
        <v>475</v>
      </c>
      <c r="B680" s="16" t="s">
        <v>656</v>
      </c>
      <c r="C680" s="8">
        <v>70930</v>
      </c>
      <c r="D680" s="9">
        <v>75095320</v>
      </c>
      <c r="E680" s="57">
        <v>600</v>
      </c>
      <c r="F680" s="10" t="s">
        <v>657</v>
      </c>
      <c r="G680" s="98">
        <v>0</v>
      </c>
      <c r="H680" s="9">
        <f t="shared" si="27"/>
        <v>0</v>
      </c>
      <c r="I680" s="11">
        <f t="shared" ca="1" si="28"/>
        <v>46124</v>
      </c>
      <c r="J680" s="11">
        <f t="shared" ca="1" si="29"/>
        <v>46118</v>
      </c>
      <c r="K680" s="13"/>
    </row>
    <row r="681" spans="1:11" ht="18" x14ac:dyDescent="0.4">
      <c r="A681" s="93" t="s">
        <v>475</v>
      </c>
      <c r="B681" s="16" t="s">
        <v>656</v>
      </c>
      <c r="C681" s="8">
        <v>70930</v>
      </c>
      <c r="D681" s="9">
        <v>75095330</v>
      </c>
      <c r="E681" s="57">
        <v>840</v>
      </c>
      <c r="F681" s="10" t="s">
        <v>658</v>
      </c>
      <c r="G681" s="98">
        <v>0</v>
      </c>
      <c r="H681" s="9">
        <f t="shared" si="27"/>
        <v>0</v>
      </c>
      <c r="I681" s="11">
        <f t="shared" ca="1" si="28"/>
        <v>46124</v>
      </c>
      <c r="J681" s="11">
        <f t="shared" ca="1" si="29"/>
        <v>46118</v>
      </c>
      <c r="K681" s="13"/>
    </row>
    <row r="682" spans="1:11" ht="18" x14ac:dyDescent="0.4">
      <c r="A682" s="93" t="s">
        <v>475</v>
      </c>
      <c r="B682" s="16" t="s">
        <v>656</v>
      </c>
      <c r="C682" s="8">
        <v>70930</v>
      </c>
      <c r="D682" s="9">
        <v>464752630</v>
      </c>
      <c r="E682" s="57">
        <v>3456</v>
      </c>
      <c r="F682" s="10" t="s">
        <v>659</v>
      </c>
      <c r="G682" s="98">
        <v>0</v>
      </c>
      <c r="H682" s="9">
        <f t="shared" si="27"/>
        <v>0</v>
      </c>
      <c r="I682" s="11">
        <f t="shared" ca="1" si="28"/>
        <v>46124</v>
      </c>
      <c r="J682" s="11">
        <f t="shared" ca="1" si="29"/>
        <v>46118</v>
      </c>
      <c r="K682" s="13"/>
    </row>
    <row r="683" spans="1:11" ht="18" x14ac:dyDescent="0.4">
      <c r="A683" s="93" t="s">
        <v>475</v>
      </c>
      <c r="B683" s="16" t="s">
        <v>656</v>
      </c>
      <c r="C683" s="8">
        <v>70930</v>
      </c>
      <c r="D683" s="9">
        <v>464133490</v>
      </c>
      <c r="E683" s="57">
        <v>1152</v>
      </c>
      <c r="F683" s="10" t="s">
        <v>660</v>
      </c>
      <c r="G683" s="98">
        <v>0</v>
      </c>
      <c r="H683" s="9">
        <f t="shared" si="27"/>
        <v>0</v>
      </c>
      <c r="I683" s="11">
        <f t="shared" ca="1" si="28"/>
        <v>46124</v>
      </c>
      <c r="J683" s="11">
        <f t="shared" ca="1" si="29"/>
        <v>46118</v>
      </c>
      <c r="K683" s="13"/>
    </row>
    <row r="684" spans="1:11" ht="18" x14ac:dyDescent="0.4">
      <c r="A684" s="93" t="s">
        <v>475</v>
      </c>
      <c r="B684" s="7" t="s">
        <v>656</v>
      </c>
      <c r="C684" s="8">
        <v>70930</v>
      </c>
      <c r="D684" s="9">
        <v>552261480</v>
      </c>
      <c r="E684" s="57">
        <v>1426</v>
      </c>
      <c r="F684" s="10" t="s">
        <v>661</v>
      </c>
      <c r="G684" s="98">
        <v>0</v>
      </c>
      <c r="H684" s="9">
        <f t="shared" si="27"/>
        <v>0</v>
      </c>
      <c r="I684" s="11">
        <f ca="1">I681</f>
        <v>46124</v>
      </c>
      <c r="J684" s="11">
        <f t="shared" ca="1" si="29"/>
        <v>46118</v>
      </c>
      <c r="K684" s="13"/>
    </row>
    <row r="685" spans="1:11" ht="18" x14ac:dyDescent="0.4">
      <c r="A685" s="93" t="s">
        <v>475</v>
      </c>
      <c r="B685" s="7" t="s">
        <v>656</v>
      </c>
      <c r="C685" s="8">
        <v>70930</v>
      </c>
      <c r="D685" s="9">
        <v>552261490</v>
      </c>
      <c r="E685" s="57">
        <v>1200</v>
      </c>
      <c r="F685" s="10" t="s">
        <v>662</v>
      </c>
      <c r="G685" s="98">
        <v>0</v>
      </c>
      <c r="H685" s="9">
        <f t="shared" si="27"/>
        <v>0</v>
      </c>
      <c r="I685" s="11">
        <f t="shared" ca="1" si="28"/>
        <v>46124</v>
      </c>
      <c r="J685" s="11">
        <f t="shared" ca="1" si="29"/>
        <v>46118</v>
      </c>
      <c r="K685" s="13"/>
    </row>
    <row r="686" spans="1:11" ht="18" x14ac:dyDescent="0.4">
      <c r="A686" s="93" t="s">
        <v>475</v>
      </c>
      <c r="B686" s="7" t="s">
        <v>663</v>
      </c>
      <c r="C686" s="8">
        <v>14872</v>
      </c>
      <c r="D686" s="9">
        <v>77131980</v>
      </c>
      <c r="E686" s="57">
        <v>1000</v>
      </c>
      <c r="F686" s="10" t="s">
        <v>664</v>
      </c>
      <c r="G686" s="98">
        <v>0</v>
      </c>
      <c r="H686" s="9">
        <f t="shared" si="27"/>
        <v>0</v>
      </c>
      <c r="I686" s="11">
        <f t="shared" ca="1" si="28"/>
        <v>46124</v>
      </c>
      <c r="J686" s="11">
        <f t="shared" ca="1" si="29"/>
        <v>46118</v>
      </c>
      <c r="K686" s="13"/>
    </row>
    <row r="687" spans="1:11" ht="18" x14ac:dyDescent="0.4">
      <c r="A687" s="93" t="s">
        <v>475</v>
      </c>
      <c r="B687" s="7" t="s">
        <v>663</v>
      </c>
      <c r="C687" s="8">
        <v>14872</v>
      </c>
      <c r="D687" s="9">
        <v>552759150</v>
      </c>
      <c r="E687" s="57">
        <v>1000</v>
      </c>
      <c r="F687" s="10" t="s">
        <v>664</v>
      </c>
      <c r="G687" s="98">
        <v>0</v>
      </c>
      <c r="H687" s="9">
        <f t="shared" si="27"/>
        <v>0</v>
      </c>
      <c r="I687" s="11">
        <f t="shared" ca="1" si="28"/>
        <v>46124</v>
      </c>
      <c r="J687" s="11">
        <f t="shared" ca="1" si="29"/>
        <v>46118</v>
      </c>
      <c r="K687" s="13"/>
    </row>
    <row r="688" spans="1:11" ht="18" x14ac:dyDescent="0.4">
      <c r="A688" s="93" t="s">
        <v>475</v>
      </c>
      <c r="B688" s="7" t="s">
        <v>663</v>
      </c>
      <c r="C688" s="8">
        <v>14872</v>
      </c>
      <c r="D688" s="9">
        <v>77289810</v>
      </c>
      <c r="E688" s="57">
        <v>400</v>
      </c>
      <c r="F688" s="10" t="s">
        <v>665</v>
      </c>
      <c r="G688" s="98">
        <v>0</v>
      </c>
      <c r="H688" s="9">
        <f t="shared" si="27"/>
        <v>0</v>
      </c>
      <c r="I688" s="11">
        <f ca="1">I686</f>
        <v>46124</v>
      </c>
      <c r="J688" s="11">
        <f t="shared" ca="1" si="29"/>
        <v>46118</v>
      </c>
      <c r="K688" s="13"/>
    </row>
    <row r="689" spans="1:11" ht="18" x14ac:dyDescent="0.4">
      <c r="A689" s="93" t="s">
        <v>475</v>
      </c>
      <c r="B689" s="7" t="s">
        <v>663</v>
      </c>
      <c r="C689" s="8">
        <v>14872</v>
      </c>
      <c r="D689" s="9">
        <v>77289820</v>
      </c>
      <c r="E689" s="57">
        <v>400</v>
      </c>
      <c r="F689" s="10" t="s">
        <v>666</v>
      </c>
      <c r="G689" s="98">
        <v>0</v>
      </c>
      <c r="H689" s="9">
        <f t="shared" si="27"/>
        <v>0</v>
      </c>
      <c r="I689" s="11">
        <f t="shared" ca="1" si="28"/>
        <v>46124</v>
      </c>
      <c r="J689" s="11">
        <f t="shared" ca="1" si="29"/>
        <v>46118</v>
      </c>
      <c r="K689" s="13"/>
    </row>
    <row r="690" spans="1:11" ht="18" x14ac:dyDescent="0.4">
      <c r="A690" s="93" t="s">
        <v>475</v>
      </c>
      <c r="B690" s="7" t="s">
        <v>663</v>
      </c>
      <c r="C690" s="8">
        <v>14872</v>
      </c>
      <c r="D690" s="9">
        <v>77289830</v>
      </c>
      <c r="E690" s="57">
        <v>400</v>
      </c>
      <c r="F690" s="10" t="s">
        <v>667</v>
      </c>
      <c r="G690" s="98">
        <v>0</v>
      </c>
      <c r="H690" s="9">
        <f t="shared" si="27"/>
        <v>0</v>
      </c>
      <c r="I690" s="11">
        <f t="shared" ca="1" si="28"/>
        <v>46124</v>
      </c>
      <c r="J690" s="11">
        <f t="shared" ca="1" si="29"/>
        <v>46118</v>
      </c>
      <c r="K690" s="13"/>
    </row>
    <row r="691" spans="1:11" ht="18" x14ac:dyDescent="0.4">
      <c r="A691" s="93" t="s">
        <v>475</v>
      </c>
      <c r="B691" s="7" t="s">
        <v>663</v>
      </c>
      <c r="C691" s="8">
        <v>14872</v>
      </c>
      <c r="D691" s="9">
        <v>77289840</v>
      </c>
      <c r="E691" s="57">
        <v>200</v>
      </c>
      <c r="F691" s="10" t="s">
        <v>668</v>
      </c>
      <c r="G691" s="98">
        <v>0</v>
      </c>
      <c r="H691" s="9">
        <f t="shared" ref="H691:H719" si="30">G691/E691</f>
        <v>0</v>
      </c>
      <c r="I691" s="11">
        <f t="shared" ca="1" si="28"/>
        <v>46124</v>
      </c>
      <c r="J691" s="11">
        <f t="shared" ca="1" si="29"/>
        <v>46118</v>
      </c>
      <c r="K691" s="13"/>
    </row>
    <row r="692" spans="1:11" ht="18" x14ac:dyDescent="0.4">
      <c r="A692" s="93" t="s">
        <v>475</v>
      </c>
      <c r="B692" s="7" t="s">
        <v>663</v>
      </c>
      <c r="C692" s="8">
        <v>14872</v>
      </c>
      <c r="D692" s="9">
        <v>77289850</v>
      </c>
      <c r="E692" s="57">
        <v>200</v>
      </c>
      <c r="F692" s="10" t="s">
        <v>669</v>
      </c>
      <c r="G692" s="98">
        <v>0</v>
      </c>
      <c r="H692" s="9">
        <f t="shared" si="30"/>
        <v>0</v>
      </c>
      <c r="I692" s="11">
        <f t="shared" ca="1" si="28"/>
        <v>46124</v>
      </c>
      <c r="J692" s="11">
        <f t="shared" ca="1" si="29"/>
        <v>46118</v>
      </c>
      <c r="K692" s="13"/>
    </row>
    <row r="693" spans="1:11" ht="18" x14ac:dyDescent="0.4">
      <c r="A693" s="93" t="s">
        <v>475</v>
      </c>
      <c r="B693" s="7" t="s">
        <v>663</v>
      </c>
      <c r="C693" s="8">
        <v>14872</v>
      </c>
      <c r="D693" s="9">
        <v>77289860</v>
      </c>
      <c r="E693" s="57">
        <v>150</v>
      </c>
      <c r="F693" s="10" t="s">
        <v>670</v>
      </c>
      <c r="G693" s="98">
        <v>0</v>
      </c>
      <c r="H693" s="9">
        <f t="shared" si="30"/>
        <v>0</v>
      </c>
      <c r="I693" s="11">
        <f t="shared" ca="1" si="28"/>
        <v>46124</v>
      </c>
      <c r="J693" s="11">
        <f t="shared" ca="1" si="29"/>
        <v>46118</v>
      </c>
      <c r="K693" s="13"/>
    </row>
    <row r="694" spans="1:11" ht="18" x14ac:dyDescent="0.4">
      <c r="A694" s="93" t="s">
        <v>475</v>
      </c>
      <c r="B694" s="7" t="s">
        <v>663</v>
      </c>
      <c r="C694" s="8">
        <v>14872</v>
      </c>
      <c r="D694" s="9">
        <v>77289870</v>
      </c>
      <c r="E694" s="57">
        <v>400</v>
      </c>
      <c r="F694" s="10" t="s">
        <v>671</v>
      </c>
      <c r="G694" s="98">
        <v>0</v>
      </c>
      <c r="H694" s="9">
        <f t="shared" si="30"/>
        <v>0</v>
      </c>
      <c r="I694" s="11">
        <f t="shared" ca="1" si="28"/>
        <v>46124</v>
      </c>
      <c r="J694" s="11">
        <f t="shared" ca="1" si="29"/>
        <v>46118</v>
      </c>
      <c r="K694" s="13"/>
    </row>
    <row r="695" spans="1:11" ht="18" x14ac:dyDescent="0.4">
      <c r="A695" s="93" t="s">
        <v>475</v>
      </c>
      <c r="B695" s="7" t="s">
        <v>663</v>
      </c>
      <c r="C695" s="8">
        <v>14872</v>
      </c>
      <c r="D695" s="9">
        <v>77894040</v>
      </c>
      <c r="E695" s="57">
        <v>200</v>
      </c>
      <c r="F695" s="10" t="s">
        <v>672</v>
      </c>
      <c r="G695" s="98">
        <v>0</v>
      </c>
      <c r="H695" s="9">
        <f t="shared" si="30"/>
        <v>0</v>
      </c>
      <c r="I695" s="11">
        <f t="shared" ca="1" si="28"/>
        <v>46124</v>
      </c>
      <c r="J695" s="11">
        <f t="shared" ca="1" si="29"/>
        <v>46118</v>
      </c>
      <c r="K695" s="13"/>
    </row>
    <row r="696" spans="1:11" ht="18" x14ac:dyDescent="0.4">
      <c r="A696" s="93" t="s">
        <v>475</v>
      </c>
      <c r="B696" s="7" t="s">
        <v>663</v>
      </c>
      <c r="C696" s="8">
        <v>14872</v>
      </c>
      <c r="D696" s="9">
        <v>77894530</v>
      </c>
      <c r="E696" s="57">
        <v>400</v>
      </c>
      <c r="F696" s="10" t="s">
        <v>673</v>
      </c>
      <c r="G696" s="98">
        <v>0</v>
      </c>
      <c r="H696" s="9">
        <f t="shared" si="30"/>
        <v>0</v>
      </c>
      <c r="I696" s="11">
        <f t="shared" ca="1" si="28"/>
        <v>46124</v>
      </c>
      <c r="J696" s="11">
        <f t="shared" ca="1" si="29"/>
        <v>46118</v>
      </c>
      <c r="K696" s="13"/>
    </row>
    <row r="697" spans="1:11" ht="18" x14ac:dyDescent="0.4">
      <c r="A697" s="93" t="s">
        <v>475</v>
      </c>
      <c r="B697" s="7" t="s">
        <v>663</v>
      </c>
      <c r="C697" s="8">
        <v>14872</v>
      </c>
      <c r="D697" s="9">
        <v>77894540</v>
      </c>
      <c r="E697" s="57">
        <v>480</v>
      </c>
      <c r="F697" s="10" t="s">
        <v>674</v>
      </c>
      <c r="G697" s="98">
        <v>0</v>
      </c>
      <c r="H697" s="9">
        <f t="shared" si="30"/>
        <v>0</v>
      </c>
      <c r="I697" s="11">
        <f t="shared" ref="I697:I719" ca="1" si="31">I696</f>
        <v>46124</v>
      </c>
      <c r="J697" s="11">
        <f t="shared" ca="1" si="29"/>
        <v>46118</v>
      </c>
      <c r="K697" s="13"/>
    </row>
    <row r="698" spans="1:11" ht="18" x14ac:dyDescent="0.4">
      <c r="A698" s="93" t="s">
        <v>475</v>
      </c>
      <c r="B698" s="7" t="s">
        <v>663</v>
      </c>
      <c r="C698" s="8">
        <v>14872</v>
      </c>
      <c r="D698" s="9">
        <v>77894550</v>
      </c>
      <c r="E698" s="57">
        <v>400</v>
      </c>
      <c r="F698" s="10" t="s">
        <v>675</v>
      </c>
      <c r="G698" s="98">
        <v>0</v>
      </c>
      <c r="H698" s="9">
        <f t="shared" si="30"/>
        <v>0</v>
      </c>
      <c r="I698" s="11">
        <f t="shared" ca="1" si="31"/>
        <v>46124</v>
      </c>
      <c r="J698" s="11">
        <f t="shared" ca="1" si="29"/>
        <v>46118</v>
      </c>
      <c r="K698" s="13"/>
    </row>
    <row r="699" spans="1:11" ht="18" x14ac:dyDescent="0.4">
      <c r="A699" s="93" t="s">
        <v>475</v>
      </c>
      <c r="B699" s="7" t="s">
        <v>663</v>
      </c>
      <c r="C699" s="8">
        <v>14872</v>
      </c>
      <c r="D699" s="9">
        <v>77894560</v>
      </c>
      <c r="E699" s="57">
        <v>400</v>
      </c>
      <c r="F699" s="10" t="s">
        <v>676</v>
      </c>
      <c r="G699" s="98">
        <v>0</v>
      </c>
      <c r="H699" s="9">
        <f t="shared" si="30"/>
        <v>0</v>
      </c>
      <c r="I699" s="11">
        <f t="shared" ca="1" si="31"/>
        <v>46124</v>
      </c>
      <c r="J699" s="11">
        <f t="shared" ca="1" si="29"/>
        <v>46118</v>
      </c>
      <c r="K699" s="13"/>
    </row>
    <row r="700" spans="1:11" ht="18" x14ac:dyDescent="0.4">
      <c r="A700" s="93" t="s">
        <v>475</v>
      </c>
      <c r="B700" s="7" t="s">
        <v>663</v>
      </c>
      <c r="C700" s="8">
        <v>14872</v>
      </c>
      <c r="D700" s="9">
        <v>77894570</v>
      </c>
      <c r="E700" s="57">
        <v>400</v>
      </c>
      <c r="F700" s="10" t="s">
        <v>677</v>
      </c>
      <c r="G700" s="98">
        <v>0</v>
      </c>
      <c r="H700" s="9">
        <f t="shared" si="30"/>
        <v>0</v>
      </c>
      <c r="I700" s="11">
        <f t="shared" ca="1" si="31"/>
        <v>46124</v>
      </c>
      <c r="J700" s="11">
        <f t="shared" ca="1" si="29"/>
        <v>46118</v>
      </c>
      <c r="K700" s="13"/>
    </row>
    <row r="701" spans="1:11" ht="18" x14ac:dyDescent="0.4">
      <c r="A701" s="93" t="s">
        <v>475</v>
      </c>
      <c r="B701" s="7" t="s">
        <v>663</v>
      </c>
      <c r="C701" s="8">
        <v>14872</v>
      </c>
      <c r="D701" s="9">
        <v>102980600</v>
      </c>
      <c r="E701" s="57">
        <v>2000</v>
      </c>
      <c r="F701" s="10" t="s">
        <v>678</v>
      </c>
      <c r="G701" s="98">
        <v>0</v>
      </c>
      <c r="H701" s="9">
        <f t="shared" si="30"/>
        <v>0</v>
      </c>
      <c r="I701" s="11">
        <f t="shared" ca="1" si="31"/>
        <v>46124</v>
      </c>
      <c r="J701" s="11">
        <f t="shared" ca="1" si="29"/>
        <v>46118</v>
      </c>
      <c r="K701" s="13"/>
    </row>
    <row r="702" spans="1:11" ht="18" x14ac:dyDescent="0.4">
      <c r="A702" s="93" t="s">
        <v>475</v>
      </c>
      <c r="B702" s="16" t="s">
        <v>663</v>
      </c>
      <c r="C702" s="8">
        <v>14872</v>
      </c>
      <c r="D702" s="9">
        <v>126444210</v>
      </c>
      <c r="E702" s="57">
        <v>450</v>
      </c>
      <c r="F702" s="10" t="s">
        <v>679</v>
      </c>
      <c r="G702" s="98">
        <v>0</v>
      </c>
      <c r="H702" s="9">
        <f t="shared" si="30"/>
        <v>0</v>
      </c>
      <c r="I702" s="11">
        <f t="shared" ca="1" si="31"/>
        <v>46124</v>
      </c>
      <c r="J702" s="11">
        <f t="shared" ca="1" si="29"/>
        <v>46118</v>
      </c>
      <c r="K702" s="13"/>
    </row>
    <row r="703" spans="1:11" ht="18" x14ac:dyDescent="0.4">
      <c r="A703" s="93" t="s">
        <v>475</v>
      </c>
      <c r="B703" s="16" t="s">
        <v>663</v>
      </c>
      <c r="C703" s="8">
        <v>14872</v>
      </c>
      <c r="D703" s="9">
        <v>552738480</v>
      </c>
      <c r="E703" s="57">
        <v>300</v>
      </c>
      <c r="F703" s="10" t="s">
        <v>680</v>
      </c>
      <c r="G703" s="98">
        <v>0</v>
      </c>
      <c r="H703" s="9">
        <f t="shared" si="30"/>
        <v>0</v>
      </c>
      <c r="I703" s="11">
        <f t="shared" ca="1" si="31"/>
        <v>46124</v>
      </c>
      <c r="J703" s="11">
        <f t="shared" ca="1" si="29"/>
        <v>46118</v>
      </c>
      <c r="K703" s="13"/>
    </row>
    <row r="704" spans="1:11" ht="18" x14ac:dyDescent="0.4">
      <c r="A704" s="93" t="s">
        <v>475</v>
      </c>
      <c r="B704" s="16" t="s">
        <v>681</v>
      </c>
      <c r="C704" s="8">
        <v>61950</v>
      </c>
      <c r="D704" s="9">
        <v>551942240</v>
      </c>
      <c r="E704" s="57">
        <v>100</v>
      </c>
      <c r="F704" s="10" t="s">
        <v>682</v>
      </c>
      <c r="G704" s="98">
        <v>0</v>
      </c>
      <c r="H704" s="9">
        <f t="shared" si="30"/>
        <v>0</v>
      </c>
      <c r="I704" s="11">
        <f t="shared" ca="1" si="31"/>
        <v>46124</v>
      </c>
      <c r="J704" s="11">
        <f t="shared" ca="1" si="29"/>
        <v>46118</v>
      </c>
      <c r="K704" s="13"/>
    </row>
    <row r="705" spans="1:11" ht="18" x14ac:dyDescent="0.4">
      <c r="A705" s="93" t="s">
        <v>475</v>
      </c>
      <c r="B705" s="16" t="s">
        <v>681</v>
      </c>
      <c r="C705" s="8">
        <v>61950</v>
      </c>
      <c r="D705" s="9">
        <v>552110600</v>
      </c>
      <c r="E705" s="57">
        <v>100</v>
      </c>
      <c r="F705" s="10" t="s">
        <v>682</v>
      </c>
      <c r="G705" s="98">
        <v>0</v>
      </c>
      <c r="H705" s="9">
        <f t="shared" si="30"/>
        <v>0</v>
      </c>
      <c r="I705" s="11">
        <f t="shared" ca="1" si="31"/>
        <v>46124</v>
      </c>
      <c r="J705" s="11">
        <f t="shared" ca="1" si="29"/>
        <v>46118</v>
      </c>
      <c r="K705" s="13"/>
    </row>
    <row r="706" spans="1:11" ht="18" x14ac:dyDescent="0.4">
      <c r="A706" s="93" t="s">
        <v>475</v>
      </c>
      <c r="B706" s="16" t="s">
        <v>683</v>
      </c>
      <c r="C706" s="8">
        <v>43317</v>
      </c>
      <c r="D706" s="9">
        <v>76047570</v>
      </c>
      <c r="E706" s="57">
        <v>684</v>
      </c>
      <c r="F706" s="10" t="s">
        <v>612</v>
      </c>
      <c r="G706" s="98">
        <v>0</v>
      </c>
      <c r="H706" s="9">
        <f t="shared" si="30"/>
        <v>0</v>
      </c>
      <c r="I706" s="11">
        <f t="shared" ca="1" si="31"/>
        <v>46124</v>
      </c>
      <c r="J706" s="11">
        <f t="shared" ca="1" si="29"/>
        <v>46118</v>
      </c>
      <c r="K706" s="13"/>
    </row>
    <row r="707" spans="1:11" ht="18" x14ac:dyDescent="0.4">
      <c r="A707" s="93" t="s">
        <v>475</v>
      </c>
      <c r="B707" s="7" t="s">
        <v>684</v>
      </c>
      <c r="C707" s="8">
        <v>41341</v>
      </c>
      <c r="D707" s="9">
        <v>75530320</v>
      </c>
      <c r="E707" s="57">
        <v>2500</v>
      </c>
      <c r="F707" s="10" t="s">
        <v>685</v>
      </c>
      <c r="G707" s="98">
        <v>0</v>
      </c>
      <c r="H707" s="9">
        <f t="shared" si="30"/>
        <v>0</v>
      </c>
      <c r="I707" s="11">
        <f t="shared" ca="1" si="31"/>
        <v>46124</v>
      </c>
      <c r="J707" s="11">
        <f t="shared" ca="1" si="29"/>
        <v>46118</v>
      </c>
      <c r="K707" s="13"/>
    </row>
    <row r="708" spans="1:11" ht="18" x14ac:dyDescent="0.4">
      <c r="A708" s="93" t="s">
        <v>475</v>
      </c>
      <c r="B708" s="7" t="s">
        <v>684</v>
      </c>
      <c r="C708" s="7">
        <v>41341</v>
      </c>
      <c r="D708" s="9">
        <v>464384590</v>
      </c>
      <c r="E708" s="57">
        <v>1200</v>
      </c>
      <c r="F708" s="19" t="s">
        <v>686</v>
      </c>
      <c r="G708" s="98">
        <v>0</v>
      </c>
      <c r="H708" s="9">
        <f t="shared" si="30"/>
        <v>0</v>
      </c>
      <c r="I708" s="11">
        <f t="shared" ca="1" si="31"/>
        <v>46124</v>
      </c>
      <c r="J708" s="11">
        <f t="shared" ca="1" si="29"/>
        <v>46118</v>
      </c>
      <c r="K708" s="8"/>
    </row>
    <row r="709" spans="1:11" ht="18" x14ac:dyDescent="0.4">
      <c r="A709" s="93" t="s">
        <v>475</v>
      </c>
      <c r="B709" s="7" t="s">
        <v>684</v>
      </c>
      <c r="C709" s="7">
        <v>41341</v>
      </c>
      <c r="D709" s="9">
        <v>552153790</v>
      </c>
      <c r="E709" s="57">
        <v>150</v>
      </c>
      <c r="F709" s="19" t="s">
        <v>687</v>
      </c>
      <c r="G709" s="98">
        <v>0</v>
      </c>
      <c r="H709" s="9">
        <f t="shared" si="30"/>
        <v>0</v>
      </c>
      <c r="I709" s="36">
        <f t="shared" ca="1" si="31"/>
        <v>46124</v>
      </c>
      <c r="J709" s="36">
        <f t="shared" ca="1" si="29"/>
        <v>46118</v>
      </c>
      <c r="K709" s="8"/>
    </row>
    <row r="710" spans="1:11" ht="18" x14ac:dyDescent="0.4">
      <c r="A710" s="27" t="s">
        <v>475</v>
      </c>
      <c r="B710" s="28" t="s">
        <v>200</v>
      </c>
      <c r="C710" s="28">
        <v>1073</v>
      </c>
      <c r="D710" s="29">
        <v>552795241</v>
      </c>
      <c r="E710" s="68">
        <v>28</v>
      </c>
      <c r="F710" s="30" t="s">
        <v>688</v>
      </c>
      <c r="G710" s="9">
        <v>0</v>
      </c>
      <c r="H710" s="29">
        <f t="shared" si="30"/>
        <v>0</v>
      </c>
      <c r="I710" s="11">
        <f t="shared" ca="1" si="31"/>
        <v>46124</v>
      </c>
      <c r="J710" s="11">
        <f t="shared" ca="1" si="29"/>
        <v>46118</v>
      </c>
      <c r="K710" s="31"/>
    </row>
    <row r="711" spans="1:11" ht="18" x14ac:dyDescent="0.4">
      <c r="A711" s="7" t="s">
        <v>475</v>
      </c>
      <c r="B711" s="7" t="s">
        <v>200</v>
      </c>
      <c r="C711" s="7">
        <v>1073</v>
      </c>
      <c r="D711" s="9">
        <v>552649671</v>
      </c>
      <c r="E711" s="57">
        <v>48</v>
      </c>
      <c r="F711" s="19" t="s">
        <v>689</v>
      </c>
      <c r="G711" s="9">
        <v>0</v>
      </c>
      <c r="H711" s="9">
        <f t="shared" si="30"/>
        <v>0</v>
      </c>
      <c r="I711" s="11">
        <f t="shared" ca="1" si="31"/>
        <v>46124</v>
      </c>
      <c r="J711" s="11">
        <f t="shared" ca="1" si="29"/>
        <v>46118</v>
      </c>
      <c r="K711" s="13"/>
    </row>
    <row r="712" spans="1:11" ht="18" x14ac:dyDescent="0.4">
      <c r="A712" s="7" t="s">
        <v>475</v>
      </c>
      <c r="B712" s="7" t="s">
        <v>200</v>
      </c>
      <c r="C712" s="7">
        <v>1073</v>
      </c>
      <c r="D712" s="9">
        <v>463516451</v>
      </c>
      <c r="E712" s="57">
        <v>28</v>
      </c>
      <c r="F712" s="96" t="s">
        <v>690</v>
      </c>
      <c r="G712" s="9">
        <v>0</v>
      </c>
      <c r="H712" s="9">
        <f t="shared" si="30"/>
        <v>0</v>
      </c>
      <c r="I712" s="11">
        <f t="shared" ca="1" si="31"/>
        <v>46124</v>
      </c>
      <c r="J712" s="11">
        <f t="shared" ca="1" si="29"/>
        <v>46118</v>
      </c>
      <c r="K712" s="13"/>
    </row>
    <row r="713" spans="1:11" ht="18" x14ac:dyDescent="0.4">
      <c r="A713" s="7" t="s">
        <v>475</v>
      </c>
      <c r="B713" s="7" t="s">
        <v>200</v>
      </c>
      <c r="C713" s="7">
        <v>1073</v>
      </c>
      <c r="D713" s="9">
        <v>552649651</v>
      </c>
      <c r="E713" s="57">
        <v>24</v>
      </c>
      <c r="F713" s="19" t="s">
        <v>691</v>
      </c>
      <c r="G713" s="9">
        <v>0</v>
      </c>
      <c r="H713" s="9">
        <f t="shared" si="30"/>
        <v>0</v>
      </c>
      <c r="I713" s="11">
        <f t="shared" ca="1" si="31"/>
        <v>46124</v>
      </c>
      <c r="J713" s="11">
        <f t="shared" ca="1" si="29"/>
        <v>46118</v>
      </c>
      <c r="K713" s="8"/>
    </row>
    <row r="714" spans="1:11" ht="18" x14ac:dyDescent="0.4">
      <c r="A714" s="7" t="s">
        <v>475</v>
      </c>
      <c r="B714" s="7" t="s">
        <v>200</v>
      </c>
      <c r="C714" s="7">
        <v>1073</v>
      </c>
      <c r="D714" s="9">
        <v>463471951</v>
      </c>
      <c r="E714" s="57">
        <v>48</v>
      </c>
      <c r="F714" s="19" t="s">
        <v>692</v>
      </c>
      <c r="G714" s="9">
        <v>0</v>
      </c>
      <c r="H714" s="9">
        <f t="shared" si="30"/>
        <v>0</v>
      </c>
      <c r="I714" s="11">
        <f t="shared" ca="1" si="31"/>
        <v>46124</v>
      </c>
      <c r="J714" s="11">
        <f t="shared" ca="1" si="29"/>
        <v>46118</v>
      </c>
      <c r="K714" s="8"/>
    </row>
    <row r="715" spans="1:11" ht="18" x14ac:dyDescent="0.4">
      <c r="A715" s="7" t="s">
        <v>475</v>
      </c>
      <c r="B715" s="7" t="s">
        <v>452</v>
      </c>
      <c r="C715" s="7">
        <v>56589</v>
      </c>
      <c r="D715" s="9">
        <v>976510460</v>
      </c>
      <c r="E715" s="57">
        <v>30</v>
      </c>
      <c r="F715" s="19" t="s">
        <v>693</v>
      </c>
      <c r="G715" s="9">
        <v>0</v>
      </c>
      <c r="H715" s="9">
        <f t="shared" si="30"/>
        <v>0</v>
      </c>
      <c r="I715" s="11">
        <f t="shared" ca="1" si="31"/>
        <v>46124</v>
      </c>
      <c r="J715" s="11">
        <f t="shared" ca="1" si="29"/>
        <v>46118</v>
      </c>
      <c r="K715" s="8"/>
    </row>
    <row r="716" spans="1:11" ht="18" x14ac:dyDescent="0.4">
      <c r="A716" s="7" t="s">
        <v>475</v>
      </c>
      <c r="B716" s="7" t="s">
        <v>452</v>
      </c>
      <c r="C716" s="7">
        <v>56589</v>
      </c>
      <c r="D716" s="9">
        <v>976510450</v>
      </c>
      <c r="E716" s="57">
        <v>50</v>
      </c>
      <c r="F716" s="19" t="s">
        <v>694</v>
      </c>
      <c r="G716" s="9">
        <v>0</v>
      </c>
      <c r="H716" s="9">
        <f t="shared" si="30"/>
        <v>0</v>
      </c>
      <c r="I716" s="11">
        <f t="shared" ca="1" si="31"/>
        <v>46124</v>
      </c>
      <c r="J716" s="11">
        <f t="shared" ca="1" si="29"/>
        <v>46118</v>
      </c>
      <c r="K716" s="8"/>
    </row>
    <row r="717" spans="1:11" ht="18" x14ac:dyDescent="0.4">
      <c r="A717" s="7" t="s">
        <v>475</v>
      </c>
      <c r="B717" s="7" t="s">
        <v>452</v>
      </c>
      <c r="C717" s="7">
        <v>56589</v>
      </c>
      <c r="D717" s="9">
        <v>463528128</v>
      </c>
      <c r="E717" s="57">
        <v>50</v>
      </c>
      <c r="F717" s="96" t="s">
        <v>695</v>
      </c>
      <c r="G717" s="9">
        <v>0</v>
      </c>
      <c r="H717" s="9">
        <f t="shared" si="30"/>
        <v>0</v>
      </c>
      <c r="I717" s="11">
        <f t="shared" ca="1" si="31"/>
        <v>46124</v>
      </c>
      <c r="J717" s="11">
        <f t="shared" ref="J717:J719" ca="1" si="32">TODAY()</f>
        <v>46118</v>
      </c>
      <c r="K717" s="8"/>
    </row>
    <row r="718" spans="1:11" ht="18" x14ac:dyDescent="0.4">
      <c r="A718" s="7" t="s">
        <v>475</v>
      </c>
      <c r="B718" s="7" t="s">
        <v>452</v>
      </c>
      <c r="C718" s="7">
        <v>56589</v>
      </c>
      <c r="D718" s="9">
        <v>552553318</v>
      </c>
      <c r="E718" s="57">
        <v>30</v>
      </c>
      <c r="F718" s="19" t="s">
        <v>688</v>
      </c>
      <c r="G718" s="9">
        <v>0</v>
      </c>
      <c r="H718" s="9">
        <f t="shared" si="30"/>
        <v>0</v>
      </c>
      <c r="I718" s="11">
        <f t="shared" ca="1" si="31"/>
        <v>46124</v>
      </c>
      <c r="J718" s="11">
        <f t="shared" ca="1" si="32"/>
        <v>46118</v>
      </c>
      <c r="K718" s="8"/>
    </row>
    <row r="719" spans="1:11" ht="18" x14ac:dyDescent="0.4">
      <c r="A719" s="7" t="s">
        <v>475</v>
      </c>
      <c r="B719" s="7" t="s">
        <v>452</v>
      </c>
      <c r="C719" s="7">
        <v>56589</v>
      </c>
      <c r="D719" s="9">
        <v>463530718</v>
      </c>
      <c r="E719" s="57">
        <v>30</v>
      </c>
      <c r="F719" s="96" t="s">
        <v>696</v>
      </c>
      <c r="G719" s="9">
        <v>0</v>
      </c>
      <c r="H719" s="9">
        <f t="shared" si="30"/>
        <v>0</v>
      </c>
      <c r="I719" s="11">
        <f t="shared" ca="1" si="31"/>
        <v>46124</v>
      </c>
      <c r="J719" s="11">
        <f t="shared" ca="1" si="32"/>
        <v>46118</v>
      </c>
      <c r="K719" s="8"/>
    </row>
    <row r="720" spans="1:11" ht="18" x14ac:dyDescent="0.4">
      <c r="A720" s="20"/>
      <c r="B720" s="16"/>
      <c r="C720" s="16"/>
      <c r="D720" s="9"/>
      <c r="E720" s="63"/>
      <c r="F720" s="16"/>
      <c r="G720" s="16"/>
      <c r="H720" s="16"/>
      <c r="I720" s="11"/>
      <c r="J720" s="16"/>
      <c r="K720" s="21"/>
    </row>
    <row r="721" spans="1:11" ht="18" x14ac:dyDescent="0.4">
      <c r="A721" s="20"/>
      <c r="B721" s="16"/>
      <c r="C721" s="16"/>
      <c r="D721" s="9"/>
      <c r="E721" s="63"/>
      <c r="F721" s="16"/>
      <c r="G721" s="16"/>
      <c r="H721" s="16"/>
      <c r="I721" s="16"/>
      <c r="J721" s="16"/>
      <c r="K721" s="21"/>
    </row>
    <row r="722" spans="1:11" ht="18" x14ac:dyDescent="0.4">
      <c r="A722" s="20"/>
      <c r="B722" s="16"/>
      <c r="C722" s="16"/>
      <c r="D722" s="9"/>
      <c r="E722" s="63"/>
      <c r="F722" s="16"/>
      <c r="G722" s="16"/>
      <c r="H722" s="16"/>
      <c r="I722" s="16"/>
      <c r="J722" s="16"/>
      <c r="K722" s="21"/>
    </row>
    <row r="723" spans="1:11" ht="18" x14ac:dyDescent="0.4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1" ht="18" x14ac:dyDescent="0.4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1" ht="18" x14ac:dyDescent="0.4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1" ht="18" x14ac:dyDescent="0.4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1" ht="18" x14ac:dyDescent="0.4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1" ht="18" x14ac:dyDescent="0.4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1" ht="18" x14ac:dyDescent="0.4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1" ht="18" x14ac:dyDescent="0.4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1" ht="18" x14ac:dyDescent="0.4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1" ht="18" x14ac:dyDescent="0.4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1" ht="18" x14ac:dyDescent="0.4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1" ht="18" x14ac:dyDescent="0.4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1" ht="18" x14ac:dyDescent="0.4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1" ht="18" x14ac:dyDescent="0.4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 x14ac:dyDescent="0.4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 x14ac:dyDescent="0.4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 x14ac:dyDescent="0.4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 x14ac:dyDescent="0.4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 x14ac:dyDescent="0.4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 x14ac:dyDescent="0.4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 x14ac:dyDescent="0.4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 x14ac:dyDescent="0.4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 x14ac:dyDescent="0.4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 x14ac:dyDescent="0.4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 x14ac:dyDescent="0.4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 x14ac:dyDescent="0.4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 x14ac:dyDescent="0.4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 x14ac:dyDescent="0.4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 x14ac:dyDescent="0.4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 x14ac:dyDescent="0.4">
      <c r="A752" s="20"/>
      <c r="B752" s="16"/>
      <c r="C752" s="16"/>
      <c r="D752" s="9"/>
      <c r="E752" s="63"/>
      <c r="F752" s="16"/>
      <c r="G752" s="16"/>
      <c r="H752" s="16"/>
      <c r="I752" s="16"/>
      <c r="J752" s="16"/>
      <c r="K752" s="21"/>
    </row>
    <row r="753" spans="1:11" ht="18" x14ac:dyDescent="0.4">
      <c r="A753" s="20"/>
      <c r="B753" s="16"/>
      <c r="C753" s="16"/>
      <c r="D753" s="9"/>
      <c r="E753" s="63"/>
      <c r="F753" s="16"/>
      <c r="G753" s="16"/>
      <c r="H753" s="16"/>
      <c r="I753" s="16"/>
      <c r="J753" s="16"/>
      <c r="K753" s="21"/>
    </row>
    <row r="754" spans="1:11" ht="18" x14ac:dyDescent="0.4">
      <c r="A754" s="20"/>
      <c r="B754" s="16"/>
      <c r="C754" s="16"/>
      <c r="D754" s="9"/>
      <c r="E754" s="63"/>
      <c r="F754" s="16"/>
      <c r="G754" s="16"/>
      <c r="H754" s="16"/>
      <c r="I754" s="16"/>
      <c r="J754" s="16"/>
      <c r="K754" s="21"/>
    </row>
    <row r="755" spans="1:11" ht="18" x14ac:dyDescent="0.4">
      <c r="A755" s="20"/>
      <c r="B755" s="16"/>
      <c r="C755" s="16"/>
      <c r="D755" s="9"/>
      <c r="E755" s="63"/>
      <c r="F755" s="16"/>
      <c r="G755" s="16"/>
      <c r="H755" s="16"/>
      <c r="I755" s="16"/>
      <c r="J755" s="16"/>
      <c r="K755" s="21"/>
    </row>
    <row r="756" spans="1:11" ht="18" x14ac:dyDescent="0.4">
      <c r="A756" s="20"/>
      <c r="B756" s="16"/>
      <c r="C756" s="16"/>
      <c r="D756" s="7"/>
      <c r="E756" s="63"/>
      <c r="F756" s="16"/>
      <c r="G756" s="16"/>
      <c r="H756" s="16"/>
      <c r="I756" s="16"/>
      <c r="J756" s="16"/>
      <c r="K756" s="21"/>
    </row>
    <row r="757" spans="1:11" ht="18" x14ac:dyDescent="0.4">
      <c r="A757" s="20"/>
      <c r="B757" s="16"/>
      <c r="C757" s="16"/>
      <c r="D757" s="7"/>
      <c r="E757" s="63"/>
      <c r="F757" s="16"/>
      <c r="G757" s="16"/>
      <c r="H757" s="16"/>
      <c r="I757" s="16"/>
      <c r="J757" s="16"/>
      <c r="K757" s="21"/>
    </row>
    <row r="758" spans="1:11" ht="18" x14ac:dyDescent="0.4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 x14ac:dyDescent="0.4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 x14ac:dyDescent="0.4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 x14ac:dyDescent="0.4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 x14ac:dyDescent="0.4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 x14ac:dyDescent="0.4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 x14ac:dyDescent="0.4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 x14ac:dyDescent="0.4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 x14ac:dyDescent="0.4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 x14ac:dyDescent="0.4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 x14ac:dyDescent="0.4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 x14ac:dyDescent="0.4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 x14ac:dyDescent="0.4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 x14ac:dyDescent="0.4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 x14ac:dyDescent="0.4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 x14ac:dyDescent="0.4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 x14ac:dyDescent="0.4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 x14ac:dyDescent="0.4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 x14ac:dyDescent="0.4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 x14ac:dyDescent="0.4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 x14ac:dyDescent="0.4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 x14ac:dyDescent="0.4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 x14ac:dyDescent="0.4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 x14ac:dyDescent="0.4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 x14ac:dyDescent="0.4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 x14ac:dyDescent="0.4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 x14ac:dyDescent="0.4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 x14ac:dyDescent="0.4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 x14ac:dyDescent="0.4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 x14ac:dyDescent="0.4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 x14ac:dyDescent="0.4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 x14ac:dyDescent="0.4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 x14ac:dyDescent="0.4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 x14ac:dyDescent="0.4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 x14ac:dyDescent="0.4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 x14ac:dyDescent="0.4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 x14ac:dyDescent="0.4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 x14ac:dyDescent="0.4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 x14ac:dyDescent="0.4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 x14ac:dyDescent="0.4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 x14ac:dyDescent="0.4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 x14ac:dyDescent="0.4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 x14ac:dyDescent="0.4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 x14ac:dyDescent="0.4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 x14ac:dyDescent="0.4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 x14ac:dyDescent="0.4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 x14ac:dyDescent="0.4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 x14ac:dyDescent="0.4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 x14ac:dyDescent="0.4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 x14ac:dyDescent="0.4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 x14ac:dyDescent="0.4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 x14ac:dyDescent="0.4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 x14ac:dyDescent="0.4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 x14ac:dyDescent="0.4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 x14ac:dyDescent="0.4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 x14ac:dyDescent="0.4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 x14ac:dyDescent="0.4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 x14ac:dyDescent="0.4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 x14ac:dyDescent="0.4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 x14ac:dyDescent="0.4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 x14ac:dyDescent="0.4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 x14ac:dyDescent="0.4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 x14ac:dyDescent="0.4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 x14ac:dyDescent="0.4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 x14ac:dyDescent="0.4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 x14ac:dyDescent="0.4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 x14ac:dyDescent="0.4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 x14ac:dyDescent="0.4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 x14ac:dyDescent="0.4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 x14ac:dyDescent="0.4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 x14ac:dyDescent="0.4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 x14ac:dyDescent="0.4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 x14ac:dyDescent="0.4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 x14ac:dyDescent="0.4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 x14ac:dyDescent="0.4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 x14ac:dyDescent="0.4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 x14ac:dyDescent="0.4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 x14ac:dyDescent="0.4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 x14ac:dyDescent="0.4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 x14ac:dyDescent="0.4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 x14ac:dyDescent="0.4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 x14ac:dyDescent="0.4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 x14ac:dyDescent="0.4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 x14ac:dyDescent="0.4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 x14ac:dyDescent="0.4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 x14ac:dyDescent="0.4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 x14ac:dyDescent="0.4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 x14ac:dyDescent="0.4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 x14ac:dyDescent="0.4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 x14ac:dyDescent="0.4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 x14ac:dyDescent="0.4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 x14ac:dyDescent="0.4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 x14ac:dyDescent="0.4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 x14ac:dyDescent="0.4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 x14ac:dyDescent="0.4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 x14ac:dyDescent="0.4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 x14ac:dyDescent="0.4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 x14ac:dyDescent="0.4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 x14ac:dyDescent="0.4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 x14ac:dyDescent="0.4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 x14ac:dyDescent="0.4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 x14ac:dyDescent="0.4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 x14ac:dyDescent="0.4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 x14ac:dyDescent="0.4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 x14ac:dyDescent="0.4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 x14ac:dyDescent="0.4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 x14ac:dyDescent="0.4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 x14ac:dyDescent="0.4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 x14ac:dyDescent="0.4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 x14ac:dyDescent="0.4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 x14ac:dyDescent="0.4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 x14ac:dyDescent="0.4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 x14ac:dyDescent="0.4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 x14ac:dyDescent="0.4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 x14ac:dyDescent="0.4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 x14ac:dyDescent="0.4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 x14ac:dyDescent="0.4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 x14ac:dyDescent="0.4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 x14ac:dyDescent="0.4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 x14ac:dyDescent="0.4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 x14ac:dyDescent="0.4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 x14ac:dyDescent="0.4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 x14ac:dyDescent="0.4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 x14ac:dyDescent="0.4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 x14ac:dyDescent="0.4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 x14ac:dyDescent="0.4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 x14ac:dyDescent="0.4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 x14ac:dyDescent="0.4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 x14ac:dyDescent="0.4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 x14ac:dyDescent="0.4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 x14ac:dyDescent="0.4">
      <c r="A888" s="20"/>
      <c r="B888" s="16"/>
      <c r="C888" s="16"/>
      <c r="D888" s="7"/>
      <c r="E888" s="63"/>
      <c r="F888" s="16"/>
      <c r="G888" s="16"/>
      <c r="H888" s="16"/>
      <c r="I888" s="16"/>
      <c r="J888" s="16"/>
      <c r="K888" s="21"/>
    </row>
    <row r="889" spans="1:11" ht="18" x14ac:dyDescent="0.4">
      <c r="A889" s="20"/>
      <c r="B889" s="16"/>
      <c r="C889" s="16"/>
      <c r="D889" s="7"/>
      <c r="E889" s="63"/>
      <c r="F889" s="16"/>
      <c r="G889" s="16"/>
      <c r="H889" s="16"/>
      <c r="I889" s="16"/>
      <c r="J889" s="16"/>
      <c r="K889" s="21"/>
    </row>
    <row r="890" spans="1:11" ht="18" x14ac:dyDescent="0.4">
      <c r="A890" s="20"/>
      <c r="B890" s="16"/>
      <c r="C890" s="16"/>
      <c r="D890" s="7"/>
      <c r="E890" s="63"/>
      <c r="F890" s="16"/>
      <c r="G890" s="16"/>
      <c r="H890" s="16"/>
      <c r="I890" s="16"/>
      <c r="J890" s="16"/>
      <c r="K890" s="21"/>
    </row>
    <row r="891" spans="1:11" ht="18" x14ac:dyDescent="0.4">
      <c r="A891" s="20"/>
      <c r="B891" s="16"/>
      <c r="C891" s="16"/>
      <c r="D891" s="7"/>
      <c r="E891" s="63"/>
      <c r="F891" s="16"/>
      <c r="G891" s="16"/>
      <c r="H891" s="16"/>
      <c r="I891" s="16"/>
      <c r="J891" s="16"/>
      <c r="K891" s="21"/>
    </row>
    <row r="892" spans="1:11" ht="18" x14ac:dyDescent="0.4">
      <c r="A892" s="20"/>
      <c r="B892" s="16"/>
      <c r="C892" s="16"/>
      <c r="D892" s="16"/>
      <c r="E892" s="63"/>
      <c r="F892" s="16"/>
      <c r="G892" s="16"/>
      <c r="H892" s="16"/>
      <c r="I892" s="16"/>
      <c r="J892" s="16"/>
      <c r="K892" s="21"/>
    </row>
    <row r="893" spans="1:11" ht="18" x14ac:dyDescent="0.4">
      <c r="A893" s="20"/>
      <c r="B893" s="16"/>
      <c r="C893" s="16"/>
      <c r="D893" s="16"/>
      <c r="E893" s="63"/>
      <c r="F893" s="16"/>
      <c r="G893" s="16"/>
      <c r="H893" s="16"/>
      <c r="I893" s="16"/>
      <c r="J893" s="16"/>
      <c r="K893" s="21"/>
    </row>
    <row r="894" spans="1:11" ht="18" x14ac:dyDescent="0.4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 x14ac:dyDescent="0.4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 x14ac:dyDescent="0.4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 x14ac:dyDescent="0.4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 x14ac:dyDescent="0.4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 x14ac:dyDescent="0.4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 x14ac:dyDescent="0.4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 x14ac:dyDescent="0.4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 x14ac:dyDescent="0.4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 x14ac:dyDescent="0.4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 x14ac:dyDescent="0.4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 x14ac:dyDescent="0.4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 x14ac:dyDescent="0.4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 x14ac:dyDescent="0.4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 x14ac:dyDescent="0.4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 x14ac:dyDescent="0.4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 x14ac:dyDescent="0.4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 x14ac:dyDescent="0.4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 x14ac:dyDescent="0.4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 x14ac:dyDescent="0.4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 x14ac:dyDescent="0.4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 x14ac:dyDescent="0.4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 x14ac:dyDescent="0.4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 x14ac:dyDescent="0.4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 x14ac:dyDescent="0.4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 x14ac:dyDescent="0.4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 x14ac:dyDescent="0.4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 x14ac:dyDescent="0.4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 x14ac:dyDescent="0.4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 x14ac:dyDescent="0.4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 x14ac:dyDescent="0.4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 x14ac:dyDescent="0.4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 x14ac:dyDescent="0.4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 x14ac:dyDescent="0.4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 x14ac:dyDescent="0.4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 x14ac:dyDescent="0.4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 x14ac:dyDescent="0.4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 x14ac:dyDescent="0.4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 x14ac:dyDescent="0.4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 x14ac:dyDescent="0.4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 x14ac:dyDescent="0.4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 x14ac:dyDescent="0.4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 x14ac:dyDescent="0.4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 x14ac:dyDescent="0.4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 x14ac:dyDescent="0.4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 x14ac:dyDescent="0.4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 x14ac:dyDescent="0.4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 x14ac:dyDescent="0.4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 x14ac:dyDescent="0.4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 x14ac:dyDescent="0.4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 x14ac:dyDescent="0.4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 x14ac:dyDescent="0.4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 x14ac:dyDescent="0.4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 x14ac:dyDescent="0.4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 x14ac:dyDescent="0.4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 x14ac:dyDescent="0.4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 x14ac:dyDescent="0.4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 x14ac:dyDescent="0.4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 x14ac:dyDescent="0.4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 x14ac:dyDescent="0.4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 x14ac:dyDescent="0.4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 x14ac:dyDescent="0.4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 x14ac:dyDescent="0.4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 x14ac:dyDescent="0.4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 x14ac:dyDescent="0.4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 x14ac:dyDescent="0.4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 x14ac:dyDescent="0.4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 x14ac:dyDescent="0.4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 x14ac:dyDescent="0.4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 x14ac:dyDescent="0.4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 x14ac:dyDescent="0.4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 x14ac:dyDescent="0.4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 x14ac:dyDescent="0.4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 x14ac:dyDescent="0.4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 x14ac:dyDescent="0.4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 x14ac:dyDescent="0.4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 x14ac:dyDescent="0.4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 x14ac:dyDescent="0.4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 x14ac:dyDescent="0.4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 x14ac:dyDescent="0.4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 x14ac:dyDescent="0.4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 x14ac:dyDescent="0.4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 x14ac:dyDescent="0.4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 x14ac:dyDescent="0.4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 x14ac:dyDescent="0.4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 x14ac:dyDescent="0.4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 x14ac:dyDescent="0.4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 x14ac:dyDescent="0.4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 x14ac:dyDescent="0.4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 x14ac:dyDescent="0.4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 x14ac:dyDescent="0.4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 x14ac:dyDescent="0.4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 x14ac:dyDescent="0.4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 x14ac:dyDescent="0.4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 x14ac:dyDescent="0.4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 x14ac:dyDescent="0.4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 x14ac:dyDescent="0.4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 x14ac:dyDescent="0.4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 x14ac:dyDescent="0.4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 x14ac:dyDescent="0.4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 x14ac:dyDescent="0.4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 x14ac:dyDescent="0.4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 x14ac:dyDescent="0.4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 x14ac:dyDescent="0.4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 x14ac:dyDescent="0.4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 x14ac:dyDescent="0.4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 x14ac:dyDescent="0.4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 x14ac:dyDescent="0.4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 x14ac:dyDescent="0.4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 x14ac:dyDescent="0.4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 x14ac:dyDescent="0.4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 x14ac:dyDescent="0.4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 x14ac:dyDescent="0.4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 x14ac:dyDescent="0.4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  <row r="1008" spans="1:11" ht="18" x14ac:dyDescent="0.4">
      <c r="A1008" s="20"/>
      <c r="B1008" s="16"/>
      <c r="C1008" s="16"/>
      <c r="D1008" s="16"/>
      <c r="E1008" s="63"/>
      <c r="F1008" s="16"/>
      <c r="G1008" s="16"/>
      <c r="H1008" s="16"/>
      <c r="I1008" s="16"/>
      <c r="J1008" s="16"/>
      <c r="K1008" s="21"/>
    </row>
    <row r="1009" spans="1:11" ht="18" x14ac:dyDescent="0.4">
      <c r="A1009" s="20"/>
      <c r="B1009" s="16"/>
      <c r="C1009" s="16"/>
      <c r="D1009" s="16"/>
      <c r="E1009" s="63"/>
      <c r="F1009" s="16"/>
      <c r="G1009" s="16"/>
      <c r="H1009" s="16"/>
      <c r="I1009" s="16"/>
      <c r="J1009" s="16"/>
      <c r="K1009" s="21"/>
    </row>
    <row r="1010" spans="1:11" ht="18" x14ac:dyDescent="0.4">
      <c r="A1010" s="20"/>
      <c r="B1010" s="16"/>
      <c r="C1010" s="16"/>
      <c r="D1010" s="16"/>
      <c r="E1010" s="63"/>
      <c r="F1010" s="16"/>
      <c r="G1010" s="16"/>
      <c r="H1010" s="16"/>
      <c r="I1010" s="16"/>
      <c r="J1010" s="16"/>
      <c r="K1010" s="21"/>
    </row>
    <row r="1011" spans="1:11" ht="18" x14ac:dyDescent="0.4">
      <c r="A1011" s="20"/>
      <c r="B1011" s="16"/>
      <c r="C1011" s="16"/>
      <c r="D1011" s="16"/>
      <c r="E1011" s="63"/>
      <c r="F1011" s="16"/>
      <c r="G1011" s="16"/>
      <c r="H1011" s="16"/>
      <c r="I1011" s="16"/>
      <c r="J1011" s="16"/>
      <c r="K1011" s="21"/>
    </row>
  </sheetData>
  <autoFilter ref="A3:N3" xr:uid="{A21A40AA-0B64-48C5-86F2-334D8BF9E3AC}"/>
  <mergeCells count="1">
    <mergeCell ref="A2:J2"/>
  </mergeCells>
  <conditionalFormatting sqref="A85:F555">
    <cfRule type="expression" dxfId="10" priority="3">
      <formula>RegExMatch(($D85),"Done")</formula>
    </cfRule>
  </conditionalFormatting>
  <conditionalFormatting sqref="A4:K84 G85:K555 G546:G584 A556:H570 G571:H572 A573:G719 A720:K1011 A571:E572 K556:K644 I556:J686 H573:H686 K655:K660 K663:K719 H687:J719">
    <cfRule type="expression" dxfId="9" priority="11">
      <formula>RegExMatch(($D4),"Done")</formula>
    </cfRule>
  </conditionalFormatting>
  <conditionalFormatting sqref="D4:D1011">
    <cfRule type="cellIs" dxfId="8" priority="1" operator="equal">
      <formula>"Not started"</formula>
    </cfRule>
    <cfRule type="cellIs" dxfId="7" priority="2" operator="equal">
      <formula>"In progress"</formula>
    </cfRule>
  </conditionalFormatting>
  <conditionalFormatting sqref="F4:F84 F248:F570 F573:F1011">
    <cfRule type="timePeriod" dxfId="6" priority="12" timePeriod="today">
      <formula>FLOOR(F4,1)=TODAY()</formula>
    </cfRule>
    <cfRule type="expression" dxfId="5" priority="13">
      <formula>AND($F4&lt;TODAY(), OR($D4="In progress", $D4="Not started"))</formula>
    </cfRule>
  </conditionalFormatting>
  <conditionalFormatting sqref="F85:F247">
    <cfRule type="timePeriod" dxfId="4" priority="4" timePeriod="today">
      <formula>FLOOR(F85,1)=TODAY()</formula>
    </cfRule>
    <cfRule type="expression" dxfId="3" priority="5">
      <formula>AND($F85&lt;TODAY(), OR($D85="In progress", $D85="Not started"))</formula>
    </cfRule>
  </conditionalFormatting>
  <conditionalFormatting sqref="G4:G1011">
    <cfRule type="expression" dxfId="2" priority="8">
      <formula>AND(OR($D4="In progress",$D4="Not started" ),OR($G4=TODAY(), $G4=TODAY()+1))</formula>
    </cfRule>
  </conditionalFormatting>
  <conditionalFormatting sqref="H84">
    <cfRule type="expression" dxfId="1" priority="6">
      <formula>AND(OR($D84="In progress",$D84="Not started" ),OR($G84=TODAY(), $G84=TODAY()+1))</formula>
    </cfRule>
  </conditionalFormatting>
  <conditionalFormatting sqref="H370">
    <cfRule type="expression" dxfId="0" priority="7">
      <formula>AND(OR($D370="In progress",$D370="Not started" ),OR($G370=TODAY(), $G370=TODAY()+1))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12D181DC65124E9B083560D6225021" ma:contentTypeVersion="9" ma:contentTypeDescription="Create a new document." ma:contentTypeScope="" ma:versionID="11e3f58eafb51a56923cc14ff1f2b4dc">
  <xsd:schema xmlns:xsd="http://www.w3.org/2001/XMLSchema" xmlns:xs="http://www.w3.org/2001/XMLSchema" xmlns:p="http://schemas.microsoft.com/office/2006/metadata/properties" xmlns:ns3="a85070cc-8a97-4fef-ab08-8c80e9e5edd7" xmlns:ns4="e410a2b4-c9c7-47bd-992f-d47e0ef68206" targetNamespace="http://schemas.microsoft.com/office/2006/metadata/properties" ma:root="true" ma:fieldsID="59616223b78fc84633e4f7630e555025" ns3:_="" ns4:_="">
    <xsd:import namespace="a85070cc-8a97-4fef-ab08-8c80e9e5edd7"/>
    <xsd:import namespace="e410a2b4-c9c7-47bd-992f-d47e0ef6820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070cc-8a97-4fef-ab08-8c80e9e5e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0a2b4-c9c7-47bd-992f-d47e0ef682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93E47A-3605-46A4-B6F6-B93DACA045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5070cc-8a97-4fef-ab08-8c80e9e5edd7"/>
    <ds:schemaRef ds:uri="e410a2b4-c9c7-47bd-992f-d47e0ef682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05FC94-DE91-4307-91A2-5343DE8508A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9FD0B5-8766-406E-87C5-530CBAACB93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QUINTA-FEIRA 17-07 </vt:lpstr>
      <vt:lpstr>18-02 QUA</vt:lpstr>
      <vt:lpstr>Geral</vt:lpstr>
      <vt:lpstr>SABADO</vt:lpstr>
      <vt:lpstr>DOMINGO</vt:lpstr>
      <vt:lpstr>16-02 SEG</vt:lpstr>
      <vt:lpstr>17-02 TER</vt:lpstr>
      <vt:lpstr>06-01-2026 Terça feira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VINCENT PERNARH (EXTERNAL)</cp:lastModifiedBy>
  <cp:revision/>
  <dcterms:created xsi:type="dcterms:W3CDTF">2022-09-06T19:44:57Z</dcterms:created>
  <dcterms:modified xsi:type="dcterms:W3CDTF">2026-04-06T11:37:48Z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0x010100F912D181DC65124E9B083560D6225021</vt:lpwstr>
  </property>
  <property fmtid="{D5CDD505-2E9C-101B-9397-08002B2CF9AE}" pid="3" name="MSIP_Label_725ca717-11da-4935-b601-f527b9741f2e_Enabled">
    <vt:lpwstr>true</vt:lpwstr>
  </property>
  <property fmtid="{D5CDD505-2E9C-101B-9397-08002B2CF9AE}" pid="4" name="MSIP_Label_725ca717-11da-4935-b601-f527b9741f2e_SetDate">
    <vt:lpwstr>2023-11-09T17:05:59Z</vt:lpwstr>
  </property>
  <property fmtid="{D5CDD505-2E9C-101B-9397-08002B2CF9AE}" pid="5" name="MSIP_Label_725ca717-11da-4935-b601-f527b9741f2e_Method">
    <vt:lpwstr>Standard</vt:lpwstr>
  </property>
  <property fmtid="{D5CDD505-2E9C-101B-9397-08002B2CF9AE}" pid="6" name="MSIP_Label_725ca717-11da-4935-b601-f527b9741f2e_Name">
    <vt:lpwstr>C2 - Internal</vt:lpwstr>
  </property>
  <property fmtid="{D5CDD505-2E9C-101B-9397-08002B2CF9AE}" pid="7" name="MSIP_Label_725ca717-11da-4935-b601-f527b9741f2e_SiteId">
    <vt:lpwstr>d852d5cd-724c-4128-8812-ffa5db3f8507</vt:lpwstr>
  </property>
  <property fmtid="{D5CDD505-2E9C-101B-9397-08002B2CF9AE}" pid="8" name="MSIP_Label_725ca717-11da-4935-b601-f527b9741f2e_ActionId">
    <vt:lpwstr>34df027a-780e-4cb3-8ea5-a604dc2a3d5a</vt:lpwstr>
  </property>
  <property fmtid="{D5CDD505-2E9C-101B-9397-08002B2CF9AE}" pid="9" name="MSIP_Label_725ca717-11da-4935-b601-f527b9741f2e_ContentBits">
    <vt:lpwstr>0</vt:lpwstr>
  </property>
</Properties>
</file>