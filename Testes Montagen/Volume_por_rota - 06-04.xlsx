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9656AA42-F93C-41B6-9269-0607BB05B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2" i="1"/>
</calcChain>
</file>

<file path=xl/sharedStrings.xml><?xml version="1.0" encoding="utf-8"?>
<sst xmlns="http://schemas.openxmlformats.org/spreadsheetml/2006/main" count="348" uniqueCount="105">
  <si>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</si>
  <si>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</si>
  <si>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</si>
  <si>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</si>
  <si>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</si>
  <si>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</si>
  <si>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</si>
  <si>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</si>
  <si>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</si>
  <si>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</si>
  <si>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</si>
  <si>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</si>
  <si>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</si>
  <si>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</si>
  <si>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</si>
  <si>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</si>
  <si>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</si>
  <si>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</t>
  </si>
  <si>
    <t>1080/1046</t>
  </si>
  <si>
    <t>28450</t>
  </si>
  <si>
    <t>60444</t>
  </si>
  <si>
    <t>FCA</t>
  </si>
  <si>
    <t>FCA/FPT</t>
  </si>
  <si>
    <t>THERA</t>
  </si>
  <si>
    <t>PIRELLI</t>
  </si>
  <si>
    <t>800006214</t>
  </si>
  <si>
    <t>800002365</t>
  </si>
  <si>
    <t>800002700</t>
  </si>
  <si>
    <t>800006557/800005834</t>
  </si>
  <si>
    <t>800030834</t>
  </si>
  <si>
    <t>800002731</t>
  </si>
  <si>
    <t>800036904</t>
  </si>
  <si>
    <t>800005882</t>
  </si>
  <si>
    <t>800038691</t>
  </si>
  <si>
    <t>800045091</t>
  </si>
  <si>
    <t>800005693</t>
  </si>
  <si>
    <t>800006648</t>
  </si>
  <si>
    <t>800048577</t>
  </si>
  <si>
    <t>800006536</t>
  </si>
  <si>
    <t>800006357</t>
  </si>
  <si>
    <t>800015229</t>
  </si>
  <si>
    <t>800045273</t>
  </si>
  <si>
    <t>800002635</t>
  </si>
  <si>
    <t>800046417</t>
  </si>
  <si>
    <t>800046699</t>
  </si>
  <si>
    <t>800045685</t>
  </si>
  <si>
    <t>800006356</t>
  </si>
  <si>
    <t>800006330</t>
  </si>
  <si>
    <t>800005687</t>
  </si>
  <si>
    <t>800046899</t>
  </si>
  <si>
    <t>800021967</t>
  </si>
  <si>
    <t>800014209</t>
  </si>
  <si>
    <t>800005902</t>
  </si>
  <si>
    <t>800006372</t>
  </si>
  <si>
    <t>800028458</t>
  </si>
  <si>
    <t>800006557</t>
  </si>
  <si>
    <t>800022684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</si>
  <si>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</si>
  <si>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</si>
  <si>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</si>
  <si>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</si>
  <si>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</si>
  <si>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</si>
  <si>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</si>
  <si>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</si>
  <si>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</si>
  <si>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CIE FORJAS MINA</t>
  </si>
  <si>
    <t>BREMBO DO BRASI</t>
  </si>
  <si>
    <t>AUTOMETAL</t>
  </si>
  <si>
    <t>THYSSENKRUPP IV</t>
  </si>
  <si>
    <t>STABILUS LTDA</t>
  </si>
  <si>
    <t>PLASCAR</t>
  </si>
  <si>
    <t>AUTOPLAS</t>
  </si>
  <si>
    <t>CMP COMPONENTES</t>
  </si>
  <si>
    <t>AETHRA II CENTAURO</t>
  </si>
  <si>
    <t>MARELLI COFAP</t>
  </si>
  <si>
    <t>DENSO IV</t>
  </si>
  <si>
    <t>METAL STAMP</t>
  </si>
  <si>
    <t>ADLER</t>
  </si>
  <si>
    <t>ACUMENT</t>
  </si>
  <si>
    <t>METALSIDER</t>
  </si>
  <si>
    <t>CISER</t>
  </si>
  <si>
    <t>IOCHPE MAXION</t>
  </si>
  <si>
    <t>CMA INDUSTRIA</t>
  </si>
  <si>
    <t>SUMIRIKO</t>
  </si>
  <si>
    <t>ITAESBRA</t>
  </si>
  <si>
    <t>SRK HTB L</t>
  </si>
  <si>
    <t>MANGELS</t>
  </si>
  <si>
    <t>TRUCK VIAGEM</t>
  </si>
  <si>
    <t>TRUCK 3M</t>
  </si>
  <si>
    <t>CARRETA</t>
  </si>
  <si>
    <t>BIG SIDER</t>
  </si>
  <si>
    <t>TRUCK 3M PLUS</t>
  </si>
  <si>
    <t>MONTAGEM-MG</t>
  </si>
  <si>
    <t>MONTAGEM-SP</t>
  </si>
  <si>
    <t>FTL</t>
  </si>
  <si>
    <t>CT</t>
  </si>
  <si>
    <t>FURLONG</t>
  </si>
  <si>
    <t>JSL</t>
  </si>
  <si>
    <t>VOLUME</t>
  </si>
  <si>
    <t>PESO</t>
  </si>
  <si>
    <t>Manter coleta</t>
  </si>
  <si>
    <t>Alterar último veículo para menor porte</t>
  </si>
  <si>
    <t>Cortar coleta do último veículo</t>
  </si>
  <si>
    <t>Caragas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</si>
</sst>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%20MONTAGEM%2006.04.xlsx" TargetMode="External"/><Relationship Id="rId1" Type="http://schemas.openxmlformats.org/officeDocument/2006/relationships/externalLinkPath" Target="VOLUME%20MONTAGEM%2006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 (2)"/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>
        <row r="15">
          <cell r="M15" t="str">
            <v>Cód Fluxo</v>
          </cell>
          <cell r="X15" t="str">
            <v>Hazmat</v>
          </cell>
        </row>
        <row r="16">
          <cell r="M16">
            <v>20</v>
          </cell>
          <cell r="X16">
            <v>2</v>
          </cell>
        </row>
        <row r="17">
          <cell r="M17">
            <v>21</v>
          </cell>
          <cell r="X17">
            <v>33</v>
          </cell>
        </row>
        <row r="18">
          <cell r="M18">
            <v>24</v>
          </cell>
          <cell r="X18">
            <v>1</v>
          </cell>
        </row>
        <row r="19">
          <cell r="M19">
            <v>25</v>
          </cell>
          <cell r="X19">
            <v>7</v>
          </cell>
        </row>
        <row r="20">
          <cell r="M20">
            <v>26</v>
          </cell>
          <cell r="X20">
            <v>2</v>
          </cell>
        </row>
        <row r="21">
          <cell r="M21">
            <v>27</v>
          </cell>
          <cell r="X21">
            <v>2</v>
          </cell>
        </row>
        <row r="22">
          <cell r="M22">
            <v>31</v>
          </cell>
          <cell r="X22">
            <v>8</v>
          </cell>
        </row>
        <row r="23">
          <cell r="M23">
            <v>33</v>
          </cell>
          <cell r="X23">
            <v>5</v>
          </cell>
        </row>
        <row r="24">
          <cell r="M24">
            <v>34</v>
          </cell>
          <cell r="X24">
            <v>0</v>
          </cell>
        </row>
        <row r="25">
          <cell r="M25">
            <v>35</v>
          </cell>
          <cell r="X25">
            <v>13</v>
          </cell>
        </row>
        <row r="26">
          <cell r="M26">
            <v>37</v>
          </cell>
          <cell r="X26">
            <v>8</v>
          </cell>
        </row>
        <row r="27">
          <cell r="M27">
            <v>38</v>
          </cell>
          <cell r="X27">
            <v>9</v>
          </cell>
        </row>
        <row r="28">
          <cell r="M28">
            <v>49</v>
          </cell>
          <cell r="X28">
            <v>2</v>
          </cell>
        </row>
        <row r="29">
          <cell r="M29">
            <v>51</v>
          </cell>
          <cell r="X29">
            <v>1</v>
          </cell>
        </row>
        <row r="30">
          <cell r="M30">
            <v>52</v>
          </cell>
          <cell r="X30">
            <v>4</v>
          </cell>
        </row>
        <row r="31">
          <cell r="M31">
            <v>54</v>
          </cell>
          <cell r="X31">
            <v>0</v>
          </cell>
        </row>
        <row r="32">
          <cell r="M32">
            <v>55</v>
          </cell>
          <cell r="X32">
            <v>0</v>
          </cell>
        </row>
        <row r="33">
          <cell r="M33">
            <v>57</v>
          </cell>
          <cell r="X33">
            <v>0</v>
          </cell>
        </row>
        <row r="34">
          <cell r="M34">
            <v>58</v>
          </cell>
          <cell r="X34">
            <v>1</v>
          </cell>
        </row>
        <row r="35">
          <cell r="M35">
            <v>61</v>
          </cell>
          <cell r="X35">
            <v>3</v>
          </cell>
        </row>
        <row r="36">
          <cell r="M36">
            <v>86</v>
          </cell>
          <cell r="X36">
            <v>1</v>
          </cell>
        </row>
        <row r="37">
          <cell r="M37">
            <v>87</v>
          </cell>
          <cell r="X37">
            <v>9</v>
          </cell>
        </row>
        <row r="38">
          <cell r="M38">
            <v>89</v>
          </cell>
          <cell r="X38">
            <v>12</v>
          </cell>
        </row>
        <row r="39">
          <cell r="M39">
            <v>90</v>
          </cell>
          <cell r="X39">
            <v>2</v>
          </cell>
        </row>
        <row r="40">
          <cell r="M40">
            <v>91</v>
          </cell>
          <cell r="X40">
            <v>1</v>
          </cell>
        </row>
        <row r="41">
          <cell r="M41">
            <v>100</v>
          </cell>
          <cell r="X41">
            <v>2</v>
          </cell>
        </row>
        <row r="42">
          <cell r="M42">
            <v>102</v>
          </cell>
          <cell r="X42">
            <v>0</v>
          </cell>
        </row>
        <row r="43">
          <cell r="M43">
            <v>107</v>
          </cell>
          <cell r="X43">
            <v>11</v>
          </cell>
        </row>
        <row r="44">
          <cell r="M44">
            <v>110</v>
          </cell>
          <cell r="X44">
            <v>1</v>
          </cell>
        </row>
        <row r="45">
          <cell r="M45">
            <v>128</v>
          </cell>
          <cell r="X45">
            <v>0</v>
          </cell>
        </row>
        <row r="46">
          <cell r="M46">
            <v>129</v>
          </cell>
          <cell r="X46">
            <v>1</v>
          </cell>
        </row>
        <row r="47">
          <cell r="M47">
            <v>164</v>
          </cell>
          <cell r="X47">
            <v>43</v>
          </cell>
        </row>
        <row r="48">
          <cell r="M48">
            <v>168</v>
          </cell>
          <cell r="X48">
            <v>6</v>
          </cell>
        </row>
        <row r="49">
          <cell r="M49">
            <v>184</v>
          </cell>
          <cell r="X49">
            <v>33</v>
          </cell>
        </row>
        <row r="50">
          <cell r="M50">
            <v>189</v>
          </cell>
          <cell r="X5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4"/>
  <sheetViews>
    <sheetView tabSelected="1" topLeftCell="L1" workbookViewId="0">
      <selection activeCell="R8" sqref="R8"/>
    </sheetView>
  </sheetViews>
  <sheetFormatPr defaultRowHeight="14.5" x14ac:dyDescent="0.35"/>
  <cols>
    <col min="1" max="1" width="10.453125" bestFit="1" customWidth="1"/>
    <col min="2" max="2" width="12.36328125" bestFit="1" customWidth="1"/>
    <col min="3" max="3" width="8.1796875" bestFit="1" customWidth="1"/>
    <col min="4" max="4" width="22.7265625" bestFit="1" customWidth="1"/>
    <col min="5" max="5" width="34.453125" bestFit="1" customWidth="1"/>
    <col min="6" max="6" width="14" bestFit="1" customWidth="1"/>
    <col min="7" max="7" width="15.08984375" bestFit="1" customWidth="1"/>
    <col min="8" max="8" width="4.90625" bestFit="1" customWidth="1"/>
    <col min="9" max="9" width="17.08984375" bestFit="1" customWidth="1"/>
    <col min="10" max="10" width="18.453125" bestFit="1" customWidth="1"/>
    <col min="11" max="11" width="18.1796875" bestFit="1" customWidth="1"/>
    <col min="12" max="12" width="14.7265625" bestFit="1" customWidth="1"/>
    <col min="13" max="13" width="18.26953125" bestFit="1" customWidth="1"/>
    <col min="14" max="14" width="20.26953125" bestFit="1" customWidth="1"/>
    <col min="15" max="15" width="20.26953125" customWidth="1"/>
    <col min="16" max="16" width="7.54296875" bestFit="1" customWidth="1"/>
    <col min="17" max="17" width="34.453125" bestFit="1" customWidth="1"/>
    <col min="18" max="18" width="17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104</v>
      </c>
      <c r="P1" s="1" t="s">
        <v>14</v>
      </c>
      <c r="Q1" s="1" t="s">
        <v>15</v>
      </c>
      <c r="R1" s="1" t="s">
        <v>16</v>
      </c>
    </row>
    <row r="2" spans="1:18" x14ac:dyDescent="0.35">
      <c r="A2">
        <v>20</v>
      </c>
      <c r="B2" t="s">
        <v>17</v>
      </c>
      <c r="C2" t="s">
        <v>21</v>
      </c>
      <c r="D2" t="s">
        <v>25</v>
      </c>
      <c r="E2" t="s">
        <v>57</v>
      </c>
      <c r="F2" t="s">
        <v>88</v>
      </c>
      <c r="G2" t="s">
        <v>93</v>
      </c>
      <c r="H2" t="s">
        <v>95</v>
      </c>
      <c r="I2" t="s">
        <v>97</v>
      </c>
      <c r="J2" t="s">
        <v>99</v>
      </c>
      <c r="K2">
        <v>60.816000000000003</v>
      </c>
      <c r="L2">
        <v>5377.2</v>
      </c>
      <c r="M2">
        <v>763</v>
      </c>
      <c r="N2">
        <v>181.66</v>
      </c>
      <c r="O2">
        <f>_xlfn.XLOOKUP(A2,'[1]Cadastro de Procedimentos'!$M:$M,'[1]Cadastro de Procedimentos'!$X:$X)</f>
        <v>2</v>
      </c>
      <c r="P2">
        <v>2</v>
      </c>
      <c r="Q2" t="s">
        <v>101</v>
      </c>
      <c r="R2">
        <v>100</v>
      </c>
    </row>
    <row r="3" spans="1:18" x14ac:dyDescent="0.35">
      <c r="A3">
        <v>21</v>
      </c>
      <c r="B3" t="s">
        <v>17</v>
      </c>
      <c r="C3" t="s">
        <v>21</v>
      </c>
      <c r="D3" t="s">
        <v>26</v>
      </c>
      <c r="E3" t="s">
        <v>58</v>
      </c>
      <c r="F3" t="s">
        <v>89</v>
      </c>
      <c r="G3" t="s">
        <v>93</v>
      </c>
      <c r="H3" t="s">
        <v>95</v>
      </c>
      <c r="I3" t="s">
        <v>98</v>
      </c>
      <c r="J3" t="s">
        <v>99</v>
      </c>
      <c r="K3">
        <v>1510.623</v>
      </c>
      <c r="L3">
        <v>460564.1</v>
      </c>
      <c r="M3">
        <v>653</v>
      </c>
      <c r="N3">
        <v>3167.18</v>
      </c>
      <c r="O3">
        <f>_xlfn.XLOOKUP(A3,'[1]Cadastro de Procedimentos'!$M:$M,'[1]Cadastro de Procedimentos'!$X:$X)</f>
        <v>33</v>
      </c>
      <c r="P3">
        <v>33</v>
      </c>
      <c r="Q3" t="s">
        <v>101</v>
      </c>
      <c r="R3">
        <v>100</v>
      </c>
    </row>
    <row r="4" spans="1:18" x14ac:dyDescent="0.35">
      <c r="A4">
        <v>24</v>
      </c>
      <c r="B4" t="s">
        <v>17</v>
      </c>
      <c r="C4" t="s">
        <v>21</v>
      </c>
      <c r="D4" t="s">
        <v>27</v>
      </c>
      <c r="E4" t="s">
        <v>59</v>
      </c>
      <c r="F4" t="s">
        <v>90</v>
      </c>
      <c r="G4" t="s">
        <v>93</v>
      </c>
      <c r="H4" t="s">
        <v>95</v>
      </c>
      <c r="I4" t="s">
        <v>98</v>
      </c>
      <c r="J4" t="s">
        <v>99</v>
      </c>
      <c r="K4">
        <v>25.524999999999999</v>
      </c>
      <c r="L4">
        <v>3048.6</v>
      </c>
      <c r="M4">
        <v>153</v>
      </c>
      <c r="N4">
        <v>34.86</v>
      </c>
      <c r="O4">
        <f>_xlfn.XLOOKUP(A4,'[1]Cadastro de Procedimentos'!$M:$M,'[1]Cadastro de Procedimentos'!$X:$X)</f>
        <v>1</v>
      </c>
      <c r="P4">
        <v>1</v>
      </c>
      <c r="Q4" t="s">
        <v>102</v>
      </c>
      <c r="R4">
        <v>100</v>
      </c>
    </row>
    <row r="5" spans="1:18" x14ac:dyDescent="0.35">
      <c r="A5">
        <v>25</v>
      </c>
      <c r="B5" t="s">
        <v>17</v>
      </c>
      <c r="C5" t="s">
        <v>21</v>
      </c>
      <c r="D5" t="s">
        <v>28</v>
      </c>
      <c r="E5" t="s">
        <v>60</v>
      </c>
      <c r="F5" t="s">
        <v>89</v>
      </c>
      <c r="G5" t="s">
        <v>93</v>
      </c>
      <c r="H5" t="s">
        <v>95</v>
      </c>
      <c r="I5" t="s">
        <v>98</v>
      </c>
      <c r="J5" t="s">
        <v>99</v>
      </c>
      <c r="K5">
        <v>310.00900000000001</v>
      </c>
      <c r="L5">
        <v>34155.199999999997</v>
      </c>
      <c r="M5">
        <v>1795</v>
      </c>
      <c r="N5">
        <v>747.31</v>
      </c>
      <c r="O5">
        <f>_xlfn.XLOOKUP(A5,'[1]Cadastro de Procedimentos'!$M:$M,'[1]Cadastro de Procedimentos'!$X:$X)</f>
        <v>7</v>
      </c>
      <c r="P5">
        <v>8</v>
      </c>
      <c r="Q5" t="s">
        <v>102</v>
      </c>
      <c r="R5">
        <v>97.6</v>
      </c>
    </row>
    <row r="6" spans="1:18" x14ac:dyDescent="0.35">
      <c r="A6">
        <v>27</v>
      </c>
      <c r="B6" t="s">
        <v>17</v>
      </c>
      <c r="C6" t="s">
        <v>21</v>
      </c>
      <c r="D6" t="s">
        <v>29</v>
      </c>
      <c r="E6" t="s">
        <v>61</v>
      </c>
      <c r="F6" t="s">
        <v>91</v>
      </c>
      <c r="G6" t="s">
        <v>93</v>
      </c>
      <c r="H6" t="s">
        <v>95</v>
      </c>
      <c r="I6" t="s">
        <v>98</v>
      </c>
      <c r="J6" t="s">
        <v>99</v>
      </c>
      <c r="K6">
        <v>152.214</v>
      </c>
      <c r="L6">
        <v>32766.9</v>
      </c>
      <c r="M6">
        <v>81</v>
      </c>
      <c r="N6">
        <v>182.4</v>
      </c>
      <c r="O6">
        <f>_xlfn.XLOOKUP(A6,'[1]Cadastro de Procedimentos'!$M:$M,'[1]Cadastro de Procedimentos'!$X:$X)</f>
        <v>2</v>
      </c>
      <c r="P6">
        <v>1</v>
      </c>
      <c r="Q6" t="s">
        <v>101</v>
      </c>
      <c r="R6">
        <v>100</v>
      </c>
    </row>
    <row r="7" spans="1:18" x14ac:dyDescent="0.35">
      <c r="A7">
        <v>31</v>
      </c>
      <c r="B7" t="s">
        <v>17</v>
      </c>
      <c r="C7" t="s">
        <v>21</v>
      </c>
      <c r="D7" t="s">
        <v>30</v>
      </c>
      <c r="E7" t="s">
        <v>62</v>
      </c>
      <c r="F7" t="s">
        <v>91</v>
      </c>
      <c r="G7" t="s">
        <v>93</v>
      </c>
      <c r="H7" t="s">
        <v>95</v>
      </c>
      <c r="I7" t="s">
        <v>98</v>
      </c>
      <c r="J7" t="s">
        <v>99</v>
      </c>
      <c r="K7">
        <v>624.91800000000001</v>
      </c>
      <c r="L7">
        <v>52978.7</v>
      </c>
      <c r="M7">
        <v>195</v>
      </c>
      <c r="N7">
        <v>726.78</v>
      </c>
      <c r="O7">
        <f>_xlfn.XLOOKUP(A7,'[1]Cadastro de Procedimentos'!$M:$M,'[1]Cadastro de Procedimentos'!$X:$X)</f>
        <v>8</v>
      </c>
      <c r="P7">
        <v>8</v>
      </c>
      <c r="Q7" t="s">
        <v>102</v>
      </c>
      <c r="R7">
        <v>100</v>
      </c>
    </row>
    <row r="8" spans="1:18" x14ac:dyDescent="0.35">
      <c r="A8">
        <v>33</v>
      </c>
      <c r="B8" t="s">
        <v>17</v>
      </c>
      <c r="C8" t="s">
        <v>21</v>
      </c>
      <c r="D8" t="s">
        <v>31</v>
      </c>
      <c r="E8" t="s">
        <v>63</v>
      </c>
      <c r="F8" t="s">
        <v>91</v>
      </c>
      <c r="G8" t="s">
        <v>93</v>
      </c>
      <c r="H8" t="s">
        <v>95</v>
      </c>
      <c r="I8" t="s">
        <v>97</v>
      </c>
      <c r="J8" t="s">
        <v>99</v>
      </c>
      <c r="K8">
        <v>303.04199999999997</v>
      </c>
      <c r="L8">
        <v>37203.699999999997</v>
      </c>
      <c r="M8">
        <v>129</v>
      </c>
      <c r="N8">
        <v>484.51</v>
      </c>
      <c r="O8">
        <f>_xlfn.XLOOKUP(A8,'[1]Cadastro de Procedimentos'!$M:$M,'[1]Cadastro de Procedimentos'!$X:$X)</f>
        <v>5</v>
      </c>
      <c r="P8">
        <v>5</v>
      </c>
      <c r="Q8" t="s">
        <v>101</v>
      </c>
      <c r="R8">
        <v>100</v>
      </c>
    </row>
    <row r="9" spans="1:18" x14ac:dyDescent="0.35">
      <c r="A9">
        <v>35</v>
      </c>
      <c r="B9" t="s">
        <v>17</v>
      </c>
      <c r="C9" t="s">
        <v>21</v>
      </c>
      <c r="D9" t="s">
        <v>32</v>
      </c>
      <c r="E9" t="s">
        <v>64</v>
      </c>
      <c r="F9" t="s">
        <v>89</v>
      </c>
      <c r="G9" t="s">
        <v>93</v>
      </c>
      <c r="H9" t="s">
        <v>95</v>
      </c>
      <c r="I9" t="s">
        <v>98</v>
      </c>
      <c r="J9" t="s">
        <v>99</v>
      </c>
      <c r="K9">
        <v>407.84199999999998</v>
      </c>
      <c r="L9">
        <v>45637</v>
      </c>
      <c r="M9">
        <v>345</v>
      </c>
      <c r="N9">
        <v>1264.54</v>
      </c>
      <c r="O9">
        <f>_xlfn.XLOOKUP(A9,'[1]Cadastro de Procedimentos'!$M:$M,'[1]Cadastro de Procedimentos'!$X:$X)</f>
        <v>13</v>
      </c>
      <c r="P9">
        <v>13</v>
      </c>
      <c r="Q9" t="s">
        <v>101</v>
      </c>
      <c r="R9">
        <v>100</v>
      </c>
    </row>
    <row r="10" spans="1:18" x14ac:dyDescent="0.35">
      <c r="A10">
        <v>37</v>
      </c>
      <c r="B10" t="s">
        <v>17</v>
      </c>
      <c r="C10" t="s">
        <v>21</v>
      </c>
      <c r="D10" t="s">
        <v>33</v>
      </c>
      <c r="E10" t="s">
        <v>65</v>
      </c>
      <c r="F10" t="s">
        <v>92</v>
      </c>
      <c r="G10" t="s">
        <v>93</v>
      </c>
      <c r="H10" t="s">
        <v>95</v>
      </c>
      <c r="I10" t="s">
        <v>98</v>
      </c>
      <c r="J10" t="s">
        <v>99</v>
      </c>
      <c r="K10">
        <v>330.85199999999998</v>
      </c>
      <c r="L10">
        <v>32031.3</v>
      </c>
      <c r="M10">
        <v>151</v>
      </c>
      <c r="N10">
        <v>787.09</v>
      </c>
      <c r="O10">
        <f>_xlfn.XLOOKUP(A10,'[1]Cadastro de Procedimentos'!$M:$M,'[1]Cadastro de Procedimentos'!$X:$X)</f>
        <v>8</v>
      </c>
      <c r="P10">
        <v>8</v>
      </c>
      <c r="Q10" t="s">
        <v>101</v>
      </c>
      <c r="R10">
        <v>100</v>
      </c>
    </row>
    <row r="11" spans="1:18" x14ac:dyDescent="0.35">
      <c r="A11">
        <v>51</v>
      </c>
      <c r="B11" t="s">
        <v>17</v>
      </c>
      <c r="C11" t="s">
        <v>21</v>
      </c>
      <c r="D11" t="s">
        <v>34</v>
      </c>
      <c r="E11" t="s">
        <v>66</v>
      </c>
      <c r="F11" t="s">
        <v>90</v>
      </c>
      <c r="G11" t="s">
        <v>93</v>
      </c>
      <c r="H11" t="s">
        <v>95</v>
      </c>
      <c r="I11" t="s">
        <v>98</v>
      </c>
      <c r="J11" t="s">
        <v>100</v>
      </c>
      <c r="K11">
        <v>14.316000000000001</v>
      </c>
      <c r="L11">
        <v>15076.1</v>
      </c>
      <c r="M11">
        <v>37</v>
      </c>
      <c r="N11">
        <v>60.33</v>
      </c>
      <c r="O11">
        <f>_xlfn.XLOOKUP(A11,'[1]Cadastro de Procedimentos'!$M:$M,'[1]Cadastro de Procedimentos'!$X:$X)</f>
        <v>1</v>
      </c>
      <c r="P11">
        <v>1</v>
      </c>
      <c r="Q11" t="s">
        <v>101</v>
      </c>
      <c r="R11">
        <v>100</v>
      </c>
    </row>
    <row r="12" spans="1:18" x14ac:dyDescent="0.35">
      <c r="A12">
        <v>52</v>
      </c>
      <c r="B12" t="s">
        <v>17</v>
      </c>
      <c r="C12" t="s">
        <v>21</v>
      </c>
      <c r="D12" t="s">
        <v>35</v>
      </c>
      <c r="E12" t="s">
        <v>67</v>
      </c>
      <c r="F12" t="s">
        <v>90</v>
      </c>
      <c r="G12" t="s">
        <v>93</v>
      </c>
      <c r="H12" t="s">
        <v>95</v>
      </c>
      <c r="I12" t="s">
        <v>98</v>
      </c>
      <c r="J12" t="s">
        <v>100</v>
      </c>
      <c r="K12">
        <v>78.174999999999997</v>
      </c>
      <c r="L12">
        <v>65281.4</v>
      </c>
      <c r="M12">
        <v>77</v>
      </c>
      <c r="N12">
        <v>261.13</v>
      </c>
      <c r="O12">
        <f>_xlfn.XLOOKUP(A12,'[1]Cadastro de Procedimentos'!$M:$M,'[1]Cadastro de Procedimentos'!$X:$X)</f>
        <v>4</v>
      </c>
      <c r="P12">
        <v>3</v>
      </c>
      <c r="Q12" t="s">
        <v>101</v>
      </c>
      <c r="R12">
        <v>100</v>
      </c>
    </row>
    <row r="13" spans="1:18" x14ac:dyDescent="0.35">
      <c r="A13">
        <v>61</v>
      </c>
      <c r="B13" t="s">
        <v>17</v>
      </c>
      <c r="C13" t="s">
        <v>21</v>
      </c>
      <c r="D13" t="s">
        <v>36</v>
      </c>
      <c r="E13" t="s">
        <v>68</v>
      </c>
      <c r="F13" t="s">
        <v>91</v>
      </c>
      <c r="G13" t="s">
        <v>93</v>
      </c>
      <c r="H13" t="s">
        <v>95</v>
      </c>
      <c r="I13" t="s">
        <v>98</v>
      </c>
      <c r="J13" t="s">
        <v>99</v>
      </c>
      <c r="K13">
        <v>232.358</v>
      </c>
      <c r="L13">
        <v>21991.9</v>
      </c>
      <c r="M13">
        <v>131</v>
      </c>
      <c r="N13">
        <v>270.14999999999998</v>
      </c>
      <c r="O13">
        <f>_xlfn.XLOOKUP(A13,'[1]Cadastro de Procedimentos'!$M:$M,'[1]Cadastro de Procedimentos'!$X:$X)</f>
        <v>3</v>
      </c>
      <c r="P13">
        <v>3</v>
      </c>
      <c r="Q13" t="s">
        <v>101</v>
      </c>
      <c r="R13">
        <v>100</v>
      </c>
    </row>
    <row r="14" spans="1:18" x14ac:dyDescent="0.35">
      <c r="A14">
        <v>90</v>
      </c>
      <c r="B14" t="s">
        <v>17</v>
      </c>
      <c r="C14" t="s">
        <v>21</v>
      </c>
      <c r="D14" t="s">
        <v>37</v>
      </c>
      <c r="E14" t="s">
        <v>69</v>
      </c>
      <c r="F14" t="s">
        <v>89</v>
      </c>
      <c r="G14" t="s">
        <v>93</v>
      </c>
      <c r="H14" t="s">
        <v>95</v>
      </c>
      <c r="I14" t="s">
        <v>97</v>
      </c>
      <c r="J14" t="s">
        <v>100</v>
      </c>
      <c r="K14">
        <v>55.348999999999997</v>
      </c>
      <c r="L14">
        <v>20237.7</v>
      </c>
      <c r="M14">
        <v>51</v>
      </c>
      <c r="N14">
        <v>168.65</v>
      </c>
      <c r="O14">
        <f>_xlfn.XLOOKUP(A14,'[1]Cadastro de Procedimentos'!$M:$M,'[1]Cadastro de Procedimentos'!$X:$X)</f>
        <v>2</v>
      </c>
      <c r="P14">
        <v>2</v>
      </c>
      <c r="Q14" t="s">
        <v>101</v>
      </c>
      <c r="R14">
        <v>100</v>
      </c>
    </row>
    <row r="15" spans="1:18" hidden="1" x14ac:dyDescent="0.35">
      <c r="A15">
        <v>101</v>
      </c>
      <c r="B15" t="s">
        <v>17</v>
      </c>
      <c r="C15" t="s">
        <v>21</v>
      </c>
      <c r="D15" t="s">
        <v>38</v>
      </c>
      <c r="E15" t="s">
        <v>70</v>
      </c>
      <c r="F15" t="s">
        <v>88</v>
      </c>
      <c r="G15" t="s">
        <v>93</v>
      </c>
      <c r="H15" t="s">
        <v>95</v>
      </c>
      <c r="I15" t="s">
        <v>97</v>
      </c>
      <c r="J15" t="s">
        <v>99</v>
      </c>
      <c r="K15">
        <v>10.257</v>
      </c>
      <c r="L15">
        <v>2179.5</v>
      </c>
      <c r="M15">
        <v>203</v>
      </c>
      <c r="N15">
        <v>53.57</v>
      </c>
      <c r="O15" t="e">
        <f>_xlfn.XLOOKUP(A15,'[1]Cadastro de Procedimentos'!$M:$M,'[1]Cadastro de Procedimentos'!$X:$X)</f>
        <v>#N/A</v>
      </c>
      <c r="P15">
        <v>1</v>
      </c>
      <c r="Q15" t="s">
        <v>101</v>
      </c>
      <c r="R15">
        <v>100</v>
      </c>
    </row>
    <row r="16" spans="1:18" hidden="1" x14ac:dyDescent="0.35">
      <c r="A16">
        <v>23</v>
      </c>
      <c r="B16" t="s">
        <v>17</v>
      </c>
      <c r="C16" t="s">
        <v>21</v>
      </c>
      <c r="D16" t="s">
        <v>39</v>
      </c>
      <c r="E16" t="s">
        <v>71</v>
      </c>
      <c r="F16" t="s">
        <v>90</v>
      </c>
      <c r="G16" t="s">
        <v>93</v>
      </c>
      <c r="H16" t="s">
        <v>95</v>
      </c>
      <c r="I16" t="s">
        <v>98</v>
      </c>
      <c r="J16" t="s">
        <v>99</v>
      </c>
      <c r="K16">
        <v>160.51</v>
      </c>
      <c r="L16">
        <v>9021.9</v>
      </c>
      <c r="M16">
        <v>616</v>
      </c>
      <c r="N16">
        <v>266.64</v>
      </c>
      <c r="O16" t="e">
        <f>_xlfn.XLOOKUP(A16,'[1]Cadastro de Procedimentos'!$M:$M,'[1]Cadastro de Procedimentos'!$X:$X)</f>
        <v>#N/A</v>
      </c>
      <c r="P16">
        <v>3</v>
      </c>
      <c r="Q16" t="s">
        <v>101</v>
      </c>
      <c r="R16">
        <v>97.7</v>
      </c>
    </row>
    <row r="17" spans="1:18" x14ac:dyDescent="0.35">
      <c r="A17">
        <v>110</v>
      </c>
      <c r="B17" t="s">
        <v>17</v>
      </c>
      <c r="C17" t="s">
        <v>21</v>
      </c>
      <c r="D17" t="s">
        <v>40</v>
      </c>
      <c r="E17" t="s">
        <v>72</v>
      </c>
      <c r="F17" t="s">
        <v>89</v>
      </c>
      <c r="G17" t="s">
        <v>93</v>
      </c>
      <c r="H17" t="s">
        <v>95</v>
      </c>
      <c r="I17" t="s">
        <v>97</v>
      </c>
      <c r="J17" t="s">
        <v>99</v>
      </c>
      <c r="K17">
        <v>26.442</v>
      </c>
      <c r="L17">
        <v>3344.4</v>
      </c>
      <c r="M17">
        <v>26</v>
      </c>
      <c r="N17">
        <v>60.23</v>
      </c>
      <c r="O17">
        <f>_xlfn.XLOOKUP(A17,'[1]Cadastro de Procedimentos'!$M:$M,'[1]Cadastro de Procedimentos'!$X:$X)</f>
        <v>1</v>
      </c>
      <c r="P17">
        <v>1</v>
      </c>
      <c r="Q17" t="s">
        <v>101</v>
      </c>
      <c r="R17">
        <v>100</v>
      </c>
    </row>
    <row r="18" spans="1:18" x14ac:dyDescent="0.35">
      <c r="A18">
        <v>164</v>
      </c>
      <c r="B18" t="s">
        <v>17</v>
      </c>
      <c r="C18" t="s">
        <v>21</v>
      </c>
      <c r="D18" t="s">
        <v>41</v>
      </c>
      <c r="E18" t="s">
        <v>73</v>
      </c>
      <c r="F18" t="s">
        <v>91</v>
      </c>
      <c r="G18" t="s">
        <v>93</v>
      </c>
      <c r="H18" t="s">
        <v>95</v>
      </c>
      <c r="I18" t="s">
        <v>97</v>
      </c>
      <c r="J18" t="s">
        <v>99</v>
      </c>
      <c r="K18">
        <v>3404.5050000000001</v>
      </c>
      <c r="L18">
        <v>191519.2</v>
      </c>
      <c r="M18">
        <v>1605</v>
      </c>
      <c r="N18">
        <v>4322.7</v>
      </c>
      <c r="O18">
        <f>_xlfn.XLOOKUP(A18,'[1]Cadastro de Procedimentos'!$M:$M,'[1]Cadastro de Procedimentos'!$X:$X)</f>
        <v>43</v>
      </c>
      <c r="P18">
        <v>43</v>
      </c>
      <c r="Q18" t="s">
        <v>102</v>
      </c>
      <c r="R18">
        <v>98.6</v>
      </c>
    </row>
    <row r="19" spans="1:18" x14ac:dyDescent="0.35">
      <c r="A19">
        <v>168</v>
      </c>
      <c r="B19" t="s">
        <v>17</v>
      </c>
      <c r="C19" t="s">
        <v>21</v>
      </c>
      <c r="D19" t="s">
        <v>42</v>
      </c>
      <c r="E19" t="s">
        <v>74</v>
      </c>
      <c r="F19" t="s">
        <v>89</v>
      </c>
      <c r="G19" t="s">
        <v>93</v>
      </c>
      <c r="H19" t="s">
        <v>95</v>
      </c>
      <c r="I19" t="s">
        <v>97</v>
      </c>
      <c r="J19" t="s">
        <v>99</v>
      </c>
      <c r="K19">
        <v>240.39699999999999</v>
      </c>
      <c r="L19">
        <v>34947.300000000003</v>
      </c>
      <c r="M19">
        <v>111</v>
      </c>
      <c r="N19">
        <v>543.73</v>
      </c>
      <c r="O19">
        <f>_xlfn.XLOOKUP(A19,'[1]Cadastro de Procedimentos'!$M:$M,'[1]Cadastro de Procedimentos'!$X:$X)</f>
        <v>6</v>
      </c>
      <c r="P19">
        <v>6</v>
      </c>
      <c r="Q19" t="s">
        <v>102</v>
      </c>
      <c r="R19">
        <v>100</v>
      </c>
    </row>
    <row r="20" spans="1:18" hidden="1" x14ac:dyDescent="0.35">
      <c r="A20">
        <v>172</v>
      </c>
      <c r="B20" t="s">
        <v>17</v>
      </c>
      <c r="C20" t="s">
        <v>21</v>
      </c>
      <c r="D20" t="s">
        <v>43</v>
      </c>
      <c r="E20" t="s">
        <v>75</v>
      </c>
      <c r="F20" t="s">
        <v>90</v>
      </c>
      <c r="G20" t="s">
        <v>93</v>
      </c>
      <c r="H20" t="s">
        <v>95</v>
      </c>
      <c r="I20" t="s">
        <v>97</v>
      </c>
      <c r="J20" t="s">
        <v>99</v>
      </c>
      <c r="K20">
        <v>133.68</v>
      </c>
      <c r="L20">
        <v>44118.6</v>
      </c>
      <c r="M20">
        <v>135</v>
      </c>
      <c r="N20">
        <v>186.2</v>
      </c>
      <c r="O20" t="e">
        <f>_xlfn.XLOOKUP(A20,'[1]Cadastro de Procedimentos'!$M:$M,'[1]Cadastro de Procedimentos'!$X:$X)</f>
        <v>#N/A</v>
      </c>
      <c r="P20">
        <v>2</v>
      </c>
      <c r="Q20" t="s">
        <v>101</v>
      </c>
      <c r="R20">
        <v>100</v>
      </c>
    </row>
    <row r="21" spans="1:18" x14ac:dyDescent="0.35">
      <c r="A21">
        <v>184</v>
      </c>
      <c r="B21" t="s">
        <v>17</v>
      </c>
      <c r="C21" t="s">
        <v>21</v>
      </c>
      <c r="D21" t="s">
        <v>44</v>
      </c>
      <c r="E21" t="s">
        <v>76</v>
      </c>
      <c r="F21" t="s">
        <v>89</v>
      </c>
      <c r="G21" t="s">
        <v>93</v>
      </c>
      <c r="H21" t="s">
        <v>95</v>
      </c>
      <c r="I21" t="s">
        <v>97</v>
      </c>
      <c r="J21" t="s">
        <v>99</v>
      </c>
      <c r="K21">
        <v>1468.4259999999999</v>
      </c>
      <c r="L21">
        <v>178385.9</v>
      </c>
      <c r="M21">
        <v>574</v>
      </c>
      <c r="N21">
        <v>3409.53</v>
      </c>
      <c r="O21">
        <f>_xlfn.XLOOKUP(A21,'[1]Cadastro de Procedimentos'!$M:$M,'[1]Cadastro de Procedimentos'!$X:$X)</f>
        <v>33</v>
      </c>
      <c r="P21">
        <v>34</v>
      </c>
      <c r="Q21" t="s">
        <v>103</v>
      </c>
      <c r="R21">
        <v>100</v>
      </c>
    </row>
    <row r="22" spans="1:18" x14ac:dyDescent="0.35">
      <c r="A22">
        <v>189</v>
      </c>
      <c r="B22" t="s">
        <v>17</v>
      </c>
      <c r="C22" t="s">
        <v>21</v>
      </c>
      <c r="D22" t="s">
        <v>45</v>
      </c>
      <c r="E22" t="s">
        <v>77</v>
      </c>
      <c r="F22" t="s">
        <v>88</v>
      </c>
      <c r="G22" t="s">
        <v>93</v>
      </c>
      <c r="H22" t="s">
        <v>95</v>
      </c>
      <c r="I22" t="s">
        <v>97</v>
      </c>
      <c r="J22" t="s">
        <v>99</v>
      </c>
      <c r="K22">
        <v>18.917999999999999</v>
      </c>
      <c r="L22">
        <v>4673</v>
      </c>
      <c r="M22">
        <v>18</v>
      </c>
      <c r="N22">
        <v>42.86</v>
      </c>
      <c r="O22">
        <f>_xlfn.XLOOKUP(A22,'[1]Cadastro de Procedimentos'!$M:$M,'[1]Cadastro de Procedimentos'!$X:$X)</f>
        <v>1</v>
      </c>
      <c r="P22">
        <v>1</v>
      </c>
      <c r="Q22" t="s">
        <v>102</v>
      </c>
      <c r="R22">
        <v>100</v>
      </c>
    </row>
    <row r="23" spans="1:18" x14ac:dyDescent="0.35">
      <c r="A23">
        <v>107</v>
      </c>
      <c r="B23" t="s">
        <v>18</v>
      </c>
      <c r="C23" t="s">
        <v>22</v>
      </c>
      <c r="D23" t="s">
        <v>46</v>
      </c>
      <c r="E23" t="s">
        <v>71</v>
      </c>
      <c r="F23" t="s">
        <v>89</v>
      </c>
      <c r="G23" t="s">
        <v>93</v>
      </c>
      <c r="H23" t="s">
        <v>95</v>
      </c>
      <c r="I23" t="s">
        <v>97</v>
      </c>
      <c r="J23" t="s">
        <v>99</v>
      </c>
      <c r="K23">
        <v>391.07299999999998</v>
      </c>
      <c r="L23">
        <v>15715.6</v>
      </c>
      <c r="M23">
        <v>174</v>
      </c>
      <c r="N23">
        <v>968.14</v>
      </c>
      <c r="O23">
        <f>_xlfn.XLOOKUP(A23,'[1]Cadastro de Procedimentos'!$M:$M,'[1]Cadastro de Procedimentos'!$X:$X)</f>
        <v>11</v>
      </c>
      <c r="P23">
        <v>10</v>
      </c>
      <c r="Q23" t="s">
        <v>101</v>
      </c>
      <c r="R23">
        <v>100</v>
      </c>
    </row>
    <row r="24" spans="1:18" x14ac:dyDescent="0.35">
      <c r="A24">
        <v>38</v>
      </c>
      <c r="B24" t="s">
        <v>18</v>
      </c>
      <c r="C24" t="s">
        <v>22</v>
      </c>
      <c r="D24" t="s">
        <v>47</v>
      </c>
      <c r="E24" t="s">
        <v>78</v>
      </c>
      <c r="F24" t="s">
        <v>89</v>
      </c>
      <c r="G24" t="s">
        <v>93</v>
      </c>
      <c r="H24" t="s">
        <v>95</v>
      </c>
      <c r="I24" t="s">
        <v>98</v>
      </c>
      <c r="J24" t="s">
        <v>99</v>
      </c>
      <c r="K24">
        <v>357.29300000000001</v>
      </c>
      <c r="L24">
        <v>23861.3</v>
      </c>
      <c r="M24">
        <v>510</v>
      </c>
      <c r="N24">
        <v>822.53</v>
      </c>
      <c r="O24">
        <f>_xlfn.XLOOKUP(A24,'[1]Cadastro de Procedimentos'!$M:$M,'[1]Cadastro de Procedimentos'!$X:$X)</f>
        <v>9</v>
      </c>
      <c r="P24">
        <v>9</v>
      </c>
      <c r="Q24" t="s">
        <v>102</v>
      </c>
      <c r="R24">
        <v>100</v>
      </c>
    </row>
    <row r="25" spans="1:18" x14ac:dyDescent="0.35">
      <c r="A25">
        <v>49</v>
      </c>
      <c r="B25" t="s">
        <v>18</v>
      </c>
      <c r="C25" t="s">
        <v>22</v>
      </c>
      <c r="D25" t="s">
        <v>48</v>
      </c>
      <c r="E25" t="s">
        <v>79</v>
      </c>
      <c r="F25" t="s">
        <v>89</v>
      </c>
      <c r="G25" t="s">
        <v>93</v>
      </c>
      <c r="H25" t="s">
        <v>95</v>
      </c>
      <c r="I25" t="s">
        <v>98</v>
      </c>
      <c r="J25" t="s">
        <v>99</v>
      </c>
      <c r="K25">
        <v>3.464</v>
      </c>
      <c r="L25">
        <v>2839.6</v>
      </c>
      <c r="M25">
        <v>15758</v>
      </c>
      <c r="N25">
        <v>157.22999999999999</v>
      </c>
      <c r="O25">
        <f>_xlfn.XLOOKUP(A25,'[1]Cadastro de Procedimentos'!$M:$M,'[1]Cadastro de Procedimentos'!$X:$X)</f>
        <v>2</v>
      </c>
      <c r="P25">
        <v>2</v>
      </c>
      <c r="Q25" t="s">
        <v>101</v>
      </c>
      <c r="R25">
        <v>96.6</v>
      </c>
    </row>
    <row r="26" spans="1:18" x14ac:dyDescent="0.35">
      <c r="A26">
        <v>58</v>
      </c>
      <c r="B26" t="s">
        <v>18</v>
      </c>
      <c r="C26" t="s">
        <v>22</v>
      </c>
      <c r="D26" t="s">
        <v>49</v>
      </c>
      <c r="E26" t="s">
        <v>80</v>
      </c>
      <c r="F26" t="s">
        <v>89</v>
      </c>
      <c r="G26" t="s">
        <v>93</v>
      </c>
      <c r="H26" t="s">
        <v>95</v>
      </c>
      <c r="I26" t="s">
        <v>98</v>
      </c>
      <c r="J26" t="s">
        <v>100</v>
      </c>
      <c r="K26">
        <v>16.521999999999998</v>
      </c>
      <c r="L26">
        <v>9109</v>
      </c>
      <c r="M26">
        <v>42</v>
      </c>
      <c r="N26">
        <v>75.900000000000006</v>
      </c>
      <c r="O26">
        <f>_xlfn.XLOOKUP(A26,'[1]Cadastro de Procedimentos'!$M:$M,'[1]Cadastro de Procedimentos'!$X:$X)</f>
        <v>1</v>
      </c>
      <c r="P26">
        <v>1</v>
      </c>
      <c r="Q26" t="s">
        <v>101</v>
      </c>
      <c r="R26">
        <v>100</v>
      </c>
    </row>
    <row r="27" spans="1:18" x14ac:dyDescent="0.35">
      <c r="A27">
        <v>86</v>
      </c>
      <c r="B27" t="s">
        <v>18</v>
      </c>
      <c r="C27" t="s">
        <v>22</v>
      </c>
      <c r="D27" t="s">
        <v>50</v>
      </c>
      <c r="E27" t="s">
        <v>81</v>
      </c>
      <c r="F27" t="s">
        <v>89</v>
      </c>
      <c r="G27" t="s">
        <v>93</v>
      </c>
      <c r="H27" t="s">
        <v>95</v>
      </c>
      <c r="I27" t="s">
        <v>97</v>
      </c>
      <c r="J27" t="s">
        <v>100</v>
      </c>
      <c r="K27">
        <v>3.33</v>
      </c>
      <c r="L27">
        <v>2109.5</v>
      </c>
      <c r="M27">
        <v>192</v>
      </c>
      <c r="N27">
        <v>17.59</v>
      </c>
      <c r="O27">
        <f>_xlfn.XLOOKUP(A27,'[1]Cadastro de Procedimentos'!$M:$M,'[1]Cadastro de Procedimentos'!$X:$X)</f>
        <v>1</v>
      </c>
      <c r="P27">
        <v>1</v>
      </c>
      <c r="Q27" t="s">
        <v>103</v>
      </c>
      <c r="R27">
        <v>100</v>
      </c>
    </row>
    <row r="28" spans="1:18" x14ac:dyDescent="0.35">
      <c r="A28">
        <v>87</v>
      </c>
      <c r="B28" t="s">
        <v>18</v>
      </c>
      <c r="C28" t="s">
        <v>22</v>
      </c>
      <c r="D28" t="s">
        <v>51</v>
      </c>
      <c r="E28" t="s">
        <v>82</v>
      </c>
      <c r="F28" t="s">
        <v>89</v>
      </c>
      <c r="G28" t="s">
        <v>93</v>
      </c>
      <c r="H28" t="s">
        <v>95</v>
      </c>
      <c r="I28" t="s">
        <v>97</v>
      </c>
      <c r="J28" t="s">
        <v>99</v>
      </c>
      <c r="K28">
        <v>407.00400000000002</v>
      </c>
      <c r="L28">
        <v>77680.899999999994</v>
      </c>
      <c r="M28">
        <v>1006</v>
      </c>
      <c r="N28">
        <v>1021.15</v>
      </c>
      <c r="O28">
        <f>_xlfn.XLOOKUP(A28,'[1]Cadastro de Procedimentos'!$M:$M,'[1]Cadastro de Procedimentos'!$X:$X)</f>
        <v>9</v>
      </c>
      <c r="P28">
        <v>10</v>
      </c>
      <c r="Q28" t="s">
        <v>102</v>
      </c>
      <c r="R28">
        <v>100</v>
      </c>
    </row>
    <row r="29" spans="1:18" x14ac:dyDescent="0.35">
      <c r="A29">
        <v>89</v>
      </c>
      <c r="B29" t="s">
        <v>18</v>
      </c>
      <c r="C29" t="s">
        <v>22</v>
      </c>
      <c r="D29" t="s">
        <v>52</v>
      </c>
      <c r="E29" t="s">
        <v>83</v>
      </c>
      <c r="F29" t="s">
        <v>89</v>
      </c>
      <c r="G29" t="s">
        <v>93</v>
      </c>
      <c r="H29" t="s">
        <v>95</v>
      </c>
      <c r="I29" t="s">
        <v>97</v>
      </c>
      <c r="J29" t="s">
        <v>99</v>
      </c>
      <c r="K29">
        <v>492.649</v>
      </c>
      <c r="L29">
        <v>57205.8</v>
      </c>
      <c r="M29">
        <v>333</v>
      </c>
      <c r="N29">
        <v>1160.5999999999999</v>
      </c>
      <c r="O29">
        <f>_xlfn.XLOOKUP(A29,'[1]Cadastro de Procedimentos'!$M:$M,'[1]Cadastro de Procedimentos'!$X:$X)</f>
        <v>12</v>
      </c>
      <c r="P29">
        <v>12</v>
      </c>
      <c r="Q29" t="s">
        <v>101</v>
      </c>
      <c r="R29">
        <v>100</v>
      </c>
    </row>
    <row r="30" spans="1:18" x14ac:dyDescent="0.35">
      <c r="A30">
        <v>91</v>
      </c>
      <c r="B30" t="s">
        <v>18</v>
      </c>
      <c r="C30" t="s">
        <v>22</v>
      </c>
      <c r="D30" t="s">
        <v>53</v>
      </c>
      <c r="E30" t="s">
        <v>84</v>
      </c>
      <c r="F30" t="s">
        <v>89</v>
      </c>
      <c r="G30" t="s">
        <v>93</v>
      </c>
      <c r="H30" t="s">
        <v>95</v>
      </c>
      <c r="I30" t="s">
        <v>98</v>
      </c>
      <c r="J30" t="s">
        <v>100</v>
      </c>
      <c r="K30">
        <v>16.151</v>
      </c>
      <c r="L30">
        <v>5478.5</v>
      </c>
      <c r="M30">
        <v>374</v>
      </c>
      <c r="N30">
        <v>45.65</v>
      </c>
      <c r="O30">
        <f>_xlfn.XLOOKUP(A30,'[1]Cadastro de Procedimentos'!$M:$M,'[1]Cadastro de Procedimentos'!$X:$X)</f>
        <v>1</v>
      </c>
      <c r="P30">
        <v>1</v>
      </c>
      <c r="Q30" t="s">
        <v>102</v>
      </c>
      <c r="R30">
        <v>100</v>
      </c>
    </row>
    <row r="31" spans="1:18" hidden="1" x14ac:dyDescent="0.35">
      <c r="A31">
        <v>96</v>
      </c>
      <c r="B31" t="s">
        <v>18</v>
      </c>
      <c r="C31" t="s">
        <v>22</v>
      </c>
      <c r="D31" t="s">
        <v>54</v>
      </c>
      <c r="E31" t="s">
        <v>85</v>
      </c>
      <c r="F31" t="s">
        <v>90</v>
      </c>
      <c r="G31" t="s">
        <v>94</v>
      </c>
      <c r="H31" t="s">
        <v>95</v>
      </c>
      <c r="I31" t="s">
        <v>97</v>
      </c>
      <c r="J31" t="s">
        <v>99</v>
      </c>
      <c r="K31">
        <v>60.89</v>
      </c>
      <c r="L31">
        <v>10653.7</v>
      </c>
      <c r="M31">
        <v>285</v>
      </c>
      <c r="N31">
        <v>167.16</v>
      </c>
      <c r="O31" t="e">
        <f>_xlfn.XLOOKUP(A31,'[1]Cadastro de Procedimentos'!$M:$M,'[1]Cadastro de Procedimentos'!$X:$X)</f>
        <v>#N/A</v>
      </c>
      <c r="P31">
        <v>2</v>
      </c>
      <c r="Q31" t="s">
        <v>101</v>
      </c>
      <c r="R31">
        <v>100</v>
      </c>
    </row>
    <row r="32" spans="1:18" x14ac:dyDescent="0.35">
      <c r="A32">
        <v>26</v>
      </c>
      <c r="B32" t="s">
        <v>19</v>
      </c>
      <c r="C32" t="s">
        <v>23</v>
      </c>
      <c r="D32" t="s">
        <v>55</v>
      </c>
      <c r="E32" t="s">
        <v>86</v>
      </c>
      <c r="F32" t="s">
        <v>89</v>
      </c>
      <c r="G32" t="s">
        <v>93</v>
      </c>
      <c r="H32" t="s">
        <v>96</v>
      </c>
      <c r="I32" t="s">
        <v>98</v>
      </c>
      <c r="J32" t="s">
        <v>99</v>
      </c>
      <c r="K32">
        <v>37.375</v>
      </c>
      <c r="L32">
        <v>4765.1000000000004</v>
      </c>
      <c r="M32">
        <v>41</v>
      </c>
      <c r="N32">
        <v>98.8</v>
      </c>
      <c r="O32">
        <f>_xlfn.XLOOKUP(A32,'[1]Cadastro de Procedimentos'!$M:$M,'[1]Cadastro de Procedimentos'!$X:$X)</f>
        <v>2</v>
      </c>
      <c r="P32">
        <v>1</v>
      </c>
      <c r="Q32" t="s">
        <v>101</v>
      </c>
      <c r="R32">
        <v>100</v>
      </c>
    </row>
    <row r="33" spans="1:18" x14ac:dyDescent="0.35">
      <c r="A33">
        <v>129</v>
      </c>
      <c r="B33" t="s">
        <v>19</v>
      </c>
      <c r="C33" t="s">
        <v>23</v>
      </c>
      <c r="D33" t="s">
        <v>51</v>
      </c>
      <c r="E33" t="s">
        <v>82</v>
      </c>
      <c r="F33" t="s">
        <v>89</v>
      </c>
      <c r="G33" t="s">
        <v>93</v>
      </c>
      <c r="H33" t="s">
        <v>96</v>
      </c>
      <c r="I33" t="s">
        <v>98</v>
      </c>
      <c r="J33" t="s">
        <v>99</v>
      </c>
      <c r="K33">
        <v>0.57399999999999995</v>
      </c>
      <c r="L33">
        <v>481</v>
      </c>
      <c r="M33">
        <v>1</v>
      </c>
      <c r="N33">
        <v>1.59</v>
      </c>
      <c r="O33">
        <f>_xlfn.XLOOKUP(A33,'[1]Cadastro de Procedimentos'!$M:$M,'[1]Cadastro de Procedimentos'!$X:$X)</f>
        <v>1</v>
      </c>
      <c r="P33">
        <v>0</v>
      </c>
      <c r="Q33" t="s">
        <v>101</v>
      </c>
      <c r="R33">
        <v>100</v>
      </c>
    </row>
    <row r="34" spans="1:18" x14ac:dyDescent="0.35">
      <c r="A34">
        <v>100</v>
      </c>
      <c r="B34" t="s">
        <v>20</v>
      </c>
      <c r="C34" t="s">
        <v>24</v>
      </c>
      <c r="D34" t="s">
        <v>56</v>
      </c>
      <c r="E34" t="s">
        <v>87</v>
      </c>
      <c r="F34" t="s">
        <v>90</v>
      </c>
      <c r="G34" t="s">
        <v>93</v>
      </c>
      <c r="H34" t="s">
        <v>96</v>
      </c>
      <c r="I34" t="s">
        <v>97</v>
      </c>
      <c r="J34" t="s">
        <v>99</v>
      </c>
      <c r="K34">
        <v>152.97200000000001</v>
      </c>
      <c r="L34">
        <v>27412.5</v>
      </c>
      <c r="M34">
        <v>73</v>
      </c>
      <c r="N34">
        <v>192.1</v>
      </c>
      <c r="O34">
        <f>_xlfn.XLOOKUP(A34,'[1]Cadastro de Procedimentos'!$M:$M,'[1]Cadastro de Procedimentos'!$X:$X)</f>
        <v>2</v>
      </c>
      <c r="P34">
        <v>2</v>
      </c>
      <c r="Q34" t="s">
        <v>101</v>
      </c>
      <c r="R34">
        <v>100</v>
      </c>
    </row>
  </sheetData>
  <autoFilter ref="A1:R34" xr:uid="{00000000-0001-0000-0000-000000000000}">
    <filterColumn colId="14">
      <filters>
        <filter val="1"/>
        <filter val="11"/>
        <filter val="12"/>
        <filter val="13"/>
        <filter val="2"/>
        <filter val="3"/>
        <filter val="33"/>
        <filter val="4"/>
        <filter val="43"/>
        <filter val="5"/>
        <filter val="6"/>
        <filter val="7"/>
        <filter val="8"/>
        <filter val="9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2026-04-07T12:52:38Z</dcterms:created>
  <dcterms:modified xsi:type="dcterms:W3CDTF">2026-04-07T12:54:49Z</dcterms:modified>
</cp:coreProperties>
</file>