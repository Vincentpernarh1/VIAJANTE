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FCFAC5B4-8E6B-40AC-9F16-18F9FEA2E1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Sheet1!$A$1:$S$44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P2" i="1"/>
  <c r="P8" i="1"/>
  <c r="P9" i="1"/>
  <c r="P10" i="1"/>
  <c r="P11" i="1"/>
  <c r="P12" i="1"/>
  <c r="P13" i="1"/>
  <c r="P14" i="1"/>
  <c r="P3" i="1"/>
  <c r="P15" i="1"/>
  <c r="P16" i="1"/>
  <c r="P17" i="1"/>
  <c r="P18" i="1"/>
  <c r="P19" i="1"/>
  <c r="P4" i="1"/>
  <c r="P20" i="1"/>
  <c r="P21" i="1"/>
  <c r="P22" i="1"/>
  <c r="P23" i="1"/>
  <c r="P24" i="1"/>
  <c r="P25" i="1"/>
  <c r="P26" i="1"/>
  <c r="P5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6" i="1"/>
  <c r="O7" i="1"/>
  <c r="O2" i="1"/>
  <c r="O8" i="1"/>
  <c r="O9" i="1"/>
  <c r="O10" i="1"/>
  <c r="O11" i="1"/>
  <c r="O12" i="1"/>
  <c r="O13" i="1"/>
  <c r="O14" i="1"/>
  <c r="O3" i="1"/>
  <c r="O15" i="1"/>
  <c r="O16" i="1"/>
  <c r="O17" i="1"/>
  <c r="O18" i="1"/>
  <c r="O19" i="1"/>
  <c r="O4" i="1"/>
  <c r="O20" i="1"/>
  <c r="O21" i="1"/>
  <c r="O22" i="1"/>
  <c r="O23" i="1"/>
  <c r="O24" i="1"/>
  <c r="O25" i="1"/>
  <c r="O26" i="1"/>
  <c r="O5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6" i="1"/>
</calcChain>
</file>

<file path=xl/sharedStrings.xml><?xml version="1.0" encoding="utf-8"?>
<sst xmlns="http://schemas.openxmlformats.org/spreadsheetml/2006/main" count="417" uniqueCount="98">
  <si>
    <t>COD FLUXO</t>
  </si>
  <si>
    <t>COD DESTINO</t>
  </si>
  <si>
    <t>DESTINO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</si>
  <si>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</si>
  <si>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</si>
  <si>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</si>
  <si>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</si>
  <si>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</si>
  <si>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</si>
  <si>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</si>
  <si>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</si>
  <si>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</si>
  <si>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</si>
  <si>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</si>
  <si>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</si>
  <si>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SUGESTÃO</t>
  </si>
  <si>
    <t>% MDRs APURADOS</t>
  </si>
  <si>
    <t>1080/1046</t>
  </si>
  <si>
    <t>28450</t>
  </si>
  <si>
    <t>1046</t>
  </si>
  <si>
    <t>1080</t>
  </si>
  <si>
    <t>16081</t>
  </si>
  <si>
    <t>FCA/FPT</t>
  </si>
  <si>
    <t>FPT</t>
  </si>
  <si>
    <t>THERA</t>
  </si>
  <si>
    <t>FCA</t>
  </si>
  <si>
    <t>DENSO</t>
  </si>
  <si>
    <t>800016859/24229</t>
  </si>
  <si>
    <t>51620/800003752/15565</t>
  </si>
  <si>
    <t>36019/800033930</t>
  </si>
  <si>
    <t>800035411/800005740/23480</t>
  </si>
  <si>
    <t>800028458/31775</t>
  </si>
  <si>
    <t>800006198/800038221/50111</t>
  </si>
  <si>
    <t>800000059/1097</t>
  </si>
  <si>
    <t>56589/46051/800045091/800006295</t>
  </si>
  <si>
    <t>56589/800006295</t>
  </si>
  <si>
    <t>46051/800045091</t>
  </si>
  <si>
    <t>800000057/1097/800000059</t>
  </si>
  <si>
    <t>GKN</t>
  </si>
  <si>
    <t>CONTINENTAL, CONTINENTAL</t>
  </si>
  <si>
    <t>MIBA SINTER, MIBA SINTER, MIBA SINTER</t>
  </si>
  <si>
    <t>CONTINENTAL PAR, CONTINENTAL PAR</t>
  </si>
  <si>
    <t>HBA, HBA, HBA</t>
  </si>
  <si>
    <t>ITAESBRA, ITAESBRA</t>
  </si>
  <si>
    <t>VIBRACOUSTIC II, VIBRACOUSTIC II, VIBRACOUSTIC II</t>
  </si>
  <si>
    <t>ROBERT BOSCH</t>
  </si>
  <si>
    <t>MAHLE</t>
  </si>
  <si>
    <t>MAGNETI MARELLI SISTEMAS II, MAGNETI MARELLI SISTEMAS II</t>
  </si>
  <si>
    <t>OMR, OMR, OMR, OMR</t>
  </si>
  <si>
    <t>OMR, OMR</t>
  </si>
  <si>
    <t>HBA</t>
  </si>
  <si>
    <t>WEIDPLAS</t>
  </si>
  <si>
    <t>MAGNETI MARELLI SISTEMAS I, MAGNETI MARELLI SISTEMAS I, MAGNETI MARELLI SISTEMAS I</t>
  </si>
  <si>
    <t>AUTOLIV</t>
  </si>
  <si>
    <t>HBA II</t>
  </si>
  <si>
    <t>ZF IV</t>
  </si>
  <si>
    <t>ABC GROUP</t>
  </si>
  <si>
    <t>AUTOMETAL D</t>
  </si>
  <si>
    <t>CIE AUTOMETAL SALTO INDUSTRIA E COM</t>
  </si>
  <si>
    <t>CEBI</t>
  </si>
  <si>
    <t>MINEBEA ACCESSSOLUTIONS SOUTH AMERI</t>
  </si>
  <si>
    <t>KOSTAL ELETROME</t>
  </si>
  <si>
    <t>CONTINENTAL II</t>
  </si>
  <si>
    <t>JSP BRASIL</t>
  </si>
  <si>
    <t>VALEO II</t>
  </si>
  <si>
    <t>MAGNA</t>
  </si>
  <si>
    <t>TRIMTEC</t>
  </si>
  <si>
    <t>COPLAC</t>
  </si>
  <si>
    <t>FLASH COVER CAP</t>
  </si>
  <si>
    <t>CAAS</t>
  </si>
  <si>
    <t>ARTEB</t>
  </si>
  <si>
    <t>F2J BRASIL FARO</t>
  </si>
  <si>
    <t>KNAUF ISOPOR</t>
  </si>
  <si>
    <t>EDSCHA</t>
  </si>
  <si>
    <t>MANDO</t>
  </si>
  <si>
    <t>FAURECIA AUTOMOTIVE</t>
  </si>
  <si>
    <t>THYSSENKRUPP SP</t>
  </si>
  <si>
    <t>JOHNSON ELECTRI</t>
  </si>
  <si>
    <t>VANDERLEA</t>
  </si>
  <si>
    <t>CARRETA REBAIXADA</t>
  </si>
  <si>
    <t>TRUCK VIAGEM</t>
  </si>
  <si>
    <t>CARRETA</t>
  </si>
  <si>
    <t>MONTAGEM-SP</t>
  </si>
  <si>
    <t>FTL</t>
  </si>
  <si>
    <t>CT</t>
  </si>
  <si>
    <t>CARGOLIFT</t>
  </si>
  <si>
    <t>JAT</t>
  </si>
  <si>
    <t>FURLONG</t>
  </si>
  <si>
    <t>FKS SP</t>
  </si>
  <si>
    <t>JSL</t>
  </si>
  <si>
    <t>FEDERAL</t>
  </si>
  <si>
    <t>PESO</t>
  </si>
  <si>
    <t>VOLUME</t>
  </si>
  <si>
    <t>Manter coleta</t>
  </si>
  <si>
    <t>Alterar último veículo para menor porte</t>
  </si>
  <si>
    <t>Cortar coleta do último veículo</t>
  </si>
  <si>
    <t>Cargas Viajante</t>
  </si>
  <si>
    <t>Hazmat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</si>
</sst>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NumberFormat="1"/>
    <xf numFmtId="0" fontId="0" fillId="2" borderId="0" xfId="0" applyFill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ownloads\volume%200104.xlsx" TargetMode="External"/><Relationship Id="rId1" Type="http://schemas.openxmlformats.org/officeDocument/2006/relationships/externalLinkPath" Target="/Users/perna/Downloads/volume%2001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 de Procedimentos"/>
      <sheetName val="ND QME"/>
      <sheetName val="ENTREGAS"/>
      <sheetName val="SEM INCOTERM"/>
      <sheetName val="SEM TECNOL"/>
      <sheetName val="MDR_SEM_VALOR"/>
      <sheetName val="PN_SEM_VALOR"/>
      <sheetName val="PN_PROGRAMADOS"/>
      <sheetName val="FLUXOS_EM_ANÁLISE"/>
    </sheetNames>
    <sheetDataSet>
      <sheetData sheetId="0">
        <row r="15">
          <cell r="M15" t="str">
            <v>Cód Fluxo</v>
          </cell>
          <cell r="V15" t="str">
            <v>Cargas Totais</v>
          </cell>
          <cell r="X15" t="str">
            <v>Hazmat</v>
          </cell>
        </row>
        <row r="16">
          <cell r="M16">
            <v>40</v>
          </cell>
          <cell r="V16">
            <v>3</v>
          </cell>
          <cell r="X16" t="str">
            <v xml:space="preserve">2 carretas e 1 truck </v>
          </cell>
        </row>
        <row r="17">
          <cell r="M17">
            <v>41</v>
          </cell>
          <cell r="V17">
            <v>2</v>
          </cell>
          <cell r="X17" t="str">
            <v xml:space="preserve">1 carreta </v>
          </cell>
        </row>
        <row r="18">
          <cell r="M18">
            <v>42</v>
          </cell>
          <cell r="V18">
            <v>16</v>
          </cell>
          <cell r="X18" t="str">
            <v>11+intercom</v>
          </cell>
        </row>
        <row r="19">
          <cell r="M19">
            <v>43</v>
          </cell>
          <cell r="V19">
            <v>3</v>
          </cell>
          <cell r="X19" t="str">
            <v>3 carretas 17h, 19h e 22h</v>
          </cell>
        </row>
        <row r="20">
          <cell r="M20">
            <v>44</v>
          </cell>
          <cell r="V20">
            <v>0</v>
          </cell>
          <cell r="X20" t="str">
            <v>1 carreta 23h</v>
          </cell>
        </row>
        <row r="21">
          <cell r="M21">
            <v>48</v>
          </cell>
          <cell r="V21">
            <v>10</v>
          </cell>
          <cell r="X21" t="str">
            <v xml:space="preserve">1 carreta </v>
          </cell>
        </row>
        <row r="22">
          <cell r="M22">
            <v>62</v>
          </cell>
          <cell r="V22">
            <v>3</v>
          </cell>
          <cell r="X22" t="str">
            <v>3 carretas - 14h, 19h e 23h</v>
          </cell>
        </row>
        <row r="23">
          <cell r="M23">
            <v>63</v>
          </cell>
          <cell r="V23">
            <v>4</v>
          </cell>
          <cell r="X23" t="str">
            <v xml:space="preserve">3 carretas 1 truck </v>
          </cell>
        </row>
        <row r="24">
          <cell r="M24">
            <v>64</v>
          </cell>
          <cell r="V24">
            <v>1</v>
          </cell>
          <cell r="X24" t="str">
            <v>1 truck</v>
          </cell>
        </row>
        <row r="25">
          <cell r="M25">
            <v>66</v>
          </cell>
          <cell r="V25">
            <v>1</v>
          </cell>
          <cell r="X25" t="str">
            <v>1 carreta 20h</v>
          </cell>
        </row>
        <row r="26">
          <cell r="M26">
            <v>67</v>
          </cell>
          <cell r="V26">
            <v>3</v>
          </cell>
          <cell r="X26" t="str">
            <v xml:space="preserve">3 carretas </v>
          </cell>
        </row>
        <row r="27">
          <cell r="M27">
            <v>68</v>
          </cell>
          <cell r="V27">
            <v>2</v>
          </cell>
          <cell r="X27" t="str">
            <v xml:space="preserve">1 carreta </v>
          </cell>
        </row>
        <row r="28">
          <cell r="M28">
            <v>70</v>
          </cell>
          <cell r="V28">
            <v>2</v>
          </cell>
          <cell r="X28" t="str">
            <v xml:space="preserve">1 carreta </v>
          </cell>
        </row>
        <row r="29">
          <cell r="M29">
            <v>71</v>
          </cell>
          <cell r="V29">
            <v>4</v>
          </cell>
          <cell r="X29" t="str">
            <v xml:space="preserve">4 carretas </v>
          </cell>
        </row>
        <row r="30">
          <cell r="M30">
            <v>74</v>
          </cell>
          <cell r="V30">
            <v>1</v>
          </cell>
          <cell r="X30" t="str">
            <v xml:space="preserve">1 truck </v>
          </cell>
        </row>
        <row r="31">
          <cell r="M31">
            <v>75</v>
          </cell>
          <cell r="V31">
            <v>0</v>
          </cell>
          <cell r="X31" t="str">
            <v>zero</v>
          </cell>
        </row>
        <row r="32">
          <cell r="M32">
            <v>76</v>
          </cell>
          <cell r="V32">
            <v>3</v>
          </cell>
          <cell r="X32" t="str">
            <v xml:space="preserve">1 truck </v>
          </cell>
        </row>
        <row r="33">
          <cell r="M33">
            <v>77</v>
          </cell>
          <cell r="V33">
            <v>2</v>
          </cell>
          <cell r="X33" t="str">
            <v xml:space="preserve">1 truck </v>
          </cell>
        </row>
        <row r="34">
          <cell r="M34">
            <v>79</v>
          </cell>
          <cell r="V34">
            <v>1</v>
          </cell>
          <cell r="X34" t="str">
            <v xml:space="preserve">1 carreta </v>
          </cell>
        </row>
        <row r="35">
          <cell r="M35">
            <v>81</v>
          </cell>
          <cell r="V35">
            <v>2</v>
          </cell>
          <cell r="X35" t="str">
            <v xml:space="preserve">1 carreta </v>
          </cell>
        </row>
        <row r="36">
          <cell r="M36">
            <v>82</v>
          </cell>
          <cell r="V36">
            <v>2</v>
          </cell>
          <cell r="X36" t="str">
            <v xml:space="preserve">1 carreta </v>
          </cell>
        </row>
        <row r="37">
          <cell r="M37">
            <v>83</v>
          </cell>
          <cell r="V37">
            <v>3</v>
          </cell>
          <cell r="X37" t="str">
            <v xml:space="preserve">1 carreta e 1 truck </v>
          </cell>
        </row>
        <row r="38">
          <cell r="M38">
            <v>85</v>
          </cell>
          <cell r="V38">
            <v>0</v>
          </cell>
          <cell r="X38" t="str">
            <v>zero</v>
          </cell>
        </row>
        <row r="39">
          <cell r="M39">
            <v>92</v>
          </cell>
          <cell r="V39">
            <v>2</v>
          </cell>
          <cell r="X39" t="str">
            <v>2 carretas 11h e 21h</v>
          </cell>
        </row>
        <row r="40">
          <cell r="M40">
            <v>93</v>
          </cell>
          <cell r="V40">
            <v>4</v>
          </cell>
          <cell r="X40" t="str">
            <v>15565 truck 8h, carreta geo</v>
          </cell>
        </row>
        <row r="41">
          <cell r="M41">
            <v>94</v>
          </cell>
          <cell r="V41">
            <v>1</v>
          </cell>
          <cell r="X41" t="str">
            <v xml:space="preserve">1 carreta </v>
          </cell>
        </row>
        <row r="42">
          <cell r="M42">
            <v>95</v>
          </cell>
          <cell r="V42">
            <v>2</v>
          </cell>
          <cell r="X42" t="str">
            <v xml:space="preserve">1 carreta </v>
          </cell>
        </row>
        <row r="43">
          <cell r="M43">
            <v>96</v>
          </cell>
          <cell r="V43">
            <v>2</v>
          </cell>
          <cell r="X43" t="str">
            <v xml:space="preserve">1 carreta </v>
          </cell>
        </row>
        <row r="44">
          <cell r="M44">
            <v>105</v>
          </cell>
          <cell r="V44">
            <v>1</v>
          </cell>
          <cell r="X44" t="str">
            <v xml:space="preserve">truck  </v>
          </cell>
        </row>
        <row r="45">
          <cell r="M45">
            <v>108</v>
          </cell>
          <cell r="V45">
            <v>1</v>
          </cell>
          <cell r="X45" t="str">
            <v xml:space="preserve">1 truck </v>
          </cell>
        </row>
        <row r="46">
          <cell r="M46">
            <v>112</v>
          </cell>
          <cell r="V46">
            <v>5</v>
          </cell>
          <cell r="X46" t="str">
            <v xml:space="preserve">padrão </v>
          </cell>
        </row>
        <row r="47">
          <cell r="M47">
            <v>113</v>
          </cell>
          <cell r="V47">
            <v>1</v>
          </cell>
          <cell r="X47" t="str">
            <v>2 trucks 11h e 18h</v>
          </cell>
        </row>
        <row r="48">
          <cell r="M48">
            <v>114</v>
          </cell>
          <cell r="V48">
            <v>2</v>
          </cell>
          <cell r="X48" t="str">
            <v>TRUCK às 19HRS</v>
          </cell>
        </row>
        <row r="49">
          <cell r="M49">
            <v>116</v>
          </cell>
          <cell r="V49">
            <v>3</v>
          </cell>
          <cell r="X49" t="str">
            <v xml:space="preserve">padrão </v>
          </cell>
        </row>
        <row r="50">
          <cell r="M50">
            <v>120</v>
          </cell>
          <cell r="V50">
            <v>2</v>
          </cell>
          <cell r="X50" t="str">
            <v xml:space="preserve">1 carreta </v>
          </cell>
        </row>
        <row r="51">
          <cell r="M51">
            <v>124</v>
          </cell>
          <cell r="V51">
            <v>1</v>
          </cell>
          <cell r="X51" t="str">
            <v xml:space="preserve">2 carretas </v>
          </cell>
        </row>
        <row r="52">
          <cell r="M52">
            <v>130</v>
          </cell>
          <cell r="V52">
            <v>0</v>
          </cell>
          <cell r="X52" t="str">
            <v>-</v>
          </cell>
        </row>
        <row r="53">
          <cell r="M53">
            <v>132</v>
          </cell>
          <cell r="V53">
            <v>0</v>
          </cell>
          <cell r="X53" t="str">
            <v>-</v>
          </cell>
        </row>
        <row r="54">
          <cell r="M54">
            <v>133</v>
          </cell>
          <cell r="V54">
            <v>2</v>
          </cell>
          <cell r="X54" t="str">
            <v>1 carreta e 1 truck</v>
          </cell>
        </row>
        <row r="55">
          <cell r="M55">
            <v>134</v>
          </cell>
          <cell r="V55">
            <v>2</v>
          </cell>
          <cell r="X55" t="str">
            <v xml:space="preserve">1 carreta e 1 truck </v>
          </cell>
        </row>
        <row r="56">
          <cell r="M56">
            <v>136</v>
          </cell>
          <cell r="V56">
            <v>3</v>
          </cell>
          <cell r="X56" t="str">
            <v>1 truck as 22:00 hs</v>
          </cell>
        </row>
        <row r="57">
          <cell r="M57">
            <v>138</v>
          </cell>
          <cell r="V57">
            <v>1</v>
          </cell>
          <cell r="X57" t="str">
            <v>novares: 1 carreta 20h</v>
          </cell>
        </row>
        <row r="58">
          <cell r="M58">
            <v>140</v>
          </cell>
          <cell r="V58">
            <v>1</v>
          </cell>
          <cell r="X58" t="str">
            <v>carreta geo coplac</v>
          </cell>
        </row>
        <row r="59">
          <cell r="M59">
            <v>141</v>
          </cell>
          <cell r="V59">
            <v>1</v>
          </cell>
          <cell r="X59" t="str">
            <v>carreta geo trimtec</v>
          </cell>
        </row>
        <row r="60">
          <cell r="M60">
            <v>142</v>
          </cell>
          <cell r="V60">
            <v>1</v>
          </cell>
          <cell r="X60" t="str">
            <v xml:space="preserve">1 carreta </v>
          </cell>
        </row>
        <row r="61">
          <cell r="M61">
            <v>143</v>
          </cell>
          <cell r="V61">
            <v>1</v>
          </cell>
          <cell r="X61" t="str">
            <v xml:space="preserve">1 truck </v>
          </cell>
        </row>
        <row r="62">
          <cell r="M62">
            <v>144</v>
          </cell>
          <cell r="V62">
            <v>1</v>
          </cell>
          <cell r="X62" t="str">
            <v xml:space="preserve">1 truck  </v>
          </cell>
        </row>
        <row r="63">
          <cell r="M63">
            <v>145</v>
          </cell>
          <cell r="V63">
            <v>2</v>
          </cell>
          <cell r="X63" t="str">
            <v>padrão</v>
          </cell>
        </row>
        <row r="64">
          <cell r="M64">
            <v>148</v>
          </cell>
          <cell r="V64">
            <v>2</v>
          </cell>
          <cell r="X64" t="str">
            <v>2 carretas</v>
          </cell>
        </row>
        <row r="65">
          <cell r="M65">
            <v>157</v>
          </cell>
          <cell r="V65">
            <v>1</v>
          </cell>
          <cell r="X65" t="str">
            <v>dinamico</v>
          </cell>
        </row>
        <row r="66">
          <cell r="M66">
            <v>158</v>
          </cell>
          <cell r="V66">
            <v>3</v>
          </cell>
          <cell r="X66" t="str">
            <v>2 carretas</v>
          </cell>
        </row>
        <row r="67">
          <cell r="M67">
            <v>159</v>
          </cell>
          <cell r="V67">
            <v>1</v>
          </cell>
          <cell r="X67" t="str">
            <v>1 carreta geo mahle</v>
          </cell>
        </row>
        <row r="68">
          <cell r="M68">
            <v>160</v>
          </cell>
          <cell r="V68">
            <v>1</v>
          </cell>
          <cell r="X68" t="str">
            <v xml:space="preserve">1 carreta geo tenneco </v>
          </cell>
        </row>
        <row r="69">
          <cell r="M69">
            <v>161</v>
          </cell>
          <cell r="V69">
            <v>2</v>
          </cell>
          <cell r="X69" t="str">
            <v xml:space="preserve">truck </v>
          </cell>
        </row>
        <row r="70">
          <cell r="M70">
            <v>162</v>
          </cell>
          <cell r="V70">
            <v>3</v>
          </cell>
          <cell r="X70" t="str">
            <v xml:space="preserve">2 carretas </v>
          </cell>
        </row>
        <row r="71">
          <cell r="M71">
            <v>173</v>
          </cell>
          <cell r="V71">
            <v>0</v>
          </cell>
          <cell r="X71" t="str">
            <v>-</v>
          </cell>
        </row>
        <row r="72">
          <cell r="M72">
            <v>174</v>
          </cell>
          <cell r="V72">
            <v>2</v>
          </cell>
          <cell r="X72" t="str">
            <v xml:space="preserve">2 trucks  </v>
          </cell>
        </row>
        <row r="73">
          <cell r="M73">
            <v>175</v>
          </cell>
          <cell r="V73">
            <v>0</v>
          </cell>
          <cell r="X73" t="str">
            <v>-</v>
          </cell>
        </row>
        <row r="74">
          <cell r="M74">
            <v>176</v>
          </cell>
          <cell r="V74">
            <v>1</v>
          </cell>
          <cell r="X74" t="str">
            <v>-</v>
          </cell>
        </row>
        <row r="75">
          <cell r="M75">
            <v>177</v>
          </cell>
          <cell r="V75">
            <v>2</v>
          </cell>
          <cell r="X75" t="str">
            <v xml:space="preserve">1 carreta </v>
          </cell>
        </row>
        <row r="76">
          <cell r="M76">
            <v>181</v>
          </cell>
          <cell r="V76">
            <v>2</v>
          </cell>
          <cell r="X76" t="str">
            <v xml:space="preserve">2 carretas </v>
          </cell>
        </row>
        <row r="77">
          <cell r="M77">
            <v>182</v>
          </cell>
          <cell r="V77">
            <v>3</v>
          </cell>
          <cell r="X77" t="str">
            <v>-</v>
          </cell>
        </row>
        <row r="78">
          <cell r="M78">
            <v>183</v>
          </cell>
          <cell r="V78">
            <v>1</v>
          </cell>
          <cell r="X78" t="str">
            <v>-</v>
          </cell>
        </row>
        <row r="79">
          <cell r="M79">
            <v>185</v>
          </cell>
          <cell r="V79">
            <v>1</v>
          </cell>
          <cell r="X79" t="str">
            <v xml:space="preserve">1 carreta </v>
          </cell>
        </row>
        <row r="80">
          <cell r="M80">
            <v>186</v>
          </cell>
          <cell r="V80">
            <v>1</v>
          </cell>
          <cell r="X80" t="str">
            <v xml:space="preserve">1 truck geo faurecia </v>
          </cell>
        </row>
        <row r="81">
          <cell r="M81">
            <v>187</v>
          </cell>
          <cell r="V81">
            <v>1</v>
          </cell>
          <cell r="X81" t="str">
            <v xml:space="preserve">1 truck geo mando </v>
          </cell>
        </row>
        <row r="82">
          <cell r="M82">
            <v>188</v>
          </cell>
          <cell r="V82">
            <v>2</v>
          </cell>
          <cell r="X82" t="str">
            <v xml:space="preserve">2 trucks </v>
          </cell>
        </row>
        <row r="83">
          <cell r="M83">
            <v>190</v>
          </cell>
          <cell r="V83">
            <v>0</v>
          </cell>
          <cell r="X83" t="str">
            <v>1 truck 11h</v>
          </cell>
        </row>
        <row r="84">
          <cell r="M84">
            <v>191</v>
          </cell>
          <cell r="V84">
            <v>1</v>
          </cell>
          <cell r="X84" t="str">
            <v xml:space="preserve">1 carreta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4"/>
  <sheetViews>
    <sheetView tabSelected="1" topLeftCell="E1" workbookViewId="0">
      <selection activeCell="I51" sqref="I51"/>
    </sheetView>
  </sheetViews>
  <sheetFormatPr defaultRowHeight="14.5" x14ac:dyDescent="0.35"/>
  <cols>
    <col min="1" max="1" width="10.453125" bestFit="1" customWidth="1"/>
    <col min="2" max="2" width="12.36328125" bestFit="1" customWidth="1"/>
    <col min="3" max="3" width="8.1796875" bestFit="1" customWidth="1"/>
    <col min="4" max="4" width="31.7265625" bestFit="1" customWidth="1"/>
    <col min="5" max="5" width="80" bestFit="1" customWidth="1"/>
    <col min="6" max="6" width="18.6328125" bestFit="1" customWidth="1"/>
    <col min="7" max="7" width="14" bestFit="1" customWidth="1"/>
    <col min="8" max="8" width="4.90625" bestFit="1" customWidth="1"/>
    <col min="9" max="9" width="17.08984375" bestFit="1" customWidth="1"/>
    <col min="10" max="10" width="18.453125" bestFit="1" customWidth="1"/>
    <col min="11" max="11" width="22.7265625" bestFit="1" customWidth="1"/>
    <col min="12" max="12" width="14.7265625" bestFit="1" customWidth="1"/>
    <col min="13" max="13" width="18.26953125" bestFit="1" customWidth="1"/>
    <col min="14" max="14" width="20.26953125" bestFit="1" customWidth="1"/>
    <col min="15" max="15" width="20.26953125" customWidth="1"/>
    <col min="16" max="16" width="23.54296875" bestFit="1" customWidth="1"/>
    <col min="17" max="17" width="7.54296875" bestFit="1" customWidth="1"/>
    <col min="18" max="18" width="34.453125" bestFit="1" customWidth="1"/>
    <col min="19" max="19" width="17.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96</v>
      </c>
      <c r="P1" s="2" t="s">
        <v>97</v>
      </c>
      <c r="Q1" s="1" t="s">
        <v>14</v>
      </c>
      <c r="R1" s="1" t="s">
        <v>15</v>
      </c>
      <c r="S1" s="1" t="s">
        <v>16</v>
      </c>
    </row>
    <row r="2" spans="1:19" x14ac:dyDescent="0.35">
      <c r="A2" s="4">
        <v>93</v>
      </c>
      <c r="B2" s="4" t="s">
        <v>17</v>
      </c>
      <c r="C2" s="4" t="s">
        <v>22</v>
      </c>
      <c r="D2" s="4" t="s">
        <v>28</v>
      </c>
      <c r="E2" s="4" t="s">
        <v>40</v>
      </c>
      <c r="F2" s="4" t="s">
        <v>80</v>
      </c>
      <c r="G2" s="4" t="s">
        <v>23</v>
      </c>
      <c r="H2" s="4" t="s">
        <v>83</v>
      </c>
      <c r="I2" s="4" t="s">
        <v>86</v>
      </c>
      <c r="J2" s="4" t="s">
        <v>92</v>
      </c>
      <c r="K2" s="4">
        <v>7.7309999999999999</v>
      </c>
      <c r="L2" s="4">
        <v>988.8</v>
      </c>
      <c r="M2" s="4">
        <v>59590</v>
      </c>
      <c r="N2" s="4">
        <v>21.43</v>
      </c>
      <c r="O2" s="4">
        <f>_xlfn.XLOOKUP(A2,'[1]Cadastro de Procedimentos'!$M:$M,'[1]Cadastro de Procedimentos'!$V:$V)</f>
        <v>4</v>
      </c>
      <c r="P2" s="4" t="str">
        <f>_xlfn.XLOOKUP(A2,'[1]Cadastro de Procedimentos'!$M:$M,'[1]Cadastro de Procedimentos'!$X:$X)</f>
        <v>15565 truck 8h, carreta geo</v>
      </c>
      <c r="Q2" s="4">
        <v>1</v>
      </c>
      <c r="R2" s="4" t="s">
        <v>94</v>
      </c>
      <c r="S2" s="4">
        <v>9.1</v>
      </c>
    </row>
    <row r="3" spans="1:19" hidden="1" x14ac:dyDescent="0.35">
      <c r="A3" s="4">
        <v>92</v>
      </c>
      <c r="B3" s="4" t="s">
        <v>19</v>
      </c>
      <c r="C3" s="4" t="s">
        <v>23</v>
      </c>
      <c r="D3" s="4" t="s">
        <v>33</v>
      </c>
      <c r="E3" s="4" t="s">
        <v>47</v>
      </c>
      <c r="F3" s="4" t="s">
        <v>81</v>
      </c>
      <c r="G3" s="4" t="s">
        <v>23</v>
      </c>
      <c r="H3" s="4" t="s">
        <v>83</v>
      </c>
      <c r="I3" s="4" t="s">
        <v>86</v>
      </c>
      <c r="J3" s="4" t="s">
        <v>92</v>
      </c>
      <c r="K3" s="4">
        <v>292.279</v>
      </c>
      <c r="L3" s="4">
        <v>29970.799999999999</v>
      </c>
      <c r="M3" s="4">
        <v>5428</v>
      </c>
      <c r="N3" s="4">
        <v>879.96</v>
      </c>
      <c r="O3" s="4">
        <f>_xlfn.XLOOKUP(A3,'[1]Cadastro de Procedimentos'!$M:$M,'[1]Cadastro de Procedimentos'!$V:$V)</f>
        <v>2</v>
      </c>
      <c r="P3" s="4" t="str">
        <f>_xlfn.XLOOKUP(A3,'[1]Cadastro de Procedimentos'!$M:$M,'[1]Cadastro de Procedimentos'!$X:$X)</f>
        <v>2 carretas 11h e 21h</v>
      </c>
      <c r="Q3" s="4">
        <v>9</v>
      </c>
      <c r="R3" s="4" t="s">
        <v>93</v>
      </c>
      <c r="S3" s="4">
        <v>79.2</v>
      </c>
    </row>
    <row r="4" spans="1:19" s="4" customFormat="1" hidden="1" x14ac:dyDescent="0.35">
      <c r="A4" s="4">
        <v>48</v>
      </c>
      <c r="B4" s="4" t="s">
        <v>20</v>
      </c>
      <c r="C4" s="4" t="s">
        <v>25</v>
      </c>
      <c r="D4" s="4" t="s">
        <v>37</v>
      </c>
      <c r="E4" s="4" t="s">
        <v>52</v>
      </c>
      <c r="F4" s="4" t="s">
        <v>80</v>
      </c>
      <c r="G4" s="4" t="s">
        <v>82</v>
      </c>
      <c r="H4" s="4" t="s">
        <v>83</v>
      </c>
      <c r="I4" s="4" t="s">
        <v>86</v>
      </c>
      <c r="J4" s="4" t="s">
        <v>92</v>
      </c>
      <c r="K4" s="4">
        <v>381.89100000000002</v>
      </c>
      <c r="L4" s="4">
        <v>40146.9</v>
      </c>
      <c r="M4" s="4">
        <v>8737</v>
      </c>
      <c r="N4" s="4">
        <v>1120.32</v>
      </c>
      <c r="O4" s="4">
        <f>_xlfn.XLOOKUP(A4,'[1]Cadastro de Procedimentos'!$M:$M,'[1]Cadastro de Procedimentos'!$V:$V)</f>
        <v>10</v>
      </c>
      <c r="P4" s="4" t="str">
        <f>_xlfn.XLOOKUP(A4,'[1]Cadastro de Procedimentos'!$M:$M,'[1]Cadastro de Procedimentos'!$X:$X)</f>
        <v xml:space="preserve">1 carreta </v>
      </c>
      <c r="Q4" s="4">
        <v>12</v>
      </c>
      <c r="R4" s="4" t="s">
        <v>94</v>
      </c>
      <c r="S4" s="4">
        <v>76.900000000000006</v>
      </c>
    </row>
    <row r="5" spans="1:19" hidden="1" x14ac:dyDescent="0.35">
      <c r="A5" s="4">
        <v>74</v>
      </c>
      <c r="B5" s="4" t="s">
        <v>20</v>
      </c>
      <c r="C5" s="4" t="s">
        <v>25</v>
      </c>
      <c r="D5" s="5">
        <v>800027163</v>
      </c>
      <c r="E5" s="4" t="s">
        <v>60</v>
      </c>
      <c r="F5" s="4" t="s">
        <v>81</v>
      </c>
      <c r="G5" s="4" t="s">
        <v>82</v>
      </c>
      <c r="H5" s="4" t="s">
        <v>83</v>
      </c>
      <c r="I5" s="4" t="s">
        <v>86</v>
      </c>
      <c r="J5" s="4" t="s">
        <v>92</v>
      </c>
      <c r="K5" s="4">
        <v>33.106000000000002</v>
      </c>
      <c r="L5" s="4">
        <v>7725</v>
      </c>
      <c r="M5" s="4">
        <v>589</v>
      </c>
      <c r="N5" s="4">
        <v>954.04</v>
      </c>
      <c r="O5" s="4">
        <f>_xlfn.XLOOKUP(A5,'[1]Cadastro de Procedimentos'!$M:$M,'[1]Cadastro de Procedimentos'!$V:$V)</f>
        <v>1</v>
      </c>
      <c r="P5" s="4" t="str">
        <f>_xlfn.XLOOKUP(A5,'[1]Cadastro de Procedimentos'!$M:$M,'[1]Cadastro de Procedimentos'!$X:$X)</f>
        <v xml:space="preserve">1 truck </v>
      </c>
      <c r="Q5" s="4">
        <v>10</v>
      </c>
      <c r="R5" s="4" t="s">
        <v>93</v>
      </c>
      <c r="S5" s="4">
        <v>100</v>
      </c>
    </row>
    <row r="6" spans="1:19" hidden="1" x14ac:dyDescent="0.35">
      <c r="A6">
        <v>41</v>
      </c>
      <c r="B6" t="s">
        <v>17</v>
      </c>
      <c r="C6" t="s">
        <v>22</v>
      </c>
      <c r="D6" s="3">
        <v>800005918</v>
      </c>
      <c r="E6" t="s">
        <v>38</v>
      </c>
      <c r="F6" t="s">
        <v>78</v>
      </c>
      <c r="G6" t="s">
        <v>82</v>
      </c>
      <c r="H6" t="s">
        <v>83</v>
      </c>
      <c r="I6" t="s">
        <v>85</v>
      </c>
      <c r="J6" t="s">
        <v>91</v>
      </c>
      <c r="K6">
        <v>56.189</v>
      </c>
      <c r="L6">
        <v>19357.400000000001</v>
      </c>
      <c r="M6">
        <v>54</v>
      </c>
      <c r="N6">
        <v>56.93</v>
      </c>
      <c r="O6">
        <f>_xlfn.XLOOKUP(A6,'[1]Cadastro de Procedimentos'!$M:$M,'[1]Cadastro de Procedimentos'!$V:$V)</f>
        <v>2</v>
      </c>
      <c r="P6" t="str">
        <f>_xlfn.XLOOKUP(A6,'[1]Cadastro de Procedimentos'!$M:$M,'[1]Cadastro de Procedimentos'!$X:$X)</f>
        <v xml:space="preserve">1 carreta </v>
      </c>
      <c r="Q6">
        <v>1</v>
      </c>
      <c r="R6" t="s">
        <v>93</v>
      </c>
      <c r="S6">
        <v>100</v>
      </c>
    </row>
    <row r="7" spans="1:19" hidden="1" x14ac:dyDescent="0.35">
      <c r="A7">
        <v>43</v>
      </c>
      <c r="B7" t="s">
        <v>17</v>
      </c>
      <c r="C7" t="s">
        <v>22</v>
      </c>
      <c r="D7" t="s">
        <v>27</v>
      </c>
      <c r="E7" t="s">
        <v>39</v>
      </c>
      <c r="F7" t="s">
        <v>79</v>
      </c>
      <c r="G7" t="s">
        <v>82</v>
      </c>
      <c r="H7" t="s">
        <v>83</v>
      </c>
      <c r="I7" t="s">
        <v>86</v>
      </c>
      <c r="J7" t="s">
        <v>91</v>
      </c>
      <c r="K7">
        <v>209.65700000000001</v>
      </c>
      <c r="L7">
        <v>38484.800000000003</v>
      </c>
      <c r="M7">
        <v>8158</v>
      </c>
      <c r="N7">
        <v>153.94999999999999</v>
      </c>
      <c r="O7">
        <f>_xlfn.XLOOKUP(A7,'[1]Cadastro de Procedimentos'!$M:$M,'[1]Cadastro de Procedimentos'!$V:$V)</f>
        <v>3</v>
      </c>
      <c r="P7" t="str">
        <f>_xlfn.XLOOKUP(A7,'[1]Cadastro de Procedimentos'!$M:$M,'[1]Cadastro de Procedimentos'!$X:$X)</f>
        <v>3 carretas 17h, 19h e 22h</v>
      </c>
      <c r="Q7">
        <v>2</v>
      </c>
      <c r="R7" t="s">
        <v>93</v>
      </c>
      <c r="S7">
        <v>85.7</v>
      </c>
    </row>
    <row r="8" spans="1:19" hidden="1" x14ac:dyDescent="0.35">
      <c r="A8">
        <v>94</v>
      </c>
      <c r="B8" t="s">
        <v>17</v>
      </c>
      <c r="C8" t="s">
        <v>22</v>
      </c>
      <c r="D8" t="s">
        <v>29</v>
      </c>
      <c r="E8" t="s">
        <v>41</v>
      </c>
      <c r="F8" t="s">
        <v>81</v>
      </c>
      <c r="G8" t="s">
        <v>82</v>
      </c>
      <c r="H8" t="s">
        <v>83</v>
      </c>
      <c r="I8" t="s">
        <v>87</v>
      </c>
      <c r="J8" t="s">
        <v>91</v>
      </c>
      <c r="K8">
        <v>10.489000000000001</v>
      </c>
      <c r="L8">
        <v>6623.5</v>
      </c>
      <c r="M8">
        <v>161894</v>
      </c>
      <c r="N8">
        <v>26.44</v>
      </c>
      <c r="O8">
        <f>_xlfn.XLOOKUP(A8,'[1]Cadastro de Procedimentos'!$M:$M,'[1]Cadastro de Procedimentos'!$V:$V)</f>
        <v>1</v>
      </c>
      <c r="P8" t="str">
        <f>_xlfn.XLOOKUP(A8,'[1]Cadastro de Procedimentos'!$M:$M,'[1]Cadastro de Procedimentos'!$X:$X)</f>
        <v xml:space="preserve">1 carreta </v>
      </c>
      <c r="Q8">
        <v>1</v>
      </c>
      <c r="R8" t="s">
        <v>94</v>
      </c>
      <c r="S8">
        <v>80.3</v>
      </c>
    </row>
    <row r="9" spans="1:19" hidden="1" x14ac:dyDescent="0.35">
      <c r="A9">
        <v>95</v>
      </c>
      <c r="B9" t="s">
        <v>17</v>
      </c>
      <c r="C9" t="s">
        <v>22</v>
      </c>
      <c r="D9" t="s">
        <v>30</v>
      </c>
      <c r="E9" t="s">
        <v>42</v>
      </c>
      <c r="F9" t="s">
        <v>80</v>
      </c>
      <c r="G9" t="s">
        <v>82</v>
      </c>
      <c r="H9" t="s">
        <v>83</v>
      </c>
      <c r="I9" t="s">
        <v>86</v>
      </c>
      <c r="J9" t="s">
        <v>92</v>
      </c>
      <c r="K9">
        <v>46.366</v>
      </c>
      <c r="L9">
        <v>7621.2</v>
      </c>
      <c r="M9">
        <v>88146</v>
      </c>
      <c r="N9">
        <v>183.41</v>
      </c>
      <c r="O9">
        <f>_xlfn.XLOOKUP(A9,'[1]Cadastro de Procedimentos'!$M:$M,'[1]Cadastro de Procedimentos'!$V:$V)</f>
        <v>2</v>
      </c>
      <c r="P9" t="str">
        <f>_xlfn.XLOOKUP(A9,'[1]Cadastro de Procedimentos'!$M:$M,'[1]Cadastro de Procedimentos'!$X:$X)</f>
        <v xml:space="preserve">1 carreta </v>
      </c>
      <c r="Q9">
        <v>2</v>
      </c>
      <c r="R9" t="s">
        <v>93</v>
      </c>
      <c r="S9">
        <v>80</v>
      </c>
    </row>
    <row r="10" spans="1:19" hidden="1" x14ac:dyDescent="0.35">
      <c r="A10">
        <v>96</v>
      </c>
      <c r="B10" t="s">
        <v>17</v>
      </c>
      <c r="C10" t="s">
        <v>22</v>
      </c>
      <c r="D10" t="s">
        <v>31</v>
      </c>
      <c r="E10" t="s">
        <v>43</v>
      </c>
      <c r="F10" t="s">
        <v>81</v>
      </c>
      <c r="G10" t="s">
        <v>82</v>
      </c>
      <c r="H10" t="s">
        <v>83</v>
      </c>
      <c r="I10" t="s">
        <v>87</v>
      </c>
      <c r="J10" t="s">
        <v>92</v>
      </c>
      <c r="K10">
        <v>53.987000000000002</v>
      </c>
      <c r="L10">
        <v>10579.2</v>
      </c>
      <c r="M10">
        <v>3059</v>
      </c>
      <c r="N10">
        <v>287.35000000000002</v>
      </c>
      <c r="O10">
        <f>_xlfn.XLOOKUP(A10,'[1]Cadastro de Procedimentos'!$M:$M,'[1]Cadastro de Procedimentos'!$V:$V)</f>
        <v>2</v>
      </c>
      <c r="P10" t="str">
        <f>_xlfn.XLOOKUP(A10,'[1]Cadastro de Procedimentos'!$M:$M,'[1]Cadastro de Procedimentos'!$X:$X)</f>
        <v xml:space="preserve">1 carreta </v>
      </c>
      <c r="Q10">
        <v>3</v>
      </c>
      <c r="R10" t="s">
        <v>93</v>
      </c>
      <c r="S10">
        <v>92.3</v>
      </c>
    </row>
    <row r="11" spans="1:19" hidden="1" x14ac:dyDescent="0.35">
      <c r="A11">
        <v>108</v>
      </c>
      <c r="B11" t="s">
        <v>17</v>
      </c>
      <c r="C11" t="s">
        <v>22</v>
      </c>
      <c r="D11" t="s">
        <v>32</v>
      </c>
      <c r="E11" t="s">
        <v>44</v>
      </c>
      <c r="F11" t="s">
        <v>81</v>
      </c>
      <c r="G11" t="s">
        <v>82</v>
      </c>
      <c r="H11" t="s">
        <v>83</v>
      </c>
      <c r="I11" t="s">
        <v>86</v>
      </c>
      <c r="J11" t="s">
        <v>91</v>
      </c>
      <c r="K11">
        <v>47.579000000000001</v>
      </c>
      <c r="L11">
        <v>17931.400000000001</v>
      </c>
      <c r="M11">
        <v>29264</v>
      </c>
      <c r="N11">
        <v>71.73</v>
      </c>
      <c r="O11">
        <f>_xlfn.XLOOKUP(A11,'[1]Cadastro de Procedimentos'!$M:$M,'[1]Cadastro de Procedimentos'!$V:$V)</f>
        <v>1</v>
      </c>
      <c r="P11" t="str">
        <f>_xlfn.XLOOKUP(A11,'[1]Cadastro de Procedimentos'!$M:$M,'[1]Cadastro de Procedimentos'!$X:$X)</f>
        <v xml:space="preserve">1 truck </v>
      </c>
      <c r="Q11">
        <v>1</v>
      </c>
      <c r="R11" t="s">
        <v>93</v>
      </c>
      <c r="S11">
        <v>85.7</v>
      </c>
    </row>
    <row r="12" spans="1:19" hidden="1" x14ac:dyDescent="0.35">
      <c r="A12">
        <v>142</v>
      </c>
      <c r="B12" t="s">
        <v>17</v>
      </c>
      <c r="C12" t="s">
        <v>22</v>
      </c>
      <c r="D12" s="3">
        <v>800006408</v>
      </c>
      <c r="E12" t="s">
        <v>45</v>
      </c>
      <c r="F12" t="s">
        <v>81</v>
      </c>
      <c r="G12" t="s">
        <v>82</v>
      </c>
      <c r="H12" t="s">
        <v>83</v>
      </c>
      <c r="I12" t="s">
        <v>88</v>
      </c>
      <c r="J12" t="s">
        <v>92</v>
      </c>
      <c r="K12">
        <v>28.827000000000002</v>
      </c>
      <c r="L12">
        <v>6157.4</v>
      </c>
      <c r="M12">
        <v>413</v>
      </c>
      <c r="N12">
        <v>76.03</v>
      </c>
      <c r="O12">
        <f>_xlfn.XLOOKUP(A12,'[1]Cadastro de Procedimentos'!$M:$M,'[1]Cadastro de Procedimentos'!$V:$V)</f>
        <v>1</v>
      </c>
      <c r="P12" t="str">
        <f>_xlfn.XLOOKUP(A12,'[1]Cadastro de Procedimentos'!$M:$M,'[1]Cadastro de Procedimentos'!$X:$X)</f>
        <v xml:space="preserve">1 carreta </v>
      </c>
      <c r="Q12">
        <v>1</v>
      </c>
      <c r="R12" t="s">
        <v>93</v>
      </c>
      <c r="S12">
        <v>90</v>
      </c>
    </row>
    <row r="13" spans="1:19" hidden="1" x14ac:dyDescent="0.35">
      <c r="A13">
        <v>160</v>
      </c>
      <c r="B13" t="s">
        <v>17</v>
      </c>
      <c r="C13" t="s">
        <v>23</v>
      </c>
      <c r="D13" s="3">
        <v>800033128</v>
      </c>
      <c r="E13" t="s">
        <v>46</v>
      </c>
      <c r="F13" t="s">
        <v>81</v>
      </c>
      <c r="G13" t="s">
        <v>82</v>
      </c>
      <c r="H13" t="s">
        <v>83</v>
      </c>
      <c r="I13" t="s">
        <v>89</v>
      </c>
      <c r="J13" t="s">
        <v>91</v>
      </c>
      <c r="K13">
        <v>30.553999999999998</v>
      </c>
      <c r="L13">
        <v>13196.1</v>
      </c>
      <c r="M13">
        <v>185</v>
      </c>
      <c r="N13">
        <v>52.78</v>
      </c>
      <c r="O13">
        <f>_xlfn.XLOOKUP(A13,'[1]Cadastro de Procedimentos'!$M:$M,'[1]Cadastro de Procedimentos'!$V:$V)</f>
        <v>1</v>
      </c>
      <c r="P13" t="str">
        <f>_xlfn.XLOOKUP(A13,'[1]Cadastro de Procedimentos'!$M:$M,'[1]Cadastro de Procedimentos'!$X:$X)</f>
        <v xml:space="preserve">1 carreta geo tenneco </v>
      </c>
      <c r="Q13">
        <v>1</v>
      </c>
      <c r="R13" t="s">
        <v>93</v>
      </c>
      <c r="S13">
        <v>75</v>
      </c>
    </row>
    <row r="14" spans="1:19" hidden="1" x14ac:dyDescent="0.35">
      <c r="A14">
        <v>143</v>
      </c>
      <c r="B14" t="s">
        <v>18</v>
      </c>
      <c r="C14" t="s">
        <v>24</v>
      </c>
      <c r="D14" s="3">
        <v>800006408</v>
      </c>
      <c r="E14" t="s">
        <v>45</v>
      </c>
      <c r="F14" t="s">
        <v>81</v>
      </c>
      <c r="G14" t="s">
        <v>82</v>
      </c>
      <c r="H14" t="s">
        <v>84</v>
      </c>
      <c r="I14" t="s">
        <v>90</v>
      </c>
      <c r="J14" t="s">
        <v>92</v>
      </c>
      <c r="K14">
        <v>25.167000000000002</v>
      </c>
      <c r="L14">
        <v>3236.1</v>
      </c>
      <c r="M14">
        <v>344</v>
      </c>
      <c r="N14">
        <v>71.23</v>
      </c>
      <c r="O14">
        <f>_xlfn.XLOOKUP(A14,'[1]Cadastro de Procedimentos'!$M:$M,'[1]Cadastro de Procedimentos'!$V:$V)</f>
        <v>1</v>
      </c>
      <c r="P14" t="str">
        <f>_xlfn.XLOOKUP(A14,'[1]Cadastro de Procedimentos'!$M:$M,'[1]Cadastro de Procedimentos'!$X:$X)</f>
        <v xml:space="preserve">1 truck </v>
      </c>
      <c r="Q14">
        <v>1</v>
      </c>
      <c r="R14" t="s">
        <v>93</v>
      </c>
      <c r="S14">
        <v>100</v>
      </c>
    </row>
    <row r="15" spans="1:19" hidden="1" x14ac:dyDescent="0.35">
      <c r="A15">
        <v>116</v>
      </c>
      <c r="B15" t="s">
        <v>19</v>
      </c>
      <c r="C15" t="s">
        <v>23</v>
      </c>
      <c r="D15" t="s">
        <v>34</v>
      </c>
      <c r="E15" t="s">
        <v>48</v>
      </c>
      <c r="F15" t="s">
        <v>78</v>
      </c>
      <c r="G15" t="s">
        <v>23</v>
      </c>
      <c r="H15" t="s">
        <v>83</v>
      </c>
      <c r="I15" t="s">
        <v>89</v>
      </c>
      <c r="J15" t="s">
        <v>91</v>
      </c>
      <c r="K15">
        <v>18.882000000000001</v>
      </c>
      <c r="L15">
        <v>18972.3</v>
      </c>
      <c r="M15">
        <v>15918</v>
      </c>
      <c r="N15">
        <v>55.81</v>
      </c>
      <c r="O15">
        <f>_xlfn.XLOOKUP(A15,'[1]Cadastro de Procedimentos'!$M:$M,'[1]Cadastro de Procedimentos'!$V:$V)</f>
        <v>3</v>
      </c>
      <c r="P15" t="str">
        <f>_xlfn.XLOOKUP(A15,'[1]Cadastro de Procedimentos'!$M:$M,'[1]Cadastro de Procedimentos'!$X:$X)</f>
        <v xml:space="preserve">padrão </v>
      </c>
      <c r="Q15">
        <v>1</v>
      </c>
      <c r="R15" t="s">
        <v>93</v>
      </c>
      <c r="S15">
        <v>40</v>
      </c>
    </row>
    <row r="16" spans="1:19" hidden="1" x14ac:dyDescent="0.35">
      <c r="A16">
        <v>182</v>
      </c>
      <c r="B16" t="s">
        <v>19</v>
      </c>
      <c r="C16" t="s">
        <v>23</v>
      </c>
      <c r="D16" t="s">
        <v>35</v>
      </c>
      <c r="E16" t="s">
        <v>49</v>
      </c>
      <c r="F16" t="s">
        <v>78</v>
      </c>
      <c r="G16" t="s">
        <v>23</v>
      </c>
      <c r="H16" t="s">
        <v>83</v>
      </c>
      <c r="I16" t="s">
        <v>89</v>
      </c>
      <c r="J16" t="s">
        <v>91</v>
      </c>
      <c r="K16">
        <v>7.08</v>
      </c>
      <c r="L16">
        <v>5655.4</v>
      </c>
      <c r="M16">
        <v>8598</v>
      </c>
      <c r="N16">
        <v>16.64</v>
      </c>
      <c r="O16">
        <f>_xlfn.XLOOKUP(A16,'[1]Cadastro de Procedimentos'!$M:$M,'[1]Cadastro de Procedimentos'!$V:$V)</f>
        <v>3</v>
      </c>
      <c r="P16" t="str">
        <f>_xlfn.XLOOKUP(A16,'[1]Cadastro de Procedimentos'!$M:$M,'[1]Cadastro de Procedimentos'!$X:$X)</f>
        <v>-</v>
      </c>
      <c r="Q16">
        <v>1</v>
      </c>
      <c r="R16" t="s">
        <v>95</v>
      </c>
      <c r="S16">
        <v>20</v>
      </c>
    </row>
    <row r="17" spans="1:19" hidden="1" x14ac:dyDescent="0.35">
      <c r="A17">
        <v>183</v>
      </c>
      <c r="B17" t="s">
        <v>19</v>
      </c>
      <c r="C17" t="s">
        <v>23</v>
      </c>
      <c r="D17" t="s">
        <v>36</v>
      </c>
      <c r="E17" t="s">
        <v>49</v>
      </c>
      <c r="F17" t="s">
        <v>78</v>
      </c>
      <c r="G17" t="s">
        <v>23</v>
      </c>
      <c r="H17" t="s">
        <v>83</v>
      </c>
      <c r="I17" t="s">
        <v>89</v>
      </c>
      <c r="J17" t="s">
        <v>91</v>
      </c>
      <c r="K17">
        <v>11.802</v>
      </c>
      <c r="L17">
        <v>13316.9</v>
      </c>
      <c r="M17">
        <v>7320</v>
      </c>
      <c r="N17">
        <v>39.17</v>
      </c>
      <c r="O17">
        <f>_xlfn.XLOOKUP(A17,'[1]Cadastro de Procedimentos'!$M:$M,'[1]Cadastro de Procedimentos'!$V:$V)</f>
        <v>1</v>
      </c>
      <c r="P17" t="str">
        <f>_xlfn.XLOOKUP(A17,'[1]Cadastro de Procedimentos'!$M:$M,'[1]Cadastro de Procedimentos'!$X:$X)</f>
        <v>-</v>
      </c>
      <c r="Q17">
        <v>1</v>
      </c>
      <c r="R17" t="s">
        <v>94</v>
      </c>
      <c r="S17">
        <v>60</v>
      </c>
    </row>
    <row r="18" spans="1:19" hidden="1" x14ac:dyDescent="0.35">
      <c r="A18">
        <v>40</v>
      </c>
      <c r="B18" t="s">
        <v>20</v>
      </c>
      <c r="C18" t="s">
        <v>25</v>
      </c>
      <c r="D18" s="3">
        <v>800023353</v>
      </c>
      <c r="E18" t="s">
        <v>50</v>
      </c>
      <c r="F18" t="s">
        <v>81</v>
      </c>
      <c r="G18" t="s">
        <v>82</v>
      </c>
      <c r="H18" t="s">
        <v>83</v>
      </c>
      <c r="I18" t="s">
        <v>86</v>
      </c>
      <c r="J18" t="s">
        <v>92</v>
      </c>
      <c r="K18">
        <v>204.44300000000001</v>
      </c>
      <c r="L18">
        <v>24382.2</v>
      </c>
      <c r="M18">
        <v>292</v>
      </c>
      <c r="N18">
        <v>261.67</v>
      </c>
      <c r="O18">
        <f>_xlfn.XLOOKUP(A18,'[1]Cadastro de Procedimentos'!$M:$M,'[1]Cadastro de Procedimentos'!$V:$V)</f>
        <v>3</v>
      </c>
      <c r="P18" t="str">
        <f>_xlfn.XLOOKUP(A18,'[1]Cadastro de Procedimentos'!$M:$M,'[1]Cadastro de Procedimentos'!$X:$X)</f>
        <v xml:space="preserve">2 carretas e 1 truck </v>
      </c>
      <c r="Q18">
        <v>3</v>
      </c>
      <c r="R18" t="s">
        <v>93</v>
      </c>
      <c r="S18">
        <v>100</v>
      </c>
    </row>
    <row r="19" spans="1:19" hidden="1" x14ac:dyDescent="0.35">
      <c r="A19">
        <v>42</v>
      </c>
      <c r="B19" t="s">
        <v>20</v>
      </c>
      <c r="C19" t="s">
        <v>25</v>
      </c>
      <c r="D19" s="3">
        <v>800003820</v>
      </c>
      <c r="E19" t="s">
        <v>51</v>
      </c>
      <c r="F19" t="s">
        <v>79</v>
      </c>
      <c r="G19" t="s">
        <v>82</v>
      </c>
      <c r="H19" t="s">
        <v>83</v>
      </c>
      <c r="I19" t="s">
        <v>86</v>
      </c>
      <c r="J19" t="s">
        <v>92</v>
      </c>
      <c r="K19">
        <v>1022.112</v>
      </c>
      <c r="L19">
        <v>87999.9</v>
      </c>
      <c r="M19">
        <v>883</v>
      </c>
      <c r="N19">
        <v>1555.62</v>
      </c>
      <c r="O19">
        <f>_xlfn.XLOOKUP(A19,'[1]Cadastro de Procedimentos'!$M:$M,'[1]Cadastro de Procedimentos'!$V:$V)</f>
        <v>16</v>
      </c>
      <c r="P19" t="str">
        <f>_xlfn.XLOOKUP(A19,'[1]Cadastro de Procedimentos'!$M:$M,'[1]Cadastro de Procedimentos'!$X:$X)</f>
        <v>11+intercom</v>
      </c>
      <c r="Q19">
        <v>16</v>
      </c>
      <c r="R19" t="s">
        <v>93</v>
      </c>
      <c r="S19">
        <v>100</v>
      </c>
    </row>
    <row r="20" spans="1:19" hidden="1" x14ac:dyDescent="0.35">
      <c r="A20">
        <v>62</v>
      </c>
      <c r="B20" t="s">
        <v>20</v>
      </c>
      <c r="C20" t="s">
        <v>25</v>
      </c>
      <c r="D20" s="3">
        <v>800000377</v>
      </c>
      <c r="E20" t="s">
        <v>53</v>
      </c>
      <c r="F20" t="s">
        <v>81</v>
      </c>
      <c r="G20" t="s">
        <v>82</v>
      </c>
      <c r="H20" t="s">
        <v>83</v>
      </c>
      <c r="I20" t="s">
        <v>86</v>
      </c>
      <c r="J20" t="s">
        <v>92</v>
      </c>
      <c r="K20">
        <v>157.71100000000001</v>
      </c>
      <c r="L20">
        <v>27991.8</v>
      </c>
      <c r="M20">
        <v>1557</v>
      </c>
      <c r="N20">
        <v>233.77</v>
      </c>
      <c r="O20">
        <f>_xlfn.XLOOKUP(A20,'[1]Cadastro de Procedimentos'!$M:$M,'[1]Cadastro de Procedimentos'!$V:$V)</f>
        <v>3</v>
      </c>
      <c r="P20" t="str">
        <f>_xlfn.XLOOKUP(A20,'[1]Cadastro de Procedimentos'!$M:$M,'[1]Cadastro de Procedimentos'!$X:$X)</f>
        <v>3 carretas - 14h, 19h e 23h</v>
      </c>
      <c r="Q20">
        <v>3</v>
      </c>
      <c r="R20" t="s">
        <v>94</v>
      </c>
      <c r="S20">
        <v>100</v>
      </c>
    </row>
    <row r="21" spans="1:19" hidden="1" x14ac:dyDescent="0.35">
      <c r="A21">
        <v>63</v>
      </c>
      <c r="B21" t="s">
        <v>20</v>
      </c>
      <c r="C21" t="s">
        <v>25</v>
      </c>
      <c r="D21" s="3">
        <v>800000507</v>
      </c>
      <c r="E21" t="s">
        <v>54</v>
      </c>
      <c r="F21" t="s">
        <v>81</v>
      </c>
      <c r="G21" t="s">
        <v>82</v>
      </c>
      <c r="H21" t="s">
        <v>83</v>
      </c>
      <c r="I21" t="s">
        <v>86</v>
      </c>
      <c r="J21" t="s">
        <v>92</v>
      </c>
      <c r="K21">
        <v>320.88200000000001</v>
      </c>
      <c r="L21">
        <v>43959.9</v>
      </c>
      <c r="M21">
        <v>338</v>
      </c>
      <c r="N21">
        <v>326.74</v>
      </c>
      <c r="O21">
        <f>_xlfn.XLOOKUP(A21,'[1]Cadastro de Procedimentos'!$M:$M,'[1]Cadastro de Procedimentos'!$V:$V)</f>
        <v>4</v>
      </c>
      <c r="P21" t="str">
        <f>_xlfn.XLOOKUP(A21,'[1]Cadastro de Procedimentos'!$M:$M,'[1]Cadastro de Procedimentos'!$X:$X)</f>
        <v xml:space="preserve">3 carretas 1 truck </v>
      </c>
      <c r="Q21">
        <v>4</v>
      </c>
      <c r="R21" t="s">
        <v>94</v>
      </c>
      <c r="S21">
        <v>100</v>
      </c>
    </row>
    <row r="22" spans="1:19" hidden="1" x14ac:dyDescent="0.35">
      <c r="A22">
        <v>64</v>
      </c>
      <c r="B22" t="s">
        <v>20</v>
      </c>
      <c r="C22" t="s">
        <v>25</v>
      </c>
      <c r="D22" s="3">
        <v>800047201</v>
      </c>
      <c r="E22" t="s">
        <v>55</v>
      </c>
      <c r="F22" t="s">
        <v>81</v>
      </c>
      <c r="G22" t="s">
        <v>82</v>
      </c>
      <c r="H22" t="s">
        <v>83</v>
      </c>
      <c r="I22" t="s">
        <v>86</v>
      </c>
      <c r="J22" t="s">
        <v>92</v>
      </c>
      <c r="K22">
        <v>21.785</v>
      </c>
      <c r="L22">
        <v>5446.2</v>
      </c>
      <c r="M22">
        <v>313</v>
      </c>
      <c r="N22">
        <v>30.1</v>
      </c>
      <c r="O22">
        <f>_xlfn.XLOOKUP(A22,'[1]Cadastro de Procedimentos'!$M:$M,'[1]Cadastro de Procedimentos'!$V:$V)</f>
        <v>1</v>
      </c>
      <c r="P22" t="str">
        <f>_xlfn.XLOOKUP(A22,'[1]Cadastro de Procedimentos'!$M:$M,'[1]Cadastro de Procedimentos'!$X:$X)</f>
        <v>1 truck</v>
      </c>
      <c r="Q22">
        <v>1</v>
      </c>
      <c r="R22" t="s">
        <v>94</v>
      </c>
      <c r="S22">
        <v>100</v>
      </c>
    </row>
    <row r="23" spans="1:19" hidden="1" x14ac:dyDescent="0.35">
      <c r="A23">
        <v>66</v>
      </c>
      <c r="B23" t="s">
        <v>20</v>
      </c>
      <c r="C23" t="s">
        <v>25</v>
      </c>
      <c r="D23" s="3">
        <v>800002863</v>
      </c>
      <c r="E23" t="s">
        <v>56</v>
      </c>
      <c r="F23" t="s">
        <v>81</v>
      </c>
      <c r="G23" t="s">
        <v>82</v>
      </c>
      <c r="H23" t="s">
        <v>83</v>
      </c>
      <c r="I23" t="s">
        <v>86</v>
      </c>
      <c r="J23" t="s">
        <v>92</v>
      </c>
      <c r="K23">
        <v>57.094999999999999</v>
      </c>
      <c r="L23">
        <v>4756.8</v>
      </c>
      <c r="M23">
        <v>73</v>
      </c>
      <c r="N23">
        <v>69.86</v>
      </c>
      <c r="O23">
        <f>_xlfn.XLOOKUP(A23,'[1]Cadastro de Procedimentos'!$M:$M,'[1]Cadastro de Procedimentos'!$V:$V)</f>
        <v>1</v>
      </c>
      <c r="P23" t="str">
        <f>_xlfn.XLOOKUP(A23,'[1]Cadastro de Procedimentos'!$M:$M,'[1]Cadastro de Procedimentos'!$X:$X)</f>
        <v>1 carreta 20h</v>
      </c>
      <c r="Q23">
        <v>1</v>
      </c>
      <c r="R23" t="s">
        <v>93</v>
      </c>
      <c r="S23">
        <v>100</v>
      </c>
    </row>
    <row r="24" spans="1:19" hidden="1" x14ac:dyDescent="0.35">
      <c r="A24">
        <v>67</v>
      </c>
      <c r="B24" t="s">
        <v>20</v>
      </c>
      <c r="C24" t="s">
        <v>25</v>
      </c>
      <c r="D24" s="3">
        <v>800003602</v>
      </c>
      <c r="E24" t="s">
        <v>57</v>
      </c>
      <c r="F24" t="s">
        <v>79</v>
      </c>
      <c r="G24" t="s">
        <v>82</v>
      </c>
      <c r="H24" t="s">
        <v>83</v>
      </c>
      <c r="I24" t="s">
        <v>87</v>
      </c>
      <c r="J24" t="s">
        <v>92</v>
      </c>
      <c r="K24">
        <v>169.59</v>
      </c>
      <c r="L24">
        <v>25146.9</v>
      </c>
      <c r="M24">
        <v>441</v>
      </c>
      <c r="N24">
        <v>216.88</v>
      </c>
      <c r="O24">
        <f>_xlfn.XLOOKUP(A24,'[1]Cadastro de Procedimentos'!$M:$M,'[1]Cadastro de Procedimentos'!$V:$V)</f>
        <v>3</v>
      </c>
      <c r="P24" t="str">
        <f>_xlfn.XLOOKUP(A24,'[1]Cadastro de Procedimentos'!$M:$M,'[1]Cadastro de Procedimentos'!$X:$X)</f>
        <v xml:space="preserve">3 carretas </v>
      </c>
      <c r="Q24">
        <v>3</v>
      </c>
      <c r="R24" t="s">
        <v>95</v>
      </c>
      <c r="S24">
        <v>100</v>
      </c>
    </row>
    <row r="25" spans="1:19" hidden="1" x14ac:dyDescent="0.35">
      <c r="A25">
        <v>68</v>
      </c>
      <c r="B25" t="s">
        <v>20</v>
      </c>
      <c r="C25" t="s">
        <v>25</v>
      </c>
      <c r="D25" s="3">
        <v>800032056</v>
      </c>
      <c r="E25" t="s">
        <v>58</v>
      </c>
      <c r="F25" t="s">
        <v>81</v>
      </c>
      <c r="G25" t="s">
        <v>82</v>
      </c>
      <c r="H25" t="s">
        <v>83</v>
      </c>
      <c r="I25" t="s">
        <v>86</v>
      </c>
      <c r="J25" t="s">
        <v>92</v>
      </c>
      <c r="K25">
        <v>112</v>
      </c>
      <c r="L25">
        <v>10867.7</v>
      </c>
      <c r="M25">
        <v>240</v>
      </c>
      <c r="N25">
        <v>164.66</v>
      </c>
      <c r="O25">
        <f>_xlfn.XLOOKUP(A25,'[1]Cadastro de Procedimentos'!$M:$M,'[1]Cadastro de Procedimentos'!$V:$V)</f>
        <v>2</v>
      </c>
      <c r="P25" t="str">
        <f>_xlfn.XLOOKUP(A25,'[1]Cadastro de Procedimentos'!$M:$M,'[1]Cadastro de Procedimentos'!$X:$X)</f>
        <v xml:space="preserve">1 carreta </v>
      </c>
      <c r="Q25">
        <v>2</v>
      </c>
      <c r="R25" t="s">
        <v>93</v>
      </c>
      <c r="S25">
        <v>100</v>
      </c>
    </row>
    <row r="26" spans="1:19" hidden="1" x14ac:dyDescent="0.35">
      <c r="A26">
        <v>70</v>
      </c>
      <c r="B26" t="s">
        <v>20</v>
      </c>
      <c r="C26" t="s">
        <v>25</v>
      </c>
      <c r="D26" s="3">
        <v>800005713</v>
      </c>
      <c r="E26" t="s">
        <v>59</v>
      </c>
      <c r="F26" t="s">
        <v>81</v>
      </c>
      <c r="G26" t="s">
        <v>82</v>
      </c>
      <c r="H26" t="s">
        <v>83</v>
      </c>
      <c r="I26" t="s">
        <v>87</v>
      </c>
      <c r="J26" t="s">
        <v>92</v>
      </c>
      <c r="K26">
        <v>155.256</v>
      </c>
      <c r="L26">
        <v>17116.099999999999</v>
      </c>
      <c r="M26">
        <v>172</v>
      </c>
      <c r="N26">
        <v>189.69</v>
      </c>
      <c r="O26">
        <f>_xlfn.XLOOKUP(A26,'[1]Cadastro de Procedimentos'!$M:$M,'[1]Cadastro de Procedimentos'!$V:$V)</f>
        <v>2</v>
      </c>
      <c r="P26" t="str">
        <f>_xlfn.XLOOKUP(A26,'[1]Cadastro de Procedimentos'!$M:$M,'[1]Cadastro de Procedimentos'!$X:$X)</f>
        <v xml:space="preserve">1 carreta </v>
      </c>
      <c r="Q26">
        <v>2</v>
      </c>
      <c r="R26" t="s">
        <v>93</v>
      </c>
      <c r="S26">
        <v>100</v>
      </c>
    </row>
    <row r="27" spans="1:19" hidden="1" x14ac:dyDescent="0.35">
      <c r="A27">
        <v>76</v>
      </c>
      <c r="B27" t="s">
        <v>20</v>
      </c>
      <c r="C27" t="s">
        <v>25</v>
      </c>
      <c r="D27" s="3">
        <v>800043235</v>
      </c>
      <c r="E27" t="s">
        <v>61</v>
      </c>
      <c r="F27" t="s">
        <v>81</v>
      </c>
      <c r="G27" t="s">
        <v>82</v>
      </c>
      <c r="H27" t="s">
        <v>83</v>
      </c>
      <c r="I27" t="s">
        <v>86</v>
      </c>
      <c r="J27" t="s">
        <v>92</v>
      </c>
      <c r="K27">
        <v>82.009</v>
      </c>
      <c r="L27">
        <v>7980.1</v>
      </c>
      <c r="M27">
        <v>1278</v>
      </c>
      <c r="N27">
        <v>194.46</v>
      </c>
      <c r="O27">
        <f>_xlfn.XLOOKUP(A27,'[1]Cadastro de Procedimentos'!$M:$M,'[1]Cadastro de Procedimentos'!$V:$V)</f>
        <v>3</v>
      </c>
      <c r="P27" t="str">
        <f>_xlfn.XLOOKUP(A27,'[1]Cadastro de Procedimentos'!$M:$M,'[1]Cadastro de Procedimentos'!$X:$X)</f>
        <v xml:space="preserve">1 truck </v>
      </c>
      <c r="Q27">
        <v>2</v>
      </c>
      <c r="R27" t="s">
        <v>93</v>
      </c>
      <c r="S27">
        <v>100</v>
      </c>
    </row>
    <row r="28" spans="1:19" hidden="1" x14ac:dyDescent="0.35">
      <c r="A28">
        <v>77</v>
      </c>
      <c r="B28" t="s">
        <v>20</v>
      </c>
      <c r="C28" t="s">
        <v>25</v>
      </c>
      <c r="D28" s="3">
        <v>800006042</v>
      </c>
      <c r="E28" t="s">
        <v>62</v>
      </c>
      <c r="F28" t="s">
        <v>80</v>
      </c>
      <c r="G28" t="s">
        <v>82</v>
      </c>
      <c r="H28" t="s">
        <v>83</v>
      </c>
      <c r="I28" t="s">
        <v>86</v>
      </c>
      <c r="J28" t="s">
        <v>92</v>
      </c>
      <c r="K28">
        <v>65.790000000000006</v>
      </c>
      <c r="L28">
        <v>9692.7000000000007</v>
      </c>
      <c r="M28">
        <v>931</v>
      </c>
      <c r="N28">
        <v>376.9</v>
      </c>
      <c r="O28">
        <f>_xlfn.XLOOKUP(A28,'[1]Cadastro de Procedimentos'!$M:$M,'[1]Cadastro de Procedimentos'!$V:$V)</f>
        <v>2</v>
      </c>
      <c r="P28" t="str">
        <f>_xlfn.XLOOKUP(A28,'[1]Cadastro de Procedimentos'!$M:$M,'[1]Cadastro de Procedimentos'!$X:$X)</f>
        <v xml:space="preserve">1 truck </v>
      </c>
      <c r="Q28">
        <v>4</v>
      </c>
      <c r="R28" t="s">
        <v>93</v>
      </c>
      <c r="S28">
        <v>100</v>
      </c>
    </row>
    <row r="29" spans="1:19" hidden="1" x14ac:dyDescent="0.35">
      <c r="A29">
        <v>79</v>
      </c>
      <c r="B29" t="s">
        <v>20</v>
      </c>
      <c r="C29" t="s">
        <v>25</v>
      </c>
      <c r="D29" s="3">
        <v>800035074</v>
      </c>
      <c r="E29" t="s">
        <v>63</v>
      </c>
      <c r="F29" t="s">
        <v>81</v>
      </c>
      <c r="G29" t="s">
        <v>82</v>
      </c>
      <c r="H29" t="s">
        <v>83</v>
      </c>
      <c r="I29" t="s">
        <v>86</v>
      </c>
      <c r="J29" t="s">
        <v>92</v>
      </c>
      <c r="K29">
        <v>75.634</v>
      </c>
      <c r="L29">
        <v>5500.4</v>
      </c>
      <c r="M29">
        <v>72</v>
      </c>
      <c r="N29">
        <v>92.3</v>
      </c>
      <c r="O29">
        <f>_xlfn.XLOOKUP(A29,'[1]Cadastro de Procedimentos'!$M:$M,'[1]Cadastro de Procedimentos'!$V:$V)</f>
        <v>1</v>
      </c>
      <c r="P29" t="str">
        <f>_xlfn.XLOOKUP(A29,'[1]Cadastro de Procedimentos'!$M:$M,'[1]Cadastro de Procedimentos'!$X:$X)</f>
        <v xml:space="preserve">1 carreta </v>
      </c>
      <c r="Q29">
        <v>1</v>
      </c>
      <c r="R29" t="s">
        <v>93</v>
      </c>
      <c r="S29">
        <v>100</v>
      </c>
    </row>
    <row r="30" spans="1:19" hidden="1" x14ac:dyDescent="0.35">
      <c r="A30">
        <v>83</v>
      </c>
      <c r="B30" t="s">
        <v>20</v>
      </c>
      <c r="C30" t="s">
        <v>25</v>
      </c>
      <c r="D30" s="3">
        <v>800006523</v>
      </c>
      <c r="E30" t="s">
        <v>64</v>
      </c>
      <c r="F30" t="s">
        <v>81</v>
      </c>
      <c r="G30" t="s">
        <v>82</v>
      </c>
      <c r="H30" t="s">
        <v>83</v>
      </c>
      <c r="I30" t="s">
        <v>86</v>
      </c>
      <c r="J30" t="s">
        <v>92</v>
      </c>
      <c r="K30">
        <v>159.142</v>
      </c>
      <c r="L30">
        <v>27105</v>
      </c>
      <c r="M30">
        <v>1005</v>
      </c>
      <c r="N30">
        <v>274.52</v>
      </c>
      <c r="O30">
        <f>_xlfn.XLOOKUP(A30,'[1]Cadastro de Procedimentos'!$M:$M,'[1]Cadastro de Procedimentos'!$V:$V)</f>
        <v>3</v>
      </c>
      <c r="P30" t="str">
        <f>_xlfn.XLOOKUP(A30,'[1]Cadastro de Procedimentos'!$M:$M,'[1]Cadastro de Procedimentos'!$X:$X)</f>
        <v xml:space="preserve">1 carreta e 1 truck </v>
      </c>
      <c r="Q30">
        <v>3</v>
      </c>
      <c r="R30" t="s">
        <v>93</v>
      </c>
      <c r="S30">
        <v>100</v>
      </c>
    </row>
    <row r="31" spans="1:19" hidden="1" x14ac:dyDescent="0.35">
      <c r="A31">
        <v>134</v>
      </c>
      <c r="B31" t="s">
        <v>20</v>
      </c>
      <c r="C31" t="s">
        <v>25</v>
      </c>
      <c r="D31" s="3">
        <v>800006248</v>
      </c>
      <c r="E31" t="s">
        <v>65</v>
      </c>
      <c r="F31" t="s">
        <v>81</v>
      </c>
      <c r="G31" t="s">
        <v>82</v>
      </c>
      <c r="H31" t="s">
        <v>83</v>
      </c>
      <c r="I31" t="s">
        <v>89</v>
      </c>
      <c r="J31" t="s">
        <v>92</v>
      </c>
      <c r="K31">
        <v>91.096000000000004</v>
      </c>
      <c r="L31">
        <v>12587.1</v>
      </c>
      <c r="M31">
        <v>1132</v>
      </c>
      <c r="N31">
        <v>220.88</v>
      </c>
      <c r="O31">
        <f>_xlfn.XLOOKUP(A31,'[1]Cadastro de Procedimentos'!$M:$M,'[1]Cadastro de Procedimentos'!$V:$V)</f>
        <v>2</v>
      </c>
      <c r="P31" t="str">
        <f>_xlfn.XLOOKUP(A31,'[1]Cadastro de Procedimentos'!$M:$M,'[1]Cadastro de Procedimentos'!$X:$X)</f>
        <v xml:space="preserve">1 carreta e 1 truck </v>
      </c>
      <c r="Q31">
        <v>3</v>
      </c>
      <c r="R31" t="s">
        <v>94</v>
      </c>
      <c r="S31">
        <v>100</v>
      </c>
    </row>
    <row r="32" spans="1:19" hidden="1" x14ac:dyDescent="0.35">
      <c r="A32">
        <v>140</v>
      </c>
      <c r="B32" t="s">
        <v>20</v>
      </c>
      <c r="C32" t="s">
        <v>25</v>
      </c>
      <c r="D32" s="3">
        <v>800003063</v>
      </c>
      <c r="E32" t="s">
        <v>66</v>
      </c>
      <c r="F32" t="s">
        <v>81</v>
      </c>
      <c r="G32" t="s">
        <v>82</v>
      </c>
      <c r="H32" t="s">
        <v>83</v>
      </c>
      <c r="I32" t="s">
        <v>87</v>
      </c>
      <c r="J32" t="s">
        <v>92</v>
      </c>
      <c r="K32">
        <v>11.135999999999999</v>
      </c>
      <c r="L32">
        <v>1520.1</v>
      </c>
      <c r="M32">
        <v>160</v>
      </c>
      <c r="N32">
        <v>15.39</v>
      </c>
      <c r="O32">
        <f>_xlfn.XLOOKUP(A32,'[1]Cadastro de Procedimentos'!$M:$M,'[1]Cadastro de Procedimentos'!$V:$V)</f>
        <v>1</v>
      </c>
      <c r="P32" t="str">
        <f>_xlfn.XLOOKUP(A32,'[1]Cadastro de Procedimentos'!$M:$M,'[1]Cadastro de Procedimentos'!$X:$X)</f>
        <v>carreta geo coplac</v>
      </c>
      <c r="Q32">
        <v>1</v>
      </c>
      <c r="R32" t="s">
        <v>95</v>
      </c>
      <c r="S32">
        <v>100</v>
      </c>
    </row>
    <row r="33" spans="1:19" hidden="1" x14ac:dyDescent="0.35">
      <c r="A33">
        <v>141</v>
      </c>
      <c r="B33" t="s">
        <v>20</v>
      </c>
      <c r="C33" t="s">
        <v>25</v>
      </c>
      <c r="D33" s="3">
        <v>800037100</v>
      </c>
      <c r="E33" t="s">
        <v>67</v>
      </c>
      <c r="F33" t="s">
        <v>81</v>
      </c>
      <c r="G33" t="s">
        <v>82</v>
      </c>
      <c r="H33" t="s">
        <v>83</v>
      </c>
      <c r="I33" t="s">
        <v>87</v>
      </c>
      <c r="J33" t="s">
        <v>92</v>
      </c>
      <c r="K33">
        <v>33.963000000000001</v>
      </c>
      <c r="L33">
        <v>22191.3</v>
      </c>
      <c r="M33">
        <v>35</v>
      </c>
      <c r="N33">
        <v>41.62</v>
      </c>
      <c r="O33">
        <f>_xlfn.XLOOKUP(A33,'[1]Cadastro de Procedimentos'!$M:$M,'[1]Cadastro de Procedimentos'!$V:$V)</f>
        <v>1</v>
      </c>
      <c r="P33" t="str">
        <f>_xlfn.XLOOKUP(A33,'[1]Cadastro de Procedimentos'!$M:$M,'[1]Cadastro de Procedimentos'!$X:$X)</f>
        <v>carreta geo trimtec</v>
      </c>
      <c r="Q33">
        <v>1</v>
      </c>
      <c r="R33" t="s">
        <v>94</v>
      </c>
      <c r="S33">
        <v>100</v>
      </c>
    </row>
    <row r="34" spans="1:19" hidden="1" x14ac:dyDescent="0.35">
      <c r="A34">
        <v>148</v>
      </c>
      <c r="B34" t="s">
        <v>20</v>
      </c>
      <c r="C34" t="s">
        <v>25</v>
      </c>
      <c r="D34" s="3">
        <v>800023315</v>
      </c>
      <c r="E34" t="s">
        <v>68</v>
      </c>
      <c r="F34" t="s">
        <v>81</v>
      </c>
      <c r="G34" t="s">
        <v>82</v>
      </c>
      <c r="H34" t="s">
        <v>83</v>
      </c>
      <c r="I34" t="s">
        <v>90</v>
      </c>
      <c r="J34" t="s">
        <v>92</v>
      </c>
      <c r="K34">
        <v>135.78899999999999</v>
      </c>
      <c r="L34">
        <v>18304.5</v>
      </c>
      <c r="M34">
        <v>66</v>
      </c>
      <c r="N34">
        <v>194.11</v>
      </c>
      <c r="O34">
        <f>_xlfn.XLOOKUP(A34,'[1]Cadastro de Procedimentos'!$M:$M,'[1]Cadastro de Procedimentos'!$V:$V)</f>
        <v>2</v>
      </c>
      <c r="P34" t="str">
        <f>_xlfn.XLOOKUP(A34,'[1]Cadastro de Procedimentos'!$M:$M,'[1]Cadastro de Procedimentos'!$X:$X)</f>
        <v>2 carretas</v>
      </c>
      <c r="Q34">
        <v>2</v>
      </c>
      <c r="R34" t="s">
        <v>93</v>
      </c>
      <c r="S34">
        <v>100</v>
      </c>
    </row>
    <row r="35" spans="1:19" hidden="1" x14ac:dyDescent="0.35">
      <c r="A35">
        <v>158</v>
      </c>
      <c r="B35" t="s">
        <v>20</v>
      </c>
      <c r="C35" t="s">
        <v>25</v>
      </c>
      <c r="D35" s="3">
        <v>800028826</v>
      </c>
      <c r="E35" t="s">
        <v>69</v>
      </c>
      <c r="F35" t="s">
        <v>81</v>
      </c>
      <c r="G35" t="s">
        <v>82</v>
      </c>
      <c r="H35" t="s">
        <v>83</v>
      </c>
      <c r="I35" t="s">
        <v>86</v>
      </c>
      <c r="J35" t="s">
        <v>92</v>
      </c>
      <c r="K35">
        <v>158.68799999999999</v>
      </c>
      <c r="L35">
        <v>36801</v>
      </c>
      <c r="M35">
        <v>79</v>
      </c>
      <c r="N35">
        <v>230.39</v>
      </c>
      <c r="O35">
        <f>_xlfn.XLOOKUP(A35,'[1]Cadastro de Procedimentos'!$M:$M,'[1]Cadastro de Procedimentos'!$V:$V)</f>
        <v>3</v>
      </c>
      <c r="P35" t="str">
        <f>_xlfn.XLOOKUP(A35,'[1]Cadastro de Procedimentos'!$M:$M,'[1]Cadastro de Procedimentos'!$X:$X)</f>
        <v>2 carretas</v>
      </c>
      <c r="Q35">
        <v>3</v>
      </c>
      <c r="R35" t="s">
        <v>94</v>
      </c>
      <c r="S35">
        <v>100</v>
      </c>
    </row>
    <row r="36" spans="1:19" hidden="1" x14ac:dyDescent="0.35">
      <c r="A36">
        <v>161</v>
      </c>
      <c r="B36" t="s">
        <v>20</v>
      </c>
      <c r="C36" t="s">
        <v>25</v>
      </c>
      <c r="D36" s="3">
        <v>800003241</v>
      </c>
      <c r="E36" t="s">
        <v>70</v>
      </c>
      <c r="F36" t="s">
        <v>81</v>
      </c>
      <c r="G36" t="s">
        <v>82</v>
      </c>
      <c r="H36" t="s">
        <v>83</v>
      </c>
      <c r="I36" t="s">
        <v>90</v>
      </c>
      <c r="J36" t="s">
        <v>92</v>
      </c>
      <c r="K36">
        <v>149.22</v>
      </c>
      <c r="L36">
        <v>22876.5</v>
      </c>
      <c r="M36">
        <v>97</v>
      </c>
      <c r="N36">
        <v>186.56</v>
      </c>
      <c r="O36">
        <f>_xlfn.XLOOKUP(A36,'[1]Cadastro de Procedimentos'!$M:$M,'[1]Cadastro de Procedimentos'!$V:$V)</f>
        <v>2</v>
      </c>
      <c r="P36" t="str">
        <f>_xlfn.XLOOKUP(A36,'[1]Cadastro de Procedimentos'!$M:$M,'[1]Cadastro de Procedimentos'!$X:$X)</f>
        <v xml:space="preserve">truck </v>
      </c>
      <c r="Q36">
        <v>2</v>
      </c>
      <c r="R36" t="s">
        <v>93</v>
      </c>
      <c r="S36">
        <v>100</v>
      </c>
    </row>
    <row r="37" spans="1:19" hidden="1" x14ac:dyDescent="0.35">
      <c r="A37">
        <v>162</v>
      </c>
      <c r="B37" t="s">
        <v>20</v>
      </c>
      <c r="C37" t="s">
        <v>25</v>
      </c>
      <c r="D37" s="3">
        <v>800044373</v>
      </c>
      <c r="E37" t="s">
        <v>71</v>
      </c>
      <c r="F37" t="s">
        <v>81</v>
      </c>
      <c r="G37" t="s">
        <v>82</v>
      </c>
      <c r="H37" t="s">
        <v>83</v>
      </c>
      <c r="I37" t="s">
        <v>89</v>
      </c>
      <c r="J37" t="s">
        <v>92</v>
      </c>
      <c r="K37">
        <v>104.4</v>
      </c>
      <c r="L37">
        <v>9575.6</v>
      </c>
      <c r="M37">
        <v>45</v>
      </c>
      <c r="N37">
        <v>264.72000000000003</v>
      </c>
      <c r="O37">
        <f>_xlfn.XLOOKUP(A37,'[1]Cadastro de Procedimentos'!$M:$M,'[1]Cadastro de Procedimentos'!$V:$V)</f>
        <v>3</v>
      </c>
      <c r="P37" t="str">
        <f>_xlfn.XLOOKUP(A37,'[1]Cadastro de Procedimentos'!$M:$M,'[1]Cadastro de Procedimentos'!$X:$X)</f>
        <v xml:space="preserve">2 carretas </v>
      </c>
      <c r="Q37">
        <v>3</v>
      </c>
      <c r="R37" t="s">
        <v>93</v>
      </c>
      <c r="S37">
        <v>100</v>
      </c>
    </row>
    <row r="38" spans="1:19" hidden="1" x14ac:dyDescent="0.35">
      <c r="A38">
        <v>174</v>
      </c>
      <c r="B38" t="s">
        <v>20</v>
      </c>
      <c r="C38" t="s">
        <v>25</v>
      </c>
      <c r="D38" s="3">
        <v>800046299</v>
      </c>
      <c r="E38" t="s">
        <v>65</v>
      </c>
      <c r="F38" t="s">
        <v>81</v>
      </c>
      <c r="G38" t="s">
        <v>82</v>
      </c>
      <c r="H38" t="s">
        <v>83</v>
      </c>
      <c r="I38" t="s">
        <v>86</v>
      </c>
      <c r="J38" t="s">
        <v>92</v>
      </c>
      <c r="K38">
        <v>163.53299999999999</v>
      </c>
      <c r="L38">
        <v>10468.5</v>
      </c>
      <c r="M38">
        <v>1905</v>
      </c>
      <c r="N38">
        <v>220.57</v>
      </c>
      <c r="O38">
        <f>_xlfn.XLOOKUP(A38,'[1]Cadastro de Procedimentos'!$M:$M,'[1]Cadastro de Procedimentos'!$V:$V)</f>
        <v>2</v>
      </c>
      <c r="P38" t="str">
        <f>_xlfn.XLOOKUP(A38,'[1]Cadastro de Procedimentos'!$M:$M,'[1]Cadastro de Procedimentos'!$X:$X)</f>
        <v xml:space="preserve">2 trucks  </v>
      </c>
      <c r="Q38">
        <v>3</v>
      </c>
      <c r="R38" t="s">
        <v>94</v>
      </c>
      <c r="S38">
        <v>94.4</v>
      </c>
    </row>
    <row r="39" spans="1:19" hidden="1" x14ac:dyDescent="0.35">
      <c r="A39">
        <v>177</v>
      </c>
      <c r="B39" t="s">
        <v>20</v>
      </c>
      <c r="C39" t="s">
        <v>25</v>
      </c>
      <c r="D39" s="3">
        <v>800042520</v>
      </c>
      <c r="E39" t="s">
        <v>72</v>
      </c>
      <c r="F39" t="s">
        <v>81</v>
      </c>
      <c r="G39" t="s">
        <v>82</v>
      </c>
      <c r="H39" t="s">
        <v>83</v>
      </c>
      <c r="I39" t="s">
        <v>89</v>
      </c>
      <c r="J39" t="s">
        <v>92</v>
      </c>
      <c r="K39">
        <v>83.028999999999996</v>
      </c>
      <c r="L39">
        <v>5778.7</v>
      </c>
      <c r="M39">
        <v>79</v>
      </c>
      <c r="N39">
        <v>101.27</v>
      </c>
      <c r="O39">
        <f>_xlfn.XLOOKUP(A39,'[1]Cadastro de Procedimentos'!$M:$M,'[1]Cadastro de Procedimentos'!$V:$V)</f>
        <v>2</v>
      </c>
      <c r="P39" t="str">
        <f>_xlfn.XLOOKUP(A39,'[1]Cadastro de Procedimentos'!$M:$M,'[1]Cadastro de Procedimentos'!$X:$X)</f>
        <v xml:space="preserve">1 carreta </v>
      </c>
      <c r="Q39">
        <v>2</v>
      </c>
      <c r="R39" t="s">
        <v>95</v>
      </c>
      <c r="S39">
        <v>100</v>
      </c>
    </row>
    <row r="40" spans="1:19" hidden="1" x14ac:dyDescent="0.35">
      <c r="A40">
        <v>185</v>
      </c>
      <c r="B40" t="s">
        <v>20</v>
      </c>
      <c r="C40" t="s">
        <v>25</v>
      </c>
      <c r="D40" s="3">
        <v>800012939</v>
      </c>
      <c r="E40" t="s">
        <v>73</v>
      </c>
      <c r="F40" t="s">
        <v>80</v>
      </c>
      <c r="G40" t="s">
        <v>82</v>
      </c>
      <c r="H40" t="s">
        <v>83</v>
      </c>
      <c r="I40" t="s">
        <v>85</v>
      </c>
      <c r="J40" t="s">
        <v>92</v>
      </c>
      <c r="K40">
        <v>39.938000000000002</v>
      </c>
      <c r="L40">
        <v>9022.7000000000007</v>
      </c>
      <c r="M40">
        <v>38</v>
      </c>
      <c r="N40">
        <v>90.48</v>
      </c>
      <c r="O40">
        <f>_xlfn.XLOOKUP(A40,'[1]Cadastro de Procedimentos'!$M:$M,'[1]Cadastro de Procedimentos'!$V:$V)</f>
        <v>1</v>
      </c>
      <c r="P40" t="str">
        <f>_xlfn.XLOOKUP(A40,'[1]Cadastro de Procedimentos'!$M:$M,'[1]Cadastro de Procedimentos'!$X:$X)</f>
        <v xml:space="preserve">1 carreta </v>
      </c>
      <c r="Q40">
        <v>1</v>
      </c>
      <c r="R40" t="s">
        <v>93</v>
      </c>
      <c r="S40">
        <v>100</v>
      </c>
    </row>
    <row r="41" spans="1:19" hidden="1" x14ac:dyDescent="0.35">
      <c r="A41">
        <v>186</v>
      </c>
      <c r="B41" t="s">
        <v>20</v>
      </c>
      <c r="C41" t="s">
        <v>25</v>
      </c>
      <c r="D41" s="3">
        <v>800025402</v>
      </c>
      <c r="E41" t="s">
        <v>74</v>
      </c>
      <c r="F41" t="s">
        <v>80</v>
      </c>
      <c r="G41" t="s">
        <v>82</v>
      </c>
      <c r="H41" t="s">
        <v>83</v>
      </c>
      <c r="I41" t="s">
        <v>89</v>
      </c>
      <c r="J41" t="s">
        <v>91</v>
      </c>
      <c r="K41">
        <v>18.998000000000001</v>
      </c>
      <c r="L41">
        <v>9642.7000000000007</v>
      </c>
      <c r="M41">
        <v>13</v>
      </c>
      <c r="N41">
        <v>80.349999999999994</v>
      </c>
      <c r="O41">
        <f>_xlfn.XLOOKUP(A41,'[1]Cadastro de Procedimentos'!$M:$M,'[1]Cadastro de Procedimentos'!$V:$V)</f>
        <v>1</v>
      </c>
      <c r="P41" t="str">
        <f>_xlfn.XLOOKUP(A41,'[1]Cadastro de Procedimentos'!$M:$M,'[1]Cadastro de Procedimentos'!$X:$X)</f>
        <v xml:space="preserve">1 truck geo faurecia </v>
      </c>
      <c r="Q41">
        <v>1</v>
      </c>
      <c r="R41" t="s">
        <v>93</v>
      </c>
      <c r="S41">
        <v>100</v>
      </c>
    </row>
    <row r="42" spans="1:19" hidden="1" x14ac:dyDescent="0.35">
      <c r="A42">
        <v>187</v>
      </c>
      <c r="B42" t="s">
        <v>20</v>
      </c>
      <c r="C42" t="s">
        <v>25</v>
      </c>
      <c r="D42" s="3">
        <v>800039607</v>
      </c>
      <c r="E42" t="s">
        <v>75</v>
      </c>
      <c r="F42" t="s">
        <v>80</v>
      </c>
      <c r="G42" t="s">
        <v>82</v>
      </c>
      <c r="H42" t="s">
        <v>83</v>
      </c>
      <c r="I42" t="s">
        <v>89</v>
      </c>
      <c r="J42" t="s">
        <v>91</v>
      </c>
      <c r="K42">
        <v>3.153</v>
      </c>
      <c r="L42">
        <v>990.6</v>
      </c>
      <c r="M42">
        <v>3</v>
      </c>
      <c r="N42">
        <v>8.25</v>
      </c>
      <c r="O42">
        <f>_xlfn.XLOOKUP(A42,'[1]Cadastro de Procedimentos'!$M:$M,'[1]Cadastro de Procedimentos'!$V:$V)</f>
        <v>1</v>
      </c>
      <c r="P42" t="str">
        <f>_xlfn.XLOOKUP(A42,'[1]Cadastro de Procedimentos'!$M:$M,'[1]Cadastro de Procedimentos'!$X:$X)</f>
        <v xml:space="preserve">1 truck geo mando </v>
      </c>
      <c r="Q42">
        <v>1</v>
      </c>
      <c r="R42" t="s">
        <v>95</v>
      </c>
      <c r="S42">
        <v>100</v>
      </c>
    </row>
    <row r="43" spans="1:19" hidden="1" x14ac:dyDescent="0.35">
      <c r="A43">
        <v>188</v>
      </c>
      <c r="B43" t="s">
        <v>20</v>
      </c>
      <c r="C43" t="s">
        <v>25</v>
      </c>
      <c r="D43" s="3">
        <v>800048565</v>
      </c>
      <c r="E43" t="s">
        <v>76</v>
      </c>
      <c r="F43" t="s">
        <v>80</v>
      </c>
      <c r="G43" t="s">
        <v>82</v>
      </c>
      <c r="H43" t="s">
        <v>83</v>
      </c>
      <c r="I43" t="s">
        <v>90</v>
      </c>
      <c r="J43" t="s">
        <v>91</v>
      </c>
      <c r="K43">
        <v>21.24</v>
      </c>
      <c r="L43">
        <v>22302.3</v>
      </c>
      <c r="M43">
        <v>16</v>
      </c>
      <c r="N43">
        <v>185.86</v>
      </c>
      <c r="O43">
        <f>_xlfn.XLOOKUP(A43,'[1]Cadastro de Procedimentos'!$M:$M,'[1]Cadastro de Procedimentos'!$V:$V)</f>
        <v>2</v>
      </c>
      <c r="P43" t="str">
        <f>_xlfn.XLOOKUP(A43,'[1]Cadastro de Procedimentos'!$M:$M,'[1]Cadastro de Procedimentos'!$X:$X)</f>
        <v xml:space="preserve">2 trucks </v>
      </c>
      <c r="Q43">
        <v>2</v>
      </c>
      <c r="R43" t="s">
        <v>93</v>
      </c>
      <c r="S43">
        <v>100</v>
      </c>
    </row>
    <row r="44" spans="1:19" hidden="1" x14ac:dyDescent="0.35">
      <c r="A44">
        <v>136</v>
      </c>
      <c r="B44" t="s">
        <v>21</v>
      </c>
      <c r="C44" t="s">
        <v>26</v>
      </c>
      <c r="D44" s="3">
        <v>800000823</v>
      </c>
      <c r="E44" t="s">
        <v>77</v>
      </c>
      <c r="F44" t="s">
        <v>80</v>
      </c>
      <c r="G44" t="s">
        <v>82</v>
      </c>
      <c r="H44" t="s">
        <v>84</v>
      </c>
      <c r="I44" t="s">
        <v>90</v>
      </c>
      <c r="J44" t="s">
        <v>92</v>
      </c>
      <c r="K44">
        <v>57.887999999999998</v>
      </c>
      <c r="L44">
        <v>13129.9</v>
      </c>
      <c r="M44">
        <v>36</v>
      </c>
      <c r="N44">
        <v>257.14</v>
      </c>
      <c r="O44">
        <f>_xlfn.XLOOKUP(A44,'[1]Cadastro de Procedimentos'!$M:$M,'[1]Cadastro de Procedimentos'!$V:$V)</f>
        <v>3</v>
      </c>
      <c r="P44" t="str">
        <f>_xlfn.XLOOKUP(A44,'[1]Cadastro de Procedimentos'!$M:$M,'[1]Cadastro de Procedimentos'!$X:$X)</f>
        <v>1 truck as 22:00 hs</v>
      </c>
      <c r="Q44">
        <v>3</v>
      </c>
      <c r="R44" t="s">
        <v>93</v>
      </c>
      <c r="S44">
        <v>100</v>
      </c>
    </row>
  </sheetData>
  <autoFilter ref="A1:S44" xr:uid="{00000000-0001-0000-0000-000000000000}">
    <filterColumn colId="3">
      <filters>
        <filter val="51620/800003752/15565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2026-04-06T11:43:28Z</dcterms:created>
  <dcterms:modified xsi:type="dcterms:W3CDTF">2026-04-06T22:28:36Z</dcterms:modified>
</cp:coreProperties>
</file>